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_Original" sheetId="1" state="visible" r:id="rId3"/>
    <sheet name="Working_Data" sheetId="2" state="visible" r:id="rId4"/>
    <sheet name="Task1_Exploration" sheetId="3" state="visible" r:id="rId5"/>
    <sheet name="Task2_Quality_Audit" sheetId="4" state="visible" r:id="rId6"/>
    <sheet name="PivotTables" sheetId="5" state="visible" r:id="rId7"/>
    <sheet name="Dashboard" sheetId="6" state="visible" r:id="rId8"/>
    <sheet name="Data_Type_Classification" sheetId="7" state="visible" r:id="rId9"/>
    <sheet name="Quality_Summary" sheetId="8" state="visible" r:id="rId10"/>
    <sheet name="Formula_Guide" sheetId="9" state="visible" r:id="rId11"/>
    <sheet name="Pivot_Alert_Actual" sheetId="10" state="visible" r:id="rId12"/>
    <sheet name="Pivot_MagType_Actual" sheetId="11" state="visible" r:id="rId13"/>
    <sheet name="Pivot_TitlePattern_Actual" sheetId="12" state="visible" r:id="rId14"/>
  </sheets>
  <definedNames>
    <definedName function="false" hidden="true" localSheetId="0" name="_xlnm._FilterDatabase" vbProcedure="false">Raw_Data_Original!$A$1:$S$1001</definedName>
    <definedName function="false" hidden="true" localSheetId="1" name="_xlnm._FilterDatabase" vbProcedure="false">Working_Data!$A$1:$Z$1001</definedName>
  </definedNames>
  <calcPr iterateCount="100" refMode="A1" iterate="false" iterateDelta="0.0001"/>
  <pivotCaches>
    <pivotCache cacheId="1" r:id="rId1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<sst xmlns="http://schemas.openxmlformats.org/spreadsheetml/2006/main" count="13180" uniqueCount="2771">
  <si>
    <t xml:space="preserve">title</t>
  </si>
  <si>
    <t xml:space="preserve">magnitude</t>
  </si>
  <si>
    <t xml:space="preserve">date_time</t>
  </si>
  <si>
    <t xml:space="preserve">cdi</t>
  </si>
  <si>
    <t xml:space="preserve">mmi</t>
  </si>
  <si>
    <t xml:space="preserve">alert</t>
  </si>
  <si>
    <t xml:space="preserve">tsunami</t>
  </si>
  <si>
    <t xml:space="preserve">sig</t>
  </si>
  <si>
    <t xml:space="preserve">net</t>
  </si>
  <si>
    <t xml:space="preserve">nst</t>
  </si>
  <si>
    <t xml:space="preserve">dmin</t>
  </si>
  <si>
    <t xml:space="preserve">gap</t>
  </si>
  <si>
    <t xml:space="preserve">magType</t>
  </si>
  <si>
    <t xml:space="preserve">depth</t>
  </si>
  <si>
    <t xml:space="preserve">latitude</t>
  </si>
  <si>
    <t xml:space="preserve">longitude</t>
  </si>
  <si>
    <t xml:space="preserve">location</t>
  </si>
  <si>
    <t xml:space="preserve">continent</t>
  </si>
  <si>
    <t xml:space="preserve">country</t>
  </si>
  <si>
    <t xml:space="preserve">M 6.5 - 42 km W of Sola, Vanuatu</t>
  </si>
  <si>
    <t xml:space="preserve">16/08/2023 12:47</t>
  </si>
  <si>
    <t xml:space="preserve">green</t>
  </si>
  <si>
    <t xml:space="preserve">us</t>
  </si>
  <si>
    <t xml:space="preserve">mww</t>
  </si>
  <si>
    <t xml:space="preserve">Sola, Vanuatu</t>
  </si>
  <si>
    <t xml:space="preserve">Vanuatu</t>
  </si>
  <si>
    <t xml:space="preserve">M 6.5 - 43 km S of Intipucá, El Salvador</t>
  </si>
  <si>
    <t xml:space="preserve">19/07/2023 00:22</t>
  </si>
  <si>
    <t xml:space="preserve">yellow</t>
  </si>
  <si>
    <t xml:space="preserve">Intipucá, El Salvador</t>
  </si>
  <si>
    <t xml:space="preserve">M 6.6 - 25 km ESE of Loncopué, Argentina</t>
  </si>
  <si>
    <t xml:space="preserve">17/07/2023 03:05</t>
  </si>
  <si>
    <t xml:space="preserve">Loncopué, Argentina</t>
  </si>
  <si>
    <t xml:space="preserve">South America</t>
  </si>
  <si>
    <t xml:space="preserve">Argentina</t>
  </si>
  <si>
    <t xml:space="preserve">M 7.2 - 98 km S of Sand Point, Alaska</t>
  </si>
  <si>
    <t xml:space="preserve">16/07/2023 06:48</t>
  </si>
  <si>
    <t xml:space="preserve">Sand Point, Alaska</t>
  </si>
  <si>
    <t xml:space="preserve">M 7.3 - Alaska Peninsula</t>
  </si>
  <si>
    <t xml:space="preserve">at</t>
  </si>
  <si>
    <t xml:space="preserve">Mi</t>
  </si>
  <si>
    <t xml:space="preserve">Alaska Peninsula</t>
  </si>
  <si>
    <t xml:space="preserve">M 6.6 - 277 km NNE of Codrington, Antigua and Barbuda</t>
  </si>
  <si>
    <t xml:space="preserve">10/07/2023 20:28</t>
  </si>
  <si>
    <t xml:space="preserve">Codrington, Antigua and Barbuda</t>
  </si>
  <si>
    <t xml:space="preserve">M 6.9 - Tonga</t>
  </si>
  <si>
    <t xml:space="preserve">02/07/2023 10:27</t>
  </si>
  <si>
    <t xml:space="preserve">Tonga</t>
  </si>
  <si>
    <t xml:space="preserve">M 7.2 - south of the Fiji Islands</t>
  </si>
  <si>
    <t xml:space="preserve">15/06/2023 18:06</t>
  </si>
  <si>
    <t xml:space="preserve">the Fiji Islands</t>
  </si>
  <si>
    <t xml:space="preserve">M 6.6 - Panama-Colombia border region</t>
  </si>
  <si>
    <t xml:space="preserve">25/05/2023 03:05</t>
  </si>
  <si>
    <t xml:space="preserve">Panama-Colombia border region</t>
  </si>
  <si>
    <t xml:space="preserve">Colombia</t>
  </si>
  <si>
    <t xml:space="preserve">M 7.1 - southeast of the Loyalty Islands</t>
  </si>
  <si>
    <t xml:space="preserve">20/05/2023 01:51</t>
  </si>
  <si>
    <t xml:space="preserve">the Loyalty Islands</t>
  </si>
  <si>
    <t xml:space="preserve">M 7.7 - southeast of the Loyalty Islands</t>
  </si>
  <si>
    <t xml:space="preserve">19/05/2023 02:57</t>
  </si>
  <si>
    <t xml:space="preserve">M 7.6 - 95 km WNW of Hihifo, Tonga</t>
  </si>
  <si>
    <t xml:space="preserve">10/05/2023 16:02</t>
  </si>
  <si>
    <t xml:space="preserve">Hihifo, Tonga</t>
  </si>
  <si>
    <t xml:space="preserve">M 6.6 - south of the Fiji Islands</t>
  </si>
  <si>
    <t xml:space="preserve">28/04/2023 03:13</t>
  </si>
  <si>
    <t xml:space="preserve">M 7.1 - 170 km SSE of Teluk Dalam, Indonesia</t>
  </si>
  <si>
    <t xml:space="preserve">24/04/2023 20:00</t>
  </si>
  <si>
    <t xml:space="preserve">Teluk Dalam, Indonesia</t>
  </si>
  <si>
    <t xml:space="preserve">Indonesia</t>
  </si>
  <si>
    <t xml:space="preserve">M 7.1 - Kermadec Islands, New Zealand</t>
  </si>
  <si>
    <t xml:space="preserve">24/04/2023 00:41</t>
  </si>
  <si>
    <t xml:space="preserve">Kermadec Islands, New Zealand</t>
  </si>
  <si>
    <t xml:space="preserve">M 6.7 - south of the Fiji Islands</t>
  </si>
  <si>
    <t xml:space="preserve">18/04/2023 04:31</t>
  </si>
  <si>
    <t xml:space="preserve">M 7.0 - 96 km N of Tuban, Indonesia</t>
  </si>
  <si>
    <t xml:space="preserve">14/04/2023 09:55</t>
  </si>
  <si>
    <t xml:space="preserve">Tuban, Indonesia</t>
  </si>
  <si>
    <t xml:space="preserve">M 6.5 - near the east coast of the Kamchatka Peninsula, Russia</t>
  </si>
  <si>
    <t xml:space="preserve">03/04/2023 03:06</t>
  </si>
  <si>
    <t xml:space="preserve">the Kamchatka Peninsula, Russia</t>
  </si>
  <si>
    <t xml:space="preserve">Asia</t>
  </si>
  <si>
    <t xml:space="preserve">Russian Federation (the)</t>
  </si>
  <si>
    <t xml:space="preserve">M 7.0 - New Guinea, Papua New Guinea</t>
  </si>
  <si>
    <t xml:space="preserve">02/04/2023 18:04</t>
  </si>
  <si>
    <t xml:space="preserve">New Guinea, Papua New Guinea</t>
  </si>
  <si>
    <t xml:space="preserve">Papua New Guinea</t>
  </si>
  <si>
    <t xml:space="preserve">M 6.5 - 84 km NNW of San Antonio de los Cobres, Argentina</t>
  </si>
  <si>
    <t xml:space="preserve">22/03/2023 16:00</t>
  </si>
  <si>
    <t xml:space="preserve">San Antonio de los Cobres, Argentina</t>
  </si>
  <si>
    <t xml:space="preserve">M 6.5 - 40 km SSE of Jurm, Afghanistan</t>
  </si>
  <si>
    <t xml:space="preserve">21/03/2023 16:47</t>
  </si>
  <si>
    <t xml:space="preserve">Jurm, Afghanistan</t>
  </si>
  <si>
    <t xml:space="preserve">Afghanistan</t>
  </si>
  <si>
    <t xml:space="preserve">M 6.8 - near the coast of Ecuador</t>
  </si>
  <si>
    <t xml:space="preserve">18/03/2023 17:12</t>
  </si>
  <si>
    <t xml:space="preserve">orange</t>
  </si>
  <si>
    <t xml:space="preserve">Ecuador</t>
  </si>
  <si>
    <t xml:space="preserve">M 7.0 - Kermadec Islands region</t>
  </si>
  <si>
    <t xml:space="preserve">16/03/2023 00:56</t>
  </si>
  <si>
    <t xml:space="preserve">Kermadec Islands region</t>
  </si>
  <si>
    <t xml:space="preserve">M 6.9 - Kermadec Islands, New Zealand</t>
  </si>
  <si>
    <t xml:space="preserve">04/03/2023 06:41</t>
  </si>
  <si>
    <t xml:space="preserve">M 6.5 - 86 km WSW of Port-Olry, Vanuatu</t>
  </si>
  <si>
    <t xml:space="preserve">02/03/2023 18:04</t>
  </si>
  <si>
    <t xml:space="preserve">Port-Olry, Vanuatu</t>
  </si>
  <si>
    <t xml:space="preserve">M 6.5 - 108 km NW of Kimbe, Papua New Guinea</t>
  </si>
  <si>
    <t xml:space="preserve">01/03/2023 05:36</t>
  </si>
  <si>
    <t xml:space="preserve">Kimbe, Papua New Guinea</t>
  </si>
  <si>
    <t xml:space="preserve">M 6.8 - 67 km W of Murghob, Tajikistan</t>
  </si>
  <si>
    <t xml:space="preserve">23/02/2023 00:37</t>
  </si>
  <si>
    <t xml:space="preserve">Murghob, Tajikistan</t>
  </si>
  <si>
    <t xml:space="preserve">Tajikistan</t>
  </si>
  <si>
    <t xml:space="preserve">M 7.5 - 4 km SSE of Ekinözü, Turkey</t>
  </si>
  <si>
    <t xml:space="preserve">06/02/2023 10:24</t>
  </si>
  <si>
    <t xml:space="preserve">Ekinözü, Turkey</t>
  </si>
  <si>
    <t xml:space="preserve">Turkiye</t>
  </si>
  <si>
    <t xml:space="preserve">M 6.7 - 18 km ESE of Nurdağı, Turkey</t>
  </si>
  <si>
    <t xml:space="preserve">06/02/2023 01:28</t>
  </si>
  <si>
    <t xml:space="preserve">Nurdağı, Turkey</t>
  </si>
  <si>
    <t xml:space="preserve">M 7.8 - Central Turkey</t>
  </si>
  <si>
    <t xml:space="preserve">06/02/2023 01:17</t>
  </si>
  <si>
    <t xml:space="preserve">red</t>
  </si>
  <si>
    <t xml:space="preserve">Central Turkey</t>
  </si>
  <si>
    <t xml:space="preserve">M 6.8 - </t>
  </si>
  <si>
    <t xml:space="preserve">20/01/2023 22:09</t>
  </si>
  <si>
    <t xml:space="preserve">M 7.0 - 153 km NW of Tobelo, Indonesia</t>
  </si>
  <si>
    <t xml:space="preserve">18/01/2023 06:06</t>
  </si>
  <si>
    <t xml:space="preserve">mwc</t>
  </si>
  <si>
    <t xml:space="preserve">Tobelo, Indonesia</t>
  </si>
  <si>
    <t xml:space="preserve">M 7.6 - Pulau Pulau Tanimbar, Indonesia</t>
  </si>
  <si>
    <t xml:space="preserve">09/01/2023 17:47</t>
  </si>
  <si>
    <t xml:space="preserve">Pulau Pulau Tanimbar, Indonesia</t>
  </si>
  <si>
    <t xml:space="preserve">M 7.0 - Vanuatu</t>
  </si>
  <si>
    <t xml:space="preserve">08/01/2023 12:32</t>
  </si>
  <si>
    <t xml:space="preserve">M 6.8 - 109 km NE of Hihifo, Tonga</t>
  </si>
  <si>
    <t xml:space="preserve">04/12/2022 19:24</t>
  </si>
  <si>
    <t xml:space="preserve">M 7.0 - 18 km SW of Malango, Solomon Islands</t>
  </si>
  <si>
    <t xml:space="preserve">22/11/2022 02:03</t>
  </si>
  <si>
    <t xml:space="preserve">Malango, Solomon Islands</t>
  </si>
  <si>
    <t xml:space="preserve">Oceania</t>
  </si>
  <si>
    <t xml:space="preserve">Solomon Islands</t>
  </si>
  <si>
    <t xml:space="preserve">M 6.9 - 204 km SW of Bengkulu, Indonesia</t>
  </si>
  <si>
    <t xml:space="preserve">18/11/2022 13:37</t>
  </si>
  <si>
    <t xml:space="preserve">Bengkulu, Indonesia</t>
  </si>
  <si>
    <t xml:space="preserve">M 7.0 - </t>
  </si>
  <si>
    <t xml:space="preserve">12/11/2022 07:09</t>
  </si>
  <si>
    <t xml:space="preserve">Fiji</t>
  </si>
  <si>
    <t xml:space="preserve">M 7.3 - 205 km ESE of Neiafu, Tonga</t>
  </si>
  <si>
    <t xml:space="preserve">11/11/2022 10:48</t>
  </si>
  <si>
    <t xml:space="preserve">Neiafu, Tonga</t>
  </si>
  <si>
    <t xml:space="preserve">M 6.6 - </t>
  </si>
  <si>
    <t xml:space="preserve">09/11/2022 10:14</t>
  </si>
  <si>
    <t xml:space="preserve">M 7.0 - south of the Fiji Islands</t>
  </si>
  <si>
    <t xml:space="preserve">09/11/2022 09:51</t>
  </si>
  <si>
    <t xml:space="preserve">mwb</t>
  </si>
  <si>
    <t xml:space="preserve">M 6.8 - south of the Fiji Islands</t>
  </si>
  <si>
    <t xml:space="preserve">09/11/2022 09:38</t>
  </si>
  <si>
    <t xml:space="preserve">M 6.7 - 60 km SSW of Boca Chica, Panama</t>
  </si>
  <si>
    <t xml:space="preserve">20/10/2022 11:57</t>
  </si>
  <si>
    <t xml:space="preserve">Boca Chica, Panama</t>
  </si>
  <si>
    <t xml:space="preserve">Panama</t>
  </si>
  <si>
    <t xml:space="preserve">M 6.8 - 55 km SSW of Aguililla, Mexico</t>
  </si>
  <si>
    <t xml:space="preserve">22/09/2022 06:16</t>
  </si>
  <si>
    <t xml:space="preserve">Aguililla, Mexico</t>
  </si>
  <si>
    <t xml:space="preserve">North America</t>
  </si>
  <si>
    <t xml:space="preserve">Mexico</t>
  </si>
  <si>
    <t xml:space="preserve">M 7.6 - 35 km SSW of Aguililla, Mexico</t>
  </si>
  <si>
    <t xml:space="preserve">19/09/2022 18:05</t>
  </si>
  <si>
    <t xml:space="preserve">M 6.9 - 90 km E of Yujing, Taiwan</t>
  </si>
  <si>
    <t xml:space="preserve">18/09/2022 06:44</t>
  </si>
  <si>
    <t xml:space="preserve">Yujing, Taiwan</t>
  </si>
  <si>
    <t xml:space="preserve">Taiwan</t>
  </si>
  <si>
    <t xml:space="preserve">M 6.5 - 96 km SE of Lugu, Taiwan</t>
  </si>
  <si>
    <t xml:space="preserve">17/09/2022 13:41</t>
  </si>
  <si>
    <t xml:space="preserve">Lugu, Taiwan</t>
  </si>
  <si>
    <t xml:space="preserve">M 7.0 - 209 km SSE of Isangel, Vanuatu</t>
  </si>
  <si>
    <t xml:space="preserve">14/09/2022 11:04</t>
  </si>
  <si>
    <t xml:space="preserve">Isangel, Vanuatu</t>
  </si>
  <si>
    <t xml:space="preserve">M 7.6 - 70 km E of Kainantu, Papua New Guinea</t>
  </si>
  <si>
    <t xml:space="preserve">10/09/2022 23:47</t>
  </si>
  <si>
    <t xml:space="preserve">Kainantu, Papua New Guinea</t>
  </si>
  <si>
    <t xml:space="preserve">M 6.6 - 44 km SE of Kangding, China</t>
  </si>
  <si>
    <t xml:space="preserve">05/09/2022 04:52</t>
  </si>
  <si>
    <t xml:space="preserve">Kangding, China</t>
  </si>
  <si>
    <t xml:space="preserve">People's Republic of China</t>
  </si>
  <si>
    <t xml:space="preserve">M 6.6 - south of the Kermadec Islands</t>
  </si>
  <si>
    <t xml:space="preserve">14/08/2022 13:44</t>
  </si>
  <si>
    <t xml:space="preserve">the Kermadec Islands</t>
  </si>
  <si>
    <t xml:space="preserve">M 7.0 - 11 km NE of Bantay, Philippines</t>
  </si>
  <si>
    <t xml:space="preserve">27/07/2022 00:43</t>
  </si>
  <si>
    <t xml:space="preserve">Bantay, Philippines</t>
  </si>
  <si>
    <t xml:space="preserve">Philippines</t>
  </si>
  <si>
    <t xml:space="preserve">M 6.5 - 107 km SSW of Tarauacá, Brazil</t>
  </si>
  <si>
    <t xml:space="preserve">08/06/2022 00:55</t>
  </si>
  <si>
    <t xml:space="preserve">Tarauacá, Brazil</t>
  </si>
  <si>
    <t xml:space="preserve">Brazil</t>
  </si>
  <si>
    <t xml:space="preserve">M 7.2 - 10 km W of Azángaro, Peru</t>
  </si>
  <si>
    <t xml:space="preserve">26/05/2022 12:02</t>
  </si>
  <si>
    <t xml:space="preserve">Azángaro, Peru</t>
  </si>
  <si>
    <t xml:space="preserve">Peru</t>
  </si>
  <si>
    <t xml:space="preserve">M 6.9 - </t>
  </si>
  <si>
    <t xml:space="preserve">19/05/2022 10:13</t>
  </si>
  <si>
    <t xml:space="preserve">M 6.8 - 86 km NNW of San Antonio de los Cobres, Argentina</t>
  </si>
  <si>
    <t xml:space="preserve">10/05/2022 23:06</t>
  </si>
  <si>
    <t xml:space="preserve">M 6.6 - 55 km WSW of Masachapa, Nicaragua</t>
  </si>
  <si>
    <t xml:space="preserve">21/04/2022 07:42</t>
  </si>
  <si>
    <t xml:space="preserve">Masachapa, Nicaragua</t>
  </si>
  <si>
    <t xml:space="preserve">M 7.0 - southeast of the Loyalty Islands</t>
  </si>
  <si>
    <t xml:space="preserve">31/03/2022 05:44</t>
  </si>
  <si>
    <t xml:space="preserve">M 6.9 - 284 km ESE of Tadine, New Caledonia</t>
  </si>
  <si>
    <t xml:space="preserve">30/03/2022 20:56</t>
  </si>
  <si>
    <t xml:space="preserve">Tadine, New Caledonia</t>
  </si>
  <si>
    <t xml:space="preserve">M 6.7 - 65 km S of Hualien City, Taiwan</t>
  </si>
  <si>
    <t xml:space="preserve">22/03/2022 17:41</t>
  </si>
  <si>
    <t xml:space="preserve">Hualien City, Taiwan</t>
  </si>
  <si>
    <t xml:space="preserve">M 7.3 - 57 km ENE of Namie, Japan</t>
  </si>
  <si>
    <t xml:space="preserve">16/03/2022 14:36</t>
  </si>
  <si>
    <t xml:space="preserve">Namie, Japan</t>
  </si>
  <si>
    <t xml:space="preserve">M 6.7 - 166 km W of Pariaman, Indonesia</t>
  </si>
  <si>
    <t xml:space="preserve">13/03/2022 21:09</t>
  </si>
  <si>
    <t xml:space="preserve">Pariaman, Indonesia</t>
  </si>
  <si>
    <t xml:space="preserve">M 6.6 - Kermadec Islands, New Zealand</t>
  </si>
  <si>
    <t xml:space="preserve">02/03/2022 12:52</t>
  </si>
  <si>
    <t xml:space="preserve">16/02/2022 20:21</t>
  </si>
  <si>
    <t xml:space="preserve">M 6.5 - 49 km NW of Barranca, Peru</t>
  </si>
  <si>
    <t xml:space="preserve">03/02/2022 15:58</t>
  </si>
  <si>
    <t xml:space="preserve">Barranca, Peru</t>
  </si>
  <si>
    <t xml:space="preserve">M 6.5 - Kermadec Islands region</t>
  </si>
  <si>
    <t xml:space="preserve">29/01/2022 02:46</t>
  </si>
  <si>
    <t xml:space="preserve">M 6.6 - 80 km SW of Labuan, Indonesia</t>
  </si>
  <si>
    <t xml:space="preserve">14/01/2022 09:05</t>
  </si>
  <si>
    <t xml:space="preserve">Labuan, Indonesia</t>
  </si>
  <si>
    <t xml:space="preserve">M 6.5 - 71 km SE of Nikolski, Alaska</t>
  </si>
  <si>
    <t xml:space="preserve">11/01/2022 12:39</t>
  </si>
  <si>
    <t xml:space="preserve">Nikolski, Alaska</t>
  </si>
  <si>
    <t xml:space="preserve">pt</t>
  </si>
  <si>
    <t xml:space="preserve">M 6.6 - 53 km SE of Nikolski, Alaska</t>
  </si>
  <si>
    <t xml:space="preserve">M 6.7 - 91 km SE of Nikolski, Alaska</t>
  </si>
  <si>
    <t xml:space="preserve">11/01/2022 11:35</t>
  </si>
  <si>
    <t xml:space="preserve">M 6.8 - 100 km SE of Nikolski, Alaska</t>
  </si>
  <si>
    <t xml:space="preserve">M 6.6 - 48 km WNW of Pólis, Cyprus</t>
  </si>
  <si>
    <t xml:space="preserve">11/01/2022 01:07</t>
  </si>
  <si>
    <t xml:space="preserve">Pólis, Cyprus</t>
  </si>
  <si>
    <t xml:space="preserve">M 6.6 - northern Qinghai, China</t>
  </si>
  <si>
    <t xml:space="preserve">07/01/2022 17:45</t>
  </si>
  <si>
    <t xml:space="preserve">northern Qinghai, China</t>
  </si>
  <si>
    <t xml:space="preserve">M 7.3 - 125 km NNE of Lospalos, Timor Leste</t>
  </si>
  <si>
    <t xml:space="preserve">29/12/2021 18:25</t>
  </si>
  <si>
    <t xml:space="preserve">Lospalos, Timor Leste</t>
  </si>
  <si>
    <t xml:space="preserve">M 7.3 - Flores Sea</t>
  </si>
  <si>
    <t xml:space="preserve">14/12/2021 03:20</t>
  </si>
  <si>
    <t xml:space="preserve">Flores Sea</t>
  </si>
  <si>
    <t xml:space="preserve">M 7.5 - 43 km NNW of Barranca, Peru</t>
  </si>
  <si>
    <t xml:space="preserve">28/11/2021 10:52</t>
  </si>
  <si>
    <t xml:space="preserve">M 6.6 - 177 km SE of Hirara, Japan</t>
  </si>
  <si>
    <t xml:space="preserve">10/11/2021 15:45</t>
  </si>
  <si>
    <t xml:space="preserve">Hirara, Japan</t>
  </si>
  <si>
    <t xml:space="preserve">M 6.9 - 112 km E of Chignik, Alaska</t>
  </si>
  <si>
    <t xml:space="preserve">11/10/2021 09:10</t>
  </si>
  <si>
    <t xml:space="preserve">ak</t>
  </si>
  <si>
    <t xml:space="preserve">Chignik, Alaska</t>
  </si>
  <si>
    <t xml:space="preserve">United States of America</t>
  </si>
  <si>
    <t xml:space="preserve">M 6.9 - Vanuatu region</t>
  </si>
  <si>
    <t xml:space="preserve">09/10/2021 10:58</t>
  </si>
  <si>
    <t xml:space="preserve">Vanuatu region</t>
  </si>
  <si>
    <t xml:space="preserve">M 7.3 - Vanuatu region</t>
  </si>
  <si>
    <t xml:space="preserve">02/10/2021 06:29</t>
  </si>
  <si>
    <t xml:space="preserve">M 6.5 - 80 km SW of Jiquilillo, Nicaragua</t>
  </si>
  <si>
    <t xml:space="preserve">22/09/2021 09:57</t>
  </si>
  <si>
    <t xml:space="preserve">Jiquilillo, Nicaragua</t>
  </si>
  <si>
    <t xml:space="preserve">M 7.0 - Acapulco, Mexico</t>
  </si>
  <si>
    <t xml:space="preserve">08/09/2021 01:47</t>
  </si>
  <si>
    <t xml:space="preserve">Acapulco, Mexico</t>
  </si>
  <si>
    <t xml:space="preserve">M 7.1 - South Sandwich Islands region</t>
  </si>
  <si>
    <t xml:space="preserve">22/08/2021 21:33</t>
  </si>
  <si>
    <t xml:space="preserve">South Sandwich Islands region</t>
  </si>
  <si>
    <t xml:space="preserve">Antarctica</t>
  </si>
  <si>
    <t xml:space="preserve">M 6.6 - South Sandwich Islands region</t>
  </si>
  <si>
    <t xml:space="preserve">22/08/2021 00:45</t>
  </si>
  <si>
    <t xml:space="preserve">M 6.9 - 17 km N of Port-Olry, Vanuatu</t>
  </si>
  <si>
    <t xml:space="preserve">18/08/2021 10:10</t>
  </si>
  <si>
    <t xml:space="preserve">M 6.9 - South Sandwich Islands region</t>
  </si>
  <si>
    <t xml:space="preserve">16/08/2021 11:10</t>
  </si>
  <si>
    <t xml:space="preserve">M 7.2 - Nippes, Haiti</t>
  </si>
  <si>
    <t xml:space="preserve">14/08/2021 12:29</t>
  </si>
  <si>
    <t xml:space="preserve">Nippes, Haiti</t>
  </si>
  <si>
    <t xml:space="preserve">Haiti</t>
  </si>
  <si>
    <t xml:space="preserve">M 6.9 - 136 km SE of Perryville, Alaska</t>
  </si>
  <si>
    <t xml:space="preserve">14/08/2021 11:57</t>
  </si>
  <si>
    <t xml:space="preserve">Perryville, Alaska</t>
  </si>
  <si>
    <t xml:space="preserve">M 6.9 - 125 km SE of Perryville, Alaska</t>
  </si>
  <si>
    <t xml:space="preserve">M 8.1 - South Sandwich Islands region</t>
  </si>
  <si>
    <t xml:space="preserve">12/08/2021 18:35</t>
  </si>
  <si>
    <t xml:space="preserve">M 7.5 - South Sandwich Islands region</t>
  </si>
  <si>
    <t xml:space="preserve">12/08/2021 18:32</t>
  </si>
  <si>
    <t xml:space="preserve">M 7.1 - 60 km ENE of Pondaguitan, Philippines</t>
  </si>
  <si>
    <t xml:space="preserve">11/08/2021 17:46</t>
  </si>
  <si>
    <t xml:space="preserve">Pondaguitan, Philippines</t>
  </si>
  <si>
    <t xml:space="preserve">M 8.2 - 91 km ESE of Perryville, Alaska</t>
  </si>
  <si>
    <t xml:space="preserve">29/07/2021 06:15</t>
  </si>
  <si>
    <t xml:space="preserve">M 8.2 - 99 km SE of Perryville, Alaska</t>
  </si>
  <si>
    <t xml:space="preserve">M 6.7 - 15 km S of Hukay, Philippines</t>
  </si>
  <si>
    <t xml:space="preserve">23/07/2021 20:48</t>
  </si>
  <si>
    <t xml:space="preserve">Hukay, Philippines</t>
  </si>
  <si>
    <t xml:space="preserve">M 6.7 - 71 km S of Burica, Panama</t>
  </si>
  <si>
    <t xml:space="preserve">21/07/2021 21:15</t>
  </si>
  <si>
    <t xml:space="preserve">Burica, Panama</t>
  </si>
  <si>
    <t xml:space="preserve">M 6.5 - Kermadec Islands, New Zealand</t>
  </si>
  <si>
    <t xml:space="preserve">20/06/2021 17:05</t>
  </si>
  <si>
    <t xml:space="preserve">M 6.5 - 265 km SSE of Alo, Wallis and Futuna</t>
  </si>
  <si>
    <t xml:space="preserve">21/05/2021 22:13</t>
  </si>
  <si>
    <t xml:space="preserve">Alo, Wallis and Futuna</t>
  </si>
  <si>
    <t xml:space="preserve">M 7.3 - Southern Qinghai, China</t>
  </si>
  <si>
    <t xml:space="preserve">21/05/2021 18:04</t>
  </si>
  <si>
    <t xml:space="preserve">Southern Qinghai, China</t>
  </si>
  <si>
    <t xml:space="preserve">M 6.7 - 260 km S of Sinabang, Indonesia</t>
  </si>
  <si>
    <t xml:space="preserve">14/05/2021 06:33</t>
  </si>
  <si>
    <t xml:space="preserve">Sinabang, Indonesia</t>
  </si>
  <si>
    <t xml:space="preserve">M 6.7 - Mauritius - Reunion region</t>
  </si>
  <si>
    <t xml:space="preserve">12/05/2021 14:05</t>
  </si>
  <si>
    <t xml:space="preserve">Mauritius - Reunion region</t>
  </si>
  <si>
    <t xml:space="preserve">01/05/2021 01:27</t>
  </si>
  <si>
    <t xml:space="preserve">Japan</t>
  </si>
  <si>
    <t xml:space="preserve">M 6.5 - 207 km WSW of Haveluloto, Tonga</t>
  </si>
  <si>
    <t xml:space="preserve">25/04/2021 22:28</t>
  </si>
  <si>
    <t xml:space="preserve">Haveluloto, Tonga</t>
  </si>
  <si>
    <t xml:space="preserve">M 6.5 - 225 km WNW of Pangai, Tonga</t>
  </si>
  <si>
    <t xml:space="preserve">24/04/2021 00:23</t>
  </si>
  <si>
    <t xml:space="preserve">Pangai, Tonga</t>
  </si>
  <si>
    <t xml:space="preserve">M 7.0 - 30 km E of Ishinomaki, Japan</t>
  </si>
  <si>
    <t xml:space="preserve">20/03/2021 09:09</t>
  </si>
  <si>
    <t xml:space="preserve">Ishinomaki, Japan</t>
  </si>
  <si>
    <t xml:space="preserve">M 6.6 - 171 km SSE of Ust’-Kamchatsk Staryy, Russia</t>
  </si>
  <si>
    <t xml:space="preserve">16/03/2021 18:38</t>
  </si>
  <si>
    <t xml:space="preserve">Ust’-Kamchatsk Staryy, Russia</t>
  </si>
  <si>
    <t xml:space="preserve">04/03/2021 23:12</t>
  </si>
  <si>
    <t xml:space="preserve">M 8.1 - Kermadec Islands, New Zealand</t>
  </si>
  <si>
    <t xml:space="preserve">04/03/2021 19:28</t>
  </si>
  <si>
    <t xml:space="preserve">M 7.4 - Kermadec Islands, New Zealand</t>
  </si>
  <si>
    <t xml:space="preserve">04/03/2021 17:41</t>
  </si>
  <si>
    <t xml:space="preserve">M 7.3 - 182 km NE of Gisborne, New Zealand</t>
  </si>
  <si>
    <t xml:space="preserve">04/03/2021 13:27</t>
  </si>
  <si>
    <t xml:space="preserve">Gisborne, New Zealand</t>
  </si>
  <si>
    <t xml:space="preserve">M 7.1 - 73 km ENE of Namie, Japan</t>
  </si>
  <si>
    <t xml:space="preserve">13/02/2021 14:07</t>
  </si>
  <si>
    <t xml:space="preserve">10/02/2021 13:19</t>
  </si>
  <si>
    <t xml:space="preserve">M 6.9 - South Shetland Islands</t>
  </si>
  <si>
    <t xml:space="preserve">23/01/2021 23:36</t>
  </si>
  <si>
    <t xml:space="preserve">South Shetland Islands</t>
  </si>
  <si>
    <t xml:space="preserve">M 7.0 - 211 km SE of Pondaguitan, Philippines</t>
  </si>
  <si>
    <t xml:space="preserve">21/01/2021 12:23</t>
  </si>
  <si>
    <t xml:space="preserve">M 6.7 - 29 km SSW of Turt, Mongolia</t>
  </si>
  <si>
    <t xml:space="preserve">11/01/2021 21:32</t>
  </si>
  <si>
    <t xml:space="preserve">Turt, Mongolia</t>
  </si>
  <si>
    <t xml:space="preserve">Mongolia</t>
  </si>
  <si>
    <t xml:space="preserve">M 6.7 - 146 km WNW of Corral, Chile</t>
  </si>
  <si>
    <t xml:space="preserve">27/12/2020 21:39</t>
  </si>
  <si>
    <t xml:space="preserve">Corral, Chile</t>
  </si>
  <si>
    <t xml:space="preserve">M 7.0 - 13 km NNE of Néon Karlovásion, Greece</t>
  </si>
  <si>
    <t xml:space="preserve">30/10/2020 11:51</t>
  </si>
  <si>
    <t xml:space="preserve">Néon Karlovásion, Greece</t>
  </si>
  <si>
    <t xml:space="preserve">Europe</t>
  </si>
  <si>
    <t xml:space="preserve">Greece</t>
  </si>
  <si>
    <t xml:space="preserve">M 7.6 - 99 km SE of Sand Point, Alaska</t>
  </si>
  <si>
    <t xml:space="preserve">19/10/2020 20:54</t>
  </si>
  <si>
    <t xml:space="preserve">M 6.9 - central Mid-Atlantic Ridge</t>
  </si>
  <si>
    <t xml:space="preserve">18/09/2020 21:43</t>
  </si>
  <si>
    <t xml:space="preserve">central Mid-Atlantic Ridge</t>
  </si>
  <si>
    <t xml:space="preserve">M 6.5 - 94 km NW of Vallenar, Chile</t>
  </si>
  <si>
    <t xml:space="preserve">01/09/2020 21:09</t>
  </si>
  <si>
    <t xml:space="preserve">Vallenar, Chile</t>
  </si>
  <si>
    <t xml:space="preserve">M 6.8 - 86 km NW of Vallenar, Chile</t>
  </si>
  <si>
    <t xml:space="preserve">01/09/2020 04:09</t>
  </si>
  <si>
    <t xml:space="preserve">Chile</t>
  </si>
  <si>
    <t xml:space="preserve">M 6.5 - central Mid-Atlantic Ridge</t>
  </si>
  <si>
    <t xml:space="preserve">30/08/2020 21:20</t>
  </si>
  <si>
    <t xml:space="preserve">M 6.9 - 222 km SSE of Katabu, Indonesia</t>
  </si>
  <si>
    <t xml:space="preserve">21/08/2020 04:09</t>
  </si>
  <si>
    <t xml:space="preserve">Katabu, Indonesia</t>
  </si>
  <si>
    <t xml:space="preserve">M 6.9 - 122 km WSW of Bengkulu, Indonesia</t>
  </si>
  <si>
    <t xml:space="preserve">18/08/2020 22:29</t>
  </si>
  <si>
    <t xml:space="preserve">M 6.8 - 138 km WSW of Bengkulu, Indonesia</t>
  </si>
  <si>
    <t xml:space="preserve">18/08/2020 22:23</t>
  </si>
  <si>
    <t xml:space="preserve">M 6.6 - 13 km E of San Pedro, Philippines</t>
  </si>
  <si>
    <t xml:space="preserve">18/08/2020 00:03</t>
  </si>
  <si>
    <t xml:space="preserve">San Pedro, Philippines</t>
  </si>
  <si>
    <t xml:space="preserve">M 7.8 - 99 km SSE of Perryville, Alaska</t>
  </si>
  <si>
    <t xml:space="preserve">22/07/2020 06:12</t>
  </si>
  <si>
    <t xml:space="preserve">M 7.0 - 114 km NNW of Popondetta, Papua New Guinea</t>
  </si>
  <si>
    <t xml:space="preserve">17/07/2020 02:50</t>
  </si>
  <si>
    <t xml:space="preserve">Popondetta, Papua New Guinea</t>
  </si>
  <si>
    <t xml:space="preserve">M 6.6 - 97 km N of Batang, Indonesia</t>
  </si>
  <si>
    <t xml:space="preserve">06/07/2020 22:54</t>
  </si>
  <si>
    <t xml:space="preserve">Batang, Indonesia</t>
  </si>
  <si>
    <t xml:space="preserve">M 7.4 - 9 km SE of Santa María Xadani, Mexico</t>
  </si>
  <si>
    <t xml:space="preserve">23/06/2020 15:29</t>
  </si>
  <si>
    <t xml:space="preserve">Santa María Xadani, Mexico</t>
  </si>
  <si>
    <t xml:space="preserve">M 7.4 - south of the Kermadec Islands</t>
  </si>
  <si>
    <t xml:space="preserve">18/06/2020 12:49</t>
  </si>
  <si>
    <t xml:space="preserve">M 6.6 - 130 km WNW of Naze, Japan</t>
  </si>
  <si>
    <t xml:space="preserve">13/06/2020 15:51</t>
  </si>
  <si>
    <t xml:space="preserve">Naze, Japan</t>
  </si>
  <si>
    <t xml:space="preserve">M 6.8 - 48 km SW of San Pedro de Atacama, Chile</t>
  </si>
  <si>
    <t xml:space="preserve">03/06/2020 07:35</t>
  </si>
  <si>
    <t xml:space="preserve">San Pedro de Atacama, Chile</t>
  </si>
  <si>
    <t xml:space="preserve">M 6.5 - Monte Cristo Range, NV Earthquake</t>
  </si>
  <si>
    <t xml:space="preserve">15/05/2020 11:03</t>
  </si>
  <si>
    <t xml:space="preserve">nn</t>
  </si>
  <si>
    <t xml:space="preserve">ml</t>
  </si>
  <si>
    <t xml:space="preserve">Monte Cristo Range, NV Earthquake</t>
  </si>
  <si>
    <t xml:space="preserve">M 6.6 - 175 km SSE of Lata, Solomon Islands</t>
  </si>
  <si>
    <t xml:space="preserve">12/05/2020 22:41</t>
  </si>
  <si>
    <t xml:space="preserve">Lata, Solomon Islands</t>
  </si>
  <si>
    <t xml:space="preserve">M 6.8 - Banda Sea</t>
  </si>
  <si>
    <t xml:space="preserve">06/05/2020 13:53</t>
  </si>
  <si>
    <t xml:space="preserve">Banda Sea</t>
  </si>
  <si>
    <t xml:space="preserve">M 6.5 - 91 km S of Néa Anatolí, Greece</t>
  </si>
  <si>
    <t xml:space="preserve">02/05/2020 12:51</t>
  </si>
  <si>
    <t xml:space="preserve">Néa Anatolí, Greece</t>
  </si>
  <si>
    <t xml:space="preserve">M 6.5 - Stanley, Idaho</t>
  </si>
  <si>
    <t xml:space="preserve">31/03/2020 23:52</t>
  </si>
  <si>
    <t xml:space="preserve">Stanley, Idaho</t>
  </si>
  <si>
    <t xml:space="preserve">M 7.5 - 221 km SSE of Severo-Kuril’sk, Russia</t>
  </si>
  <si>
    <t xml:space="preserve">25/03/2020 02:49</t>
  </si>
  <si>
    <t xml:space="preserve">Severo-Kuril’sk, Russia</t>
  </si>
  <si>
    <t xml:space="preserve">M 7.0 - 95 km ENE of Kuril’sk, Russia</t>
  </si>
  <si>
    <t xml:space="preserve">13/02/2020 10:33</t>
  </si>
  <si>
    <t xml:space="preserve">Kuril’sk, Russia</t>
  </si>
  <si>
    <t xml:space="preserve">Russia</t>
  </si>
  <si>
    <t xml:space="preserve">M 7.7 - 123 km NNW of Lucea, Jamaica</t>
  </si>
  <si>
    <t xml:space="preserve">28/01/2020 19:10</t>
  </si>
  <si>
    <t xml:space="preserve">Lucea, Jamaica</t>
  </si>
  <si>
    <t xml:space="preserve">M 6.7 - 13 km N of Do?anyol, Turkey</t>
  </si>
  <si>
    <t xml:space="preserve">24/01/2020 17:55</t>
  </si>
  <si>
    <t xml:space="preserve">Do?anyol, Turkey</t>
  </si>
  <si>
    <t xml:space="preserve">Turkey</t>
  </si>
  <si>
    <t xml:space="preserve">M 6.8 - 7 km S of Magsaysay, Philippines</t>
  </si>
  <si>
    <t xml:space="preserve">15/12/2019 06:11</t>
  </si>
  <si>
    <t xml:space="preserve">Magsaysay, Philippines</t>
  </si>
  <si>
    <t xml:space="preserve">M 7.1 - 138km E of Bitung, Indonesia</t>
  </si>
  <si>
    <t xml:space="preserve">14/11/2019 16:17</t>
  </si>
  <si>
    <t xml:space="preserve">Bitung, Indonesia</t>
  </si>
  <si>
    <t xml:space="preserve">M 6.5 - 166km SSW of Ndoi Island, Fiji</t>
  </si>
  <si>
    <t xml:space="preserve">08/11/2019 10:44</t>
  </si>
  <si>
    <t xml:space="preserve">Ndoi Island, Fiji</t>
  </si>
  <si>
    <t xml:space="preserve">M 6.6 - 136 km W of Neiafu, Tonga</t>
  </si>
  <si>
    <t xml:space="preserve">04/11/2019 22:43</t>
  </si>
  <si>
    <t xml:space="preserve">M 6.5 - 2km ESE of Kisante, Philippines</t>
  </si>
  <si>
    <t xml:space="preserve">31/10/2019 01:11</t>
  </si>
  <si>
    <t xml:space="preserve">Kisante, Philippines</t>
  </si>
  <si>
    <t xml:space="preserve">M 6.6 - 10 km NE of Columbio, Philippines</t>
  </si>
  <si>
    <t xml:space="preserve">29/10/2019 01:04</t>
  </si>
  <si>
    <t xml:space="preserve">Columbio, Philippines</t>
  </si>
  <si>
    <t xml:space="preserve">M 6.7 - 70 km WSW of Constitución, Chile</t>
  </si>
  <si>
    <t xml:space="preserve">29/09/2019 15:57</t>
  </si>
  <si>
    <t xml:space="preserve">Constitución, Chile</t>
  </si>
  <si>
    <t xml:space="preserve">M 6.5 - 11km S of Kairatu, Indonesia</t>
  </si>
  <si>
    <t xml:space="preserve">25/09/2019 23:46</t>
  </si>
  <si>
    <t xml:space="preserve">Kairatu, Indonesia</t>
  </si>
  <si>
    <t xml:space="preserve">M 6.6 - 34km NNE of Ndoi Island, Fiji</t>
  </si>
  <si>
    <t xml:space="preserve">01/09/2019 15:54</t>
  </si>
  <si>
    <t xml:space="preserve">M 6.6 - 131km S of Bristol Island, South Sandwich Islands</t>
  </si>
  <si>
    <t xml:space="preserve">27/08/2019 23:55</t>
  </si>
  <si>
    <t xml:space="preserve">Bristol Island, South Sandwich Islands</t>
  </si>
  <si>
    <t xml:space="preserve">United Kingdom of Great Britain and Northern Ireland (the)</t>
  </si>
  <si>
    <t xml:space="preserve">M 6.9 - 152 km SW of Labuan, Indonesia</t>
  </si>
  <si>
    <t xml:space="preserve">02/08/2019 12:03</t>
  </si>
  <si>
    <t xml:space="preserve">M 6.8 - 96 km SW of San Antonio, Chile</t>
  </si>
  <si>
    <t xml:space="preserve">01/08/2019 18:28</t>
  </si>
  <si>
    <t xml:space="preserve">San Antonio, Chile</t>
  </si>
  <si>
    <t xml:space="preserve">M 6.6 - 62km E of Lakatoro, Vanuatu</t>
  </si>
  <si>
    <t xml:space="preserve">31/07/2019 15:02</t>
  </si>
  <si>
    <t xml:space="preserve">Lakatoro, Vanuatu</t>
  </si>
  <si>
    <t xml:space="preserve">M 7.2 - 93km NNE of Laiwui, Indonesia</t>
  </si>
  <si>
    <t xml:space="preserve">14/07/2019 09:10</t>
  </si>
  <si>
    <t xml:space="preserve">Laiwui, Indonesia</t>
  </si>
  <si>
    <t xml:space="preserve">M 6.6 - 200km W of Broome, Australia</t>
  </si>
  <si>
    <t xml:space="preserve">14/07/2019 05:39</t>
  </si>
  <si>
    <t xml:space="preserve">Broome, Australia</t>
  </si>
  <si>
    <t xml:space="preserve">M 6.9 - 134km WSW of Kota Ternate, Indonesia</t>
  </si>
  <si>
    <t xml:space="preserve">07/07/2019 15:08</t>
  </si>
  <si>
    <t xml:space="preserve">Kota Ternate, Indonesia</t>
  </si>
  <si>
    <t xml:space="preserve">M 7.1 - 18km W of Searles Valley, CA</t>
  </si>
  <si>
    <t xml:space="preserve">06/07/2019 03:19</t>
  </si>
  <si>
    <t xml:space="preserve">ci</t>
  </si>
  <si>
    <t xml:space="preserve">mw</t>
  </si>
  <si>
    <t xml:space="preserve">Searles Valley, CA</t>
  </si>
  <si>
    <t xml:space="preserve">M 7.3 - 292km NW of Saumlaki, Indonesia</t>
  </si>
  <si>
    <t xml:space="preserve">24/06/2019 02:53</t>
  </si>
  <si>
    <t xml:space="preserve">Saumlaki, Indonesia</t>
  </si>
  <si>
    <t xml:space="preserve">M 7.3 - 116km NE of L'Esperance Rock, New Zealand</t>
  </si>
  <si>
    <t xml:space="preserve">15/06/2019 22:55</t>
  </si>
  <si>
    <t xml:space="preserve">L'Esperance Rock, New Zealand</t>
  </si>
  <si>
    <t xml:space="preserve">M 6.6 - 32 km S of La Libertad, El Salvador</t>
  </si>
  <si>
    <t xml:space="preserve">30/05/2019 09:03</t>
  </si>
  <si>
    <t xml:space="preserve">La Libertad, El Salvador</t>
  </si>
  <si>
    <t xml:space="preserve">M 8.0 - 78 km NE of Navarro, Peru</t>
  </si>
  <si>
    <t xml:space="preserve">26/05/2019 07:41</t>
  </si>
  <si>
    <t xml:space="preserve">Navarro, Peru</t>
  </si>
  <si>
    <t xml:space="preserve">M 7.6 - 46km SSE of Namatanai, Papua New Guinea</t>
  </si>
  <si>
    <t xml:space="preserve">14/05/2019 12:58</t>
  </si>
  <si>
    <t xml:space="preserve">Namatanai, Papua New Guinea</t>
  </si>
  <si>
    <t xml:space="preserve">M 7.1 - 33km NW of Bulolo, Papua New Guinea</t>
  </si>
  <si>
    <t xml:space="preserve">06/05/2019 21:19</t>
  </si>
  <si>
    <t xml:space="preserve">Bulolo, Papua New Guinea</t>
  </si>
  <si>
    <t xml:space="preserve">M 6.8 - 98km SSW of Luwuk, Indonesia</t>
  </si>
  <si>
    <t xml:space="preserve">12/04/2019 11:40</t>
  </si>
  <si>
    <t xml:space="preserve">Luwuk, Indonesia</t>
  </si>
  <si>
    <t xml:space="preserve">M 6.5 - 83km ENE of Bristol Island, South Sandwich Islands</t>
  </si>
  <si>
    <t xml:space="preserve">09/04/2019 17:53</t>
  </si>
  <si>
    <t xml:space="preserve">M 7.0 - 22 km NNE of Azángaro, Peru</t>
  </si>
  <si>
    <t xml:space="preserve">01/03/2019 08:50</t>
  </si>
  <si>
    <t xml:space="preserve">M 7.5 - 111km ESE of Palora, Ecuador</t>
  </si>
  <si>
    <t xml:space="preserve">22/02/2019 10:17</t>
  </si>
  <si>
    <t xml:space="preserve">Palora, Ecuador</t>
  </si>
  <si>
    <t xml:space="preserve">M 6.7 - 5 km SW of Puerto Madero, Mexico</t>
  </si>
  <si>
    <t xml:space="preserve">01/02/2019 16:14</t>
  </si>
  <si>
    <t xml:space="preserve">Puerto Madero, Mexico</t>
  </si>
  <si>
    <t xml:space="preserve">M 6.7 - Prince Edward Islands region</t>
  </si>
  <si>
    <t xml:space="preserve">22/01/2019 19:01</t>
  </si>
  <si>
    <t xml:space="preserve">Prince Edward Islands region</t>
  </si>
  <si>
    <t xml:space="preserve">M 6.7 - 10 km SSW of Coquimbo, Chile</t>
  </si>
  <si>
    <t xml:space="preserve">20/01/2019 01:32</t>
  </si>
  <si>
    <t xml:space="preserve">Coquimbo, Chile</t>
  </si>
  <si>
    <t xml:space="preserve">M 6.6 - 94 km NW of Sola, Vanuatu</t>
  </si>
  <si>
    <t xml:space="preserve">15/01/2019 18:06</t>
  </si>
  <si>
    <t xml:space="preserve">M 6.6 - Molucca Sea</t>
  </si>
  <si>
    <t xml:space="preserve">06/01/2019 17:27</t>
  </si>
  <si>
    <t xml:space="preserve">Molucca Sea</t>
  </si>
  <si>
    <t xml:space="preserve">M 6.8 - 90km W of Tarauaca, Brazil</t>
  </si>
  <si>
    <t xml:space="preserve">05/01/2019 19:25</t>
  </si>
  <si>
    <t xml:space="preserve">Tarauaca, Brazil</t>
  </si>
  <si>
    <t xml:space="preserve">M 7.0 - 96 km ESE of Pondaguitan, Philippines</t>
  </si>
  <si>
    <t xml:space="preserve">29/12/2018 03:39</t>
  </si>
  <si>
    <t xml:space="preserve">M 7.3 - 187 km SE of Ust’-Kamchatsk Staryy, Russia</t>
  </si>
  <si>
    <t xml:space="preserve">20/12/2018 17:01</t>
  </si>
  <si>
    <t xml:space="preserve">11/12/2018 02:26</t>
  </si>
  <si>
    <t xml:space="preserve">South Georgia and the South Sandwich Islands</t>
  </si>
  <si>
    <t xml:space="preserve">M 6.6 - 199 km ESE of Tadine, New Caledonia</t>
  </si>
  <si>
    <t xml:space="preserve">05/12/2018 06:43</t>
  </si>
  <si>
    <t xml:space="preserve">M 7.5 - 166 km ESE of Tadine, New Caledonia</t>
  </si>
  <si>
    <t xml:space="preserve">05/12/2018 04:18</t>
  </si>
  <si>
    <t xml:space="preserve">M 7.1 - 1 km SE of Point MacKenzie, Alaska</t>
  </si>
  <si>
    <t xml:space="preserve">30/11/2018 17:29</t>
  </si>
  <si>
    <t xml:space="preserve">Point MacKenzie, Alaska</t>
  </si>
  <si>
    <t xml:space="preserve">M 6.8 - 187 km E of Levuka, Fiji</t>
  </si>
  <si>
    <t xml:space="preserve">18/11/2018 20:25</t>
  </si>
  <si>
    <t xml:space="preserve">Levuka, Fiji</t>
  </si>
  <si>
    <t xml:space="preserve">M 6.7 - 120 km NW of Olonkinbyen, Svalbard and Jan Mayen</t>
  </si>
  <si>
    <t xml:space="preserve">09/11/2018 01:49</t>
  </si>
  <si>
    <t xml:space="preserve">Olonkinbyen, Svalbard and Jan Mayen</t>
  </si>
  <si>
    <t xml:space="preserve">M 6.8 - 32 km SW of Lithakiá, Greece</t>
  </si>
  <si>
    <t xml:space="preserve">25/10/2018 22:54</t>
  </si>
  <si>
    <t xml:space="preserve">Lithakiá, Greece</t>
  </si>
  <si>
    <t xml:space="preserve">M 6.5 - 237 km SW of Port McNeill, Canada</t>
  </si>
  <si>
    <t xml:space="preserve">22/10/2018 06:22</t>
  </si>
  <si>
    <t xml:space="preserve">Port McNeill, Canada</t>
  </si>
  <si>
    <t xml:space="preserve">M 6.8 - 210 km SW of Port McNeill, Canada</t>
  </si>
  <si>
    <t xml:space="preserve">22/10/2018 06:16</t>
  </si>
  <si>
    <t xml:space="preserve">M 6.5 - 223 km SW of Port McNeill, Canada</t>
  </si>
  <si>
    <t xml:space="preserve">22/10/2018 05:39</t>
  </si>
  <si>
    <t xml:space="preserve">M 6.5 - 171 km E of Tadine, New Caledonia</t>
  </si>
  <si>
    <t xml:space="preserve">16/10/2018 01:03</t>
  </si>
  <si>
    <t xml:space="preserve">M 6.7 - 269 km WNW of Ozernovskiy, Russia</t>
  </si>
  <si>
    <t xml:space="preserve">13/10/2018 11:10</t>
  </si>
  <si>
    <t xml:space="preserve">Ozernovskiy, Russia</t>
  </si>
  <si>
    <t xml:space="preserve">M 6.5 - 154 km S of Severo-Kuril’sk, Russia</t>
  </si>
  <si>
    <t xml:space="preserve">10/10/2018 23:16</t>
  </si>
  <si>
    <t xml:space="preserve">M 7.0 - 119 km E of Kimbe, Papua New Guinea</t>
  </si>
  <si>
    <t xml:space="preserve">10/10/2018 20:48</t>
  </si>
  <si>
    <t xml:space="preserve">M 6.7 - 279 km E of Levuka, Fiji</t>
  </si>
  <si>
    <t xml:space="preserve">30/09/2018 10:52</t>
  </si>
  <si>
    <t xml:space="preserve">M 7.5 - 72 km N of Palu, Indonesia</t>
  </si>
  <si>
    <t xml:space="preserve">28/09/2018 10:02</t>
  </si>
  <si>
    <t xml:space="preserve">Palu, Indonesia</t>
  </si>
  <si>
    <t xml:space="preserve">M 6.5 - south of the Fiji Islands</t>
  </si>
  <si>
    <t xml:space="preserve">16/09/2018 21:11</t>
  </si>
  <si>
    <t xml:space="preserve">M 6.9 - Kermadec Islands region</t>
  </si>
  <si>
    <t xml:space="preserve">10/09/2018 04:19</t>
  </si>
  <si>
    <t xml:space="preserve">M 6.5 - 66 km NW of Kirakira, Solomon Islands</t>
  </si>
  <si>
    <t xml:space="preserve">09/09/2018 19:31</t>
  </si>
  <si>
    <t xml:space="preserve">Kirakira, Solomon Islands</t>
  </si>
  <si>
    <t xml:space="preserve">M 7.9 - 45 km S of Levuka, Fiji</t>
  </si>
  <si>
    <t xml:space="preserve">06/09/2018 15:49</t>
  </si>
  <si>
    <t xml:space="preserve">M 6.6 - 27 km ESE of Chitose, Japan</t>
  </si>
  <si>
    <t xml:space="preserve">05/09/2018 18:07</t>
  </si>
  <si>
    <t xml:space="preserve">Chitose, Japan</t>
  </si>
  <si>
    <t xml:space="preserve">M 7.1 - 238 km ESE of Tadine, New Caledonia</t>
  </si>
  <si>
    <t xml:space="preserve">29/08/2018 03:51</t>
  </si>
  <si>
    <t xml:space="preserve">M 7.1 - 136 km W of Iñapari, Peru</t>
  </si>
  <si>
    <t xml:space="preserve">24/08/2018 09:04</t>
  </si>
  <si>
    <t xml:space="preserve">Iñapari, Peru</t>
  </si>
  <si>
    <t xml:space="preserve">M 6.5 - 78 km E of Lakatoro, Vanuatu</t>
  </si>
  <si>
    <t xml:space="preserve">21/08/2018 22:32</t>
  </si>
  <si>
    <t xml:space="preserve">M 7.3 - 40 km ENE of Carúpano, Venezuela</t>
  </si>
  <si>
    <t xml:space="preserve">21/08/2018 21:31</t>
  </si>
  <si>
    <t xml:space="preserve">Carúpano, Venezuela</t>
  </si>
  <si>
    <t xml:space="preserve">Venezuela</t>
  </si>
  <si>
    <t xml:space="preserve">M 6.9 - 20 km NNW of Labuan Lombok, Indonesia</t>
  </si>
  <si>
    <t xml:space="preserve">19/08/2018 14:56</t>
  </si>
  <si>
    <t xml:space="preserve">Labuan Lombok, Indonesia</t>
  </si>
  <si>
    <t xml:space="preserve">M 8.2 - 267 km E of Levuka, Fiji</t>
  </si>
  <si>
    <t xml:space="preserve">19/08/2018 00:19</t>
  </si>
  <si>
    <t xml:space="preserve">M 6.5 - 124 km N of Labuan Bajo, Indonesia</t>
  </si>
  <si>
    <t xml:space="preserve">17/08/2018 15:35</t>
  </si>
  <si>
    <t xml:space="preserve">Labuan Bajo, Indonesia</t>
  </si>
  <si>
    <t xml:space="preserve">M 6.5 - 108 km WSW of Adak, Alaska</t>
  </si>
  <si>
    <t xml:space="preserve">15/08/2018 21:56</t>
  </si>
  <si>
    <t xml:space="preserve">Adak, Alaska</t>
  </si>
  <si>
    <t xml:space="preserve">M 6.9 - 36 km NW of Labuan Lombok, Indonesia</t>
  </si>
  <si>
    <t xml:space="preserve">05/08/2018 11:46</t>
  </si>
  <si>
    <t xml:space="preserve">M 6.9 - 18 km SSW of Leilani Estates, Hawaii</t>
  </si>
  <si>
    <t xml:space="preserve">04/05/2018 22:32</t>
  </si>
  <si>
    <t xml:space="preserve">hv</t>
  </si>
  <si>
    <t xml:space="preserve">Leilani Estates, Hawaii</t>
  </si>
  <si>
    <t xml:space="preserve">M 6.8 - 38 km SE of Boyuibe, Bolivia</t>
  </si>
  <si>
    <t xml:space="preserve">02/04/2018 13:40</t>
  </si>
  <si>
    <t xml:space="preserve">Boyuibe, Bolivia</t>
  </si>
  <si>
    <t xml:space="preserve">Bolivia</t>
  </si>
  <si>
    <t xml:space="preserve">M 6.9 - 150 km E of Kimbe, Papua New Guinea</t>
  </si>
  <si>
    <t xml:space="preserve">29/03/2018 21:25</t>
  </si>
  <si>
    <t xml:space="preserve">M 6.7 - 140 km E of Kimbe, Papua New Guinea</t>
  </si>
  <si>
    <t xml:space="preserve">26/03/2018 09:51</t>
  </si>
  <si>
    <t xml:space="preserve">M 6.8 - 103 km E of Kokopo, Papua New Guinea</t>
  </si>
  <si>
    <t xml:space="preserve">08/03/2018 17:39</t>
  </si>
  <si>
    <t xml:space="preserve">Kokopo, Papua New Guinea</t>
  </si>
  <si>
    <t xml:space="preserve">M 6.7 - 62 km SW of Tari, Papua New Guinea</t>
  </si>
  <si>
    <t xml:space="preserve">06/03/2018 14:13</t>
  </si>
  <si>
    <t xml:space="preserve">Tari, Papua New Guinea</t>
  </si>
  <si>
    <t xml:space="preserve">M 7.5 - 32 km SW of Tari, Papua New Guinea</t>
  </si>
  <si>
    <t xml:space="preserve">25/02/2018 17:44</t>
  </si>
  <si>
    <t xml:space="preserve">M 7.2 - 4 km S of Pinotepa de Don Luis, Mexico</t>
  </si>
  <si>
    <t xml:space="preserve">16/02/2018 23:39</t>
  </si>
  <si>
    <t xml:space="preserve">Pinotepa de Don Luis, Mexico</t>
  </si>
  <si>
    <t xml:space="preserve">M 7.9 - 261 km SE of Chiniak, Alaska</t>
  </si>
  <si>
    <t xml:space="preserve">23/01/2018 09:31</t>
  </si>
  <si>
    <t xml:space="preserve">Chiniak, Alaska</t>
  </si>
  <si>
    <t xml:space="preserve">M 7.1 - 37 km W of Atiquipa, Peru</t>
  </si>
  <si>
    <t xml:space="preserve">14/01/2018 09:18</t>
  </si>
  <si>
    <t xml:space="preserve">Atiquipa, Peru</t>
  </si>
  <si>
    <t xml:space="preserve">M 7.5 - 203 km NNE of Barra Patuca, Honduras</t>
  </si>
  <si>
    <t xml:space="preserve">10/01/2018 02:51</t>
  </si>
  <si>
    <t xml:space="preserve">Barra Patuca, Honduras</t>
  </si>
  <si>
    <t xml:space="preserve">M 6.5 - 12 km SSW of Kawalu, Indonesia</t>
  </si>
  <si>
    <t xml:space="preserve">15/12/2017 16:47</t>
  </si>
  <si>
    <t xml:space="preserve">Kawalu, Indonesia</t>
  </si>
  <si>
    <t xml:space="preserve">M 6.5 - Bouvet Island region</t>
  </si>
  <si>
    <t xml:space="preserve">13/12/2017 18:03</t>
  </si>
  <si>
    <t xml:space="preserve">Bouvet Island region</t>
  </si>
  <si>
    <t xml:space="preserve">M 7.0 - 85 km ENE of Tadine, New Caledonia</t>
  </si>
  <si>
    <t xml:space="preserve">19/11/2017 22:43</t>
  </si>
  <si>
    <t xml:space="preserve">M 6.6 - 74 km E of Tadine, New Caledonia</t>
  </si>
  <si>
    <t xml:space="preserve">19/11/2017 15:09</t>
  </si>
  <si>
    <t xml:space="preserve">M 6.5 - 18 km W of Parrita, Costa Rica</t>
  </si>
  <si>
    <t xml:space="preserve">13/11/2017 02:28</t>
  </si>
  <si>
    <t xml:space="preserve">Parrita, Costa Rica</t>
  </si>
  <si>
    <t xml:space="preserve">Costa Rica</t>
  </si>
  <si>
    <t xml:space="preserve">M 7.3 - 29 km S of ?alabja, Iraq</t>
  </si>
  <si>
    <t xml:space="preserve">12/11/2017 18:18</t>
  </si>
  <si>
    <t xml:space="preserve">?alabja, Iraq</t>
  </si>
  <si>
    <t xml:space="preserve">Iran</t>
  </si>
  <si>
    <t xml:space="preserve">M 6.5 - 67 km WSW of Angoram, Papua New Guinea</t>
  </si>
  <si>
    <t xml:space="preserve">07/11/2017 21:26</t>
  </si>
  <si>
    <t xml:space="preserve">Angoram, Papua New Guinea</t>
  </si>
  <si>
    <t xml:space="preserve">M 6.8 - 97 km NE of Hihifo, Tonga</t>
  </si>
  <si>
    <t xml:space="preserve">04/11/2017 09:00</t>
  </si>
  <si>
    <t xml:space="preserve">M 6.6 - 101 km E of Tadine, New Caledonia</t>
  </si>
  <si>
    <t xml:space="preserve">01/11/2017 02:23</t>
  </si>
  <si>
    <t xml:space="preserve">M 6.7 - 132 km E of Tadine, New Caledonia</t>
  </si>
  <si>
    <t xml:space="preserve">31/10/2017 00:42</t>
  </si>
  <si>
    <t xml:space="preserve">M 6.7 - 181 km NNE of Maumere, Indonesia</t>
  </si>
  <si>
    <t xml:space="preserve">24/10/2017 10:47</t>
  </si>
  <si>
    <t xml:space="preserve">Maumere, Indonesia</t>
  </si>
  <si>
    <t xml:space="preserve">M 6.5 - 247 km ESE of Attu Station, Alaska</t>
  </si>
  <si>
    <t xml:space="preserve">08/10/2017 22:34</t>
  </si>
  <si>
    <t xml:space="preserve">Attu Station, Alaska</t>
  </si>
  <si>
    <t xml:space="preserve">M 7.1 - 1 km S of Matzaco, Mexico</t>
  </si>
  <si>
    <t xml:space="preserve">19/09/2017 18:14</t>
  </si>
  <si>
    <t xml:space="preserve">Matzaco, Mexico</t>
  </si>
  <si>
    <t xml:space="preserve">M 8.2 - near the coast of Chiapas, Mexico</t>
  </si>
  <si>
    <t xml:space="preserve">08/09/2017 04:49</t>
  </si>
  <si>
    <t xml:space="preserve">Chiapas, Mexico</t>
  </si>
  <si>
    <t xml:space="preserve">M 6.5 - 168 km SW of Mawu, China</t>
  </si>
  <si>
    <t xml:space="preserve">08/08/2017 13:19</t>
  </si>
  <si>
    <t xml:space="preserve">Mawu, China</t>
  </si>
  <si>
    <t xml:space="preserve">M 6.6 - 11 km ENE of Kos, Greece</t>
  </si>
  <si>
    <t xml:space="preserve">20/07/2017 22:31</t>
  </si>
  <si>
    <t xml:space="preserve">Kos, Greece</t>
  </si>
  <si>
    <t xml:space="preserve">M 7.7 - Komandorskiye Ostrova, Russia region</t>
  </si>
  <si>
    <t xml:space="preserve">17/07/2017 23:34</t>
  </si>
  <si>
    <t xml:space="preserve">Komandorskiye Ostrova, Russia region</t>
  </si>
  <si>
    <t xml:space="preserve">M 6.6 - Auckland Islands, New Zealand region</t>
  </si>
  <si>
    <t xml:space="preserve">11/07/2017 07:00</t>
  </si>
  <si>
    <t xml:space="preserve">Auckland Islands, New Zealand region</t>
  </si>
  <si>
    <t xml:space="preserve">M 6.5 - 2 km S of Lim-oo, Philippines</t>
  </si>
  <si>
    <t xml:space="preserve">06/07/2017 08:03</t>
  </si>
  <si>
    <t xml:space="preserve">Lim-oo, Philippines</t>
  </si>
  <si>
    <t xml:space="preserve">M 6.8 - 28 km SW of Puerto San José, Guatemala</t>
  </si>
  <si>
    <t xml:space="preserve">22/06/2017 12:31</t>
  </si>
  <si>
    <t xml:space="preserve">Puerto San José, Guatemala</t>
  </si>
  <si>
    <t xml:space="preserve">M 6.9 - 2 km SSW of San Pablo, Guatemala</t>
  </si>
  <si>
    <t xml:space="preserve">14/06/2017 07:29</t>
  </si>
  <si>
    <t xml:space="preserve">San Pablo, Guatemala</t>
  </si>
  <si>
    <t xml:space="preserve">Guatemala</t>
  </si>
  <si>
    <t xml:space="preserve">M 6.8 - 200 km NW of Attu Station, Alaska</t>
  </si>
  <si>
    <t xml:space="preserve">02/06/2017 22:24</t>
  </si>
  <si>
    <t xml:space="preserve">M 6.6 - 37 km WNW of Poso, Indonesia</t>
  </si>
  <si>
    <t xml:space="preserve">29/05/2017 14:35</t>
  </si>
  <si>
    <t xml:space="preserve">Poso, Indonesia</t>
  </si>
  <si>
    <t xml:space="preserve">M 6.5 - South Sandwich Islands region</t>
  </si>
  <si>
    <t xml:space="preserve">10/05/2017 23:23</t>
  </si>
  <si>
    <t xml:space="preserve">M 6.8 - 59 km NNE of Port-Olry, Vanuatu</t>
  </si>
  <si>
    <t xml:space="preserve">09/05/2017 13:52</t>
  </si>
  <si>
    <t xml:space="preserve">M 6.9 - 31 km SW of Burias, Philippines</t>
  </si>
  <si>
    <t xml:space="preserve">28/04/2017 20:23</t>
  </si>
  <si>
    <t xml:space="preserve">Burias, Philippines</t>
  </si>
  <si>
    <t xml:space="preserve">M 6.9 - 40 km W of Valparaíso, Chile</t>
  </si>
  <si>
    <t xml:space="preserve">24/04/2017 21:38</t>
  </si>
  <si>
    <t xml:space="preserve">Valparaíso, Chile</t>
  </si>
  <si>
    <t xml:space="preserve">M 6.5 - 132 km WSW of Moijabana, Botswana</t>
  </si>
  <si>
    <t xml:space="preserve">03/04/2017 17:40</t>
  </si>
  <si>
    <t xml:space="preserve">Moijabana, Botswana</t>
  </si>
  <si>
    <t xml:space="preserve">Africa</t>
  </si>
  <si>
    <t xml:space="preserve">Botswana</t>
  </si>
  <si>
    <t xml:space="preserve">M 6.6 - 81 km NNE of Ust’-Kamchatsk Staryy, Russia</t>
  </si>
  <si>
    <t xml:space="preserve">29/03/2017 04:09</t>
  </si>
  <si>
    <t xml:space="preserve">M 6.9 - south of the Fiji Islands</t>
  </si>
  <si>
    <t xml:space="preserve">24/02/2017 17:28</t>
  </si>
  <si>
    <t xml:space="preserve">M 6.5 - 41 km E of Padilla, Bolivia</t>
  </si>
  <si>
    <t xml:space="preserve">21/02/2017 14:09</t>
  </si>
  <si>
    <t xml:space="preserve">Padilla, Bolivia</t>
  </si>
  <si>
    <t xml:space="preserve">M 6.5 - 11 km N of Mabua, Philippines</t>
  </si>
  <si>
    <t xml:space="preserve">10/02/2017 14:03</t>
  </si>
  <si>
    <t xml:space="preserve">Mabua, Philippines</t>
  </si>
  <si>
    <t xml:space="preserve">M 7.9 - 35 km WNW of Panguna, Papua New Guinea</t>
  </si>
  <si>
    <t xml:space="preserve">22/01/2017 04:30</t>
  </si>
  <si>
    <t xml:space="preserve">Panguna, Papua New Guinea</t>
  </si>
  <si>
    <t xml:space="preserve">M 6.5 - 65 km W of Kirakira, Solomon Islands</t>
  </si>
  <si>
    <t xml:space="preserve">19/01/2017 23:04</t>
  </si>
  <si>
    <t xml:space="preserve">M 7.3 - 189 km SSE of Tabiauan, Philippines</t>
  </si>
  <si>
    <t xml:space="preserve">10/01/2017 06:13</t>
  </si>
  <si>
    <t xml:space="preserve">Tabiauan, Philippines</t>
  </si>
  <si>
    <t xml:space="preserve">M 6.9 - 225 km SW of Nadi, Fiji</t>
  </si>
  <si>
    <t xml:space="preserve">03/01/2017 21:52</t>
  </si>
  <si>
    <t xml:space="preserve">Nadi, Fiji</t>
  </si>
  <si>
    <t xml:space="preserve">M 7.6 - 41 km SW of Quellón, Chile</t>
  </si>
  <si>
    <t xml:space="preserve">25/12/2016 14:22</t>
  </si>
  <si>
    <t xml:space="preserve">Quellón, Chile</t>
  </si>
  <si>
    <t xml:space="preserve">M 6.7 - 151 km NE of Lospalos, Timor Leste</t>
  </si>
  <si>
    <t xml:space="preserve">21/12/2016 00:17</t>
  </si>
  <si>
    <t xml:space="preserve">M 7.9 - 140 km E of Kokopo, Papua New Guinea</t>
  </si>
  <si>
    <t xml:space="preserve">17/12/2016 10:51</t>
  </si>
  <si>
    <t xml:space="preserve">M 6.9 - 92 km WSW of Kirakira, Solomon Islands</t>
  </si>
  <si>
    <t xml:space="preserve">09/12/2016 19:10</t>
  </si>
  <si>
    <t xml:space="preserve">M 6.5 - 79 km WSW of Kirakira, Solomon Islands</t>
  </si>
  <si>
    <t xml:space="preserve">08/12/2016 21:56</t>
  </si>
  <si>
    <t xml:space="preserve">M 7.8 - 69 km WSW of Kirakira, Solomon Islands</t>
  </si>
  <si>
    <t xml:space="preserve">08/12/2016 17:38</t>
  </si>
  <si>
    <t xml:space="preserve">M 6.6 - 164 km W of Ferndale, California</t>
  </si>
  <si>
    <t xml:space="preserve">08/12/2016 14:49</t>
  </si>
  <si>
    <t xml:space="preserve">Ferndale, California</t>
  </si>
  <si>
    <t xml:space="preserve">M 6.5 - 14 km WNW of Reuleuet, Indonesia</t>
  </si>
  <si>
    <t xml:space="preserve">06/12/2016 22:03</t>
  </si>
  <si>
    <t xml:space="preserve">Reuleuet, Indonesia</t>
  </si>
  <si>
    <t xml:space="preserve">M 6.6 - 122 km N of Murghob, Tajikistan</t>
  </si>
  <si>
    <t xml:space="preserve">25/11/2016 14:24</t>
  </si>
  <si>
    <t xml:space="preserve">M 6.9 - 156 km SSW of Puerto El Triunfo, El Salvador</t>
  </si>
  <si>
    <t xml:space="preserve">24/11/2016 18:43</t>
  </si>
  <si>
    <t xml:space="preserve">Puerto El Triunfo, El Salvador</t>
  </si>
  <si>
    <t xml:space="preserve">M 6.9 - 35 km ESE of Namie, Japan</t>
  </si>
  <si>
    <t xml:space="preserve">21/11/2016 20:59</t>
  </si>
  <si>
    <t xml:space="preserve">M 6.5 - 74 km NE of Amberley, New Zealand</t>
  </si>
  <si>
    <t xml:space="preserve">14/11/2016 00:34</t>
  </si>
  <si>
    <t xml:space="preserve">Amberley, New Zealand</t>
  </si>
  <si>
    <t xml:space="preserve">New Zealand</t>
  </si>
  <si>
    <t xml:space="preserve">M 6.5 - 92 km SSW of Blenheim, New Zealand</t>
  </si>
  <si>
    <t xml:space="preserve">13/11/2016 11:32</t>
  </si>
  <si>
    <t xml:space="preserve">Blenheim, New Zealand</t>
  </si>
  <si>
    <t xml:space="preserve">M 7.8 - 53 km NNE of Amberley, New Zealand</t>
  </si>
  <si>
    <t xml:space="preserve">13/11/2016 11:02</t>
  </si>
  <si>
    <t xml:space="preserve">M 6.6 - 5 km ESE of Preci, Italy</t>
  </si>
  <si>
    <t xml:space="preserve">30/10/2016 06:40</t>
  </si>
  <si>
    <t xml:space="preserve">Preci, Italy</t>
  </si>
  <si>
    <t xml:space="preserve">Italy</t>
  </si>
  <si>
    <t xml:space="preserve">M 6.6 - 161 km NNE of Pamanukan, Indonesia</t>
  </si>
  <si>
    <t xml:space="preserve">19/10/2016 00:26</t>
  </si>
  <si>
    <t xml:space="preserve">Pamanukan, Indonesia</t>
  </si>
  <si>
    <t xml:space="preserve">M 6.8 - 76 km WNW of Kandrian, Papua New Guinea</t>
  </si>
  <si>
    <t xml:space="preserve">17/10/2016 06:14</t>
  </si>
  <si>
    <t xml:space="preserve">Kandrian, Papua New Guinea</t>
  </si>
  <si>
    <t xml:space="preserve">M 6.9 - Fiji region</t>
  </si>
  <si>
    <t xml:space="preserve">24/09/2016 21:28</t>
  </si>
  <si>
    <t xml:space="preserve">Fiji region</t>
  </si>
  <si>
    <t xml:space="preserve">M 7.0 - 175 km NE of Gisborne, New Zealand</t>
  </si>
  <si>
    <t xml:space="preserve">01/09/2016 16:37</t>
  </si>
  <si>
    <t xml:space="preserve">M 6.8 - 90 km NE of Rabaul, Papua New Guinea</t>
  </si>
  <si>
    <t xml:space="preserve">31/08/2016 03:11</t>
  </si>
  <si>
    <t xml:space="preserve">Rabaul, Papua New Guinea</t>
  </si>
  <si>
    <t xml:space="preserve">M 6.8 - 26 km W of Chauk, Myanmar</t>
  </si>
  <si>
    <t xml:space="preserve">24/08/2016 10:34</t>
  </si>
  <si>
    <t xml:space="preserve">Chauk, Myanmar</t>
  </si>
  <si>
    <t xml:space="preserve">Myanmar</t>
  </si>
  <si>
    <t xml:space="preserve">M 7.2 - southeast of the Loyalty Islands</t>
  </si>
  <si>
    <t xml:space="preserve">12/08/2016 01:26</t>
  </si>
  <si>
    <t xml:space="preserve">M 7.7 - Pagan region, Northern Mariana Islands</t>
  </si>
  <si>
    <t xml:space="preserve">29/07/2016 21:18</t>
  </si>
  <si>
    <t xml:space="preserve">Pagan region, Northern Mariana Islands</t>
  </si>
  <si>
    <t xml:space="preserve">M 6.6 - 80 km W of Sungai Penuh, Indonesia</t>
  </si>
  <si>
    <t xml:space="preserve">01/06/2016 22:56</t>
  </si>
  <si>
    <t xml:space="preserve">Sungai Penuh, Indonesia</t>
  </si>
  <si>
    <t xml:space="preserve">M 7.2 - South Sandwich Islands region</t>
  </si>
  <si>
    <t xml:space="preserve">28/05/2016 09:46</t>
  </si>
  <si>
    <t xml:space="preserve">28/05/2016 05:38</t>
  </si>
  <si>
    <t xml:space="preserve">M 6.9 - 24 km NW of Rosa Zarate, Ecuador</t>
  </si>
  <si>
    <t xml:space="preserve">18/05/2016 16:46</t>
  </si>
  <si>
    <t xml:space="preserve">Rosa Zarate, Ecuador</t>
  </si>
  <si>
    <t xml:space="preserve">M 6.7 - 32 km SE of Muisne, Ecuador</t>
  </si>
  <si>
    <t xml:space="preserve">18/05/2016 07:57</t>
  </si>
  <si>
    <t xml:space="preserve">Muisne, Ecuador</t>
  </si>
  <si>
    <t xml:space="preserve">M 7.0 - 3 km NW of Norsup, Vanuatu</t>
  </si>
  <si>
    <t xml:space="preserve">28/04/2016 19:33</t>
  </si>
  <si>
    <t xml:space="preserve">Norsup, Vanuatu</t>
  </si>
  <si>
    <t xml:space="preserve">M 7.8 - 27 km SSE of Muisne, Ecuador</t>
  </si>
  <si>
    <t xml:space="preserve">16/04/2016 23:58</t>
  </si>
  <si>
    <t xml:space="preserve">M 7.0 - 6 km ESE of Kumamoto, Japan</t>
  </si>
  <si>
    <t xml:space="preserve">15/04/2016 16:25</t>
  </si>
  <si>
    <t xml:space="preserve">Kumamoto, Japan</t>
  </si>
  <si>
    <t xml:space="preserve">M 6.9 - 76 km SE of Mawlaik, Myanmar</t>
  </si>
  <si>
    <t xml:space="preserve">13/04/2016 13:55</t>
  </si>
  <si>
    <t xml:space="preserve">Mawlaik, Myanmar</t>
  </si>
  <si>
    <t xml:space="preserve">M 6.6 - 42 km WSW of Ashk?sham, Afghanistan</t>
  </si>
  <si>
    <t xml:space="preserve">10/04/2016 10:28</t>
  </si>
  <si>
    <t xml:space="preserve">Ashk?sham, Afghanistan</t>
  </si>
  <si>
    <t xml:space="preserve">M 6.7 - 104 km W of Sola, Vanuatu</t>
  </si>
  <si>
    <t xml:space="preserve">07/04/2016 03:32</t>
  </si>
  <si>
    <t xml:space="preserve">M 6.7 - 102 km WSW of Sola, Vanuatu</t>
  </si>
  <si>
    <t xml:space="preserve">06/04/2016 06:58</t>
  </si>
  <si>
    <t xml:space="preserve">M 6.9 - 82 km NNW of Port-Olry, Vanuatu</t>
  </si>
  <si>
    <t xml:space="preserve">03/04/2016 08:23</t>
  </si>
  <si>
    <t xml:space="preserve">M 7.8 - southwest of Sumatra, Indonesia</t>
  </si>
  <si>
    <t xml:space="preserve">02/03/2016 12:49</t>
  </si>
  <si>
    <t xml:space="preserve">Sumatra, Indonesia</t>
  </si>
  <si>
    <t xml:space="preserve">M 7.2 - 80 km S of Mil’kovo, Russia</t>
  </si>
  <si>
    <t xml:space="preserve">30/01/2016 03:25</t>
  </si>
  <si>
    <t xml:space="preserve">Mil’kovo, Russia</t>
  </si>
  <si>
    <t xml:space="preserve">M 7.1 - 47 km ESE of Pedro Bay, Alaska</t>
  </si>
  <si>
    <t xml:space="preserve">24/01/2016 10:30</t>
  </si>
  <si>
    <t xml:space="preserve">Pedro Bay, Alaska</t>
  </si>
  <si>
    <t xml:space="preserve">M 6.6 - 203 km SW of La Cruz de Loreto, Mexico</t>
  </si>
  <si>
    <t xml:space="preserve">21/01/2016 18:06</t>
  </si>
  <si>
    <t xml:space="preserve">La Cruz de Loreto, Mexico</t>
  </si>
  <si>
    <t xml:space="preserve">M 6.7 - 52 km SE of Shizunai-furukawach?, Japan</t>
  </si>
  <si>
    <t xml:space="preserve">14/01/2016 03:25</t>
  </si>
  <si>
    <t xml:space="preserve">Shizunai-furukawach?, Japan</t>
  </si>
  <si>
    <t xml:space="preserve">M 6.5 - 227 km SE of Sarangani, Philippines</t>
  </si>
  <si>
    <t xml:space="preserve">11/01/2016 16:38</t>
  </si>
  <si>
    <t xml:space="preserve">Sarangani, Philippines</t>
  </si>
  <si>
    <t xml:space="preserve">M 6.7 - 29 km W of Imph?l, India</t>
  </si>
  <si>
    <t xml:space="preserve">03/01/2016 23:05</t>
  </si>
  <si>
    <t xml:space="preserve">Imph?l, India</t>
  </si>
  <si>
    <t xml:space="preserve">India</t>
  </si>
  <si>
    <t xml:space="preserve">M 6.6 - 4 km W of Manuel Ávila Camacho (Ponte Duro), Mexico</t>
  </si>
  <si>
    <t xml:space="preserve">17/12/2015 19:49</t>
  </si>
  <si>
    <t xml:space="preserve">Manuel Ávila Camacho (Ponte Duro), Mexico</t>
  </si>
  <si>
    <t xml:space="preserve">M 6.9 - 107 km SE of Amahai, Indonesia</t>
  </si>
  <si>
    <t xml:space="preserve">09/12/2015 10:21</t>
  </si>
  <si>
    <t xml:space="preserve">Amahai, Indonesia</t>
  </si>
  <si>
    <t xml:space="preserve">M 7.2 - 104 km W of Murghob, Tajikistan</t>
  </si>
  <si>
    <t xml:space="preserve">07/12/2015 07:50</t>
  </si>
  <si>
    <t xml:space="preserve">M 6.7 - 125 km SSW of Tarauacá, Brazil</t>
  </si>
  <si>
    <t xml:space="preserve">26/11/2015 05:45</t>
  </si>
  <si>
    <t xml:space="preserve">M 7.6 - 185 km WNW of Iñapari, Peru</t>
  </si>
  <si>
    <t xml:space="preserve">24/11/2015 22:50</t>
  </si>
  <si>
    <t xml:space="preserve">M 7.6 - 155 km WNW of Iñapari, Peru</t>
  </si>
  <si>
    <t xml:space="preserve">24/11/2015 22:45</t>
  </si>
  <si>
    <t xml:space="preserve">M 6.8 - 153 km WSW of Buala, Solomon Islands</t>
  </si>
  <si>
    <t xml:space="preserve">18/11/2015 18:31</t>
  </si>
  <si>
    <t xml:space="preserve">Buala, Solomon Islands</t>
  </si>
  <si>
    <t xml:space="preserve">M 6.5 - 19 km SSW of Lefkáda, Greece</t>
  </si>
  <si>
    <t xml:space="preserve">17/11/2015 07:10</t>
  </si>
  <si>
    <t xml:space="preserve">Lefkáda, Greece</t>
  </si>
  <si>
    <t xml:space="preserve">M 6.7 - 140 km WSW of Makurazaki, Japan</t>
  </si>
  <si>
    <t xml:space="preserve">13/11/2015 20:51</t>
  </si>
  <si>
    <t xml:space="preserve">Makurazaki, Japan</t>
  </si>
  <si>
    <t xml:space="preserve">M 6.9 - 85 km NW of Coquimbo, Chile</t>
  </si>
  <si>
    <t xml:space="preserve">11/11/2015 02:46</t>
  </si>
  <si>
    <t xml:space="preserve">M 6.9 - 81 km NW of Coquimbo, Chile</t>
  </si>
  <si>
    <t xml:space="preserve">11/11/2015 01:54</t>
  </si>
  <si>
    <t xml:space="preserve">M 6.6 - Nicobar Islands, India region</t>
  </si>
  <si>
    <t xml:space="preserve">08/11/2015 16:47</t>
  </si>
  <si>
    <t xml:space="preserve">Nicobar Islands, India region</t>
  </si>
  <si>
    <t xml:space="preserve">M 6.8 - 39 km SW of Ovalle, Chile</t>
  </si>
  <si>
    <t xml:space="preserve">07/11/2015 07:31</t>
  </si>
  <si>
    <t xml:space="preserve">Ovalle, Chile</t>
  </si>
  <si>
    <t xml:space="preserve">M 6.5 - 47 km NW of Maubara, Timor Leste</t>
  </si>
  <si>
    <t xml:space="preserve">04/11/2015 03:44</t>
  </si>
  <si>
    <t xml:space="preserve">Maubara, Timor Leste</t>
  </si>
  <si>
    <t xml:space="preserve">M 7.5 - Hindu Kush region, Afghanistan</t>
  </si>
  <si>
    <t xml:space="preserve">26/10/2015 09:09</t>
  </si>
  <si>
    <t xml:space="preserve">Hindu Kush region, Afghanistan</t>
  </si>
  <si>
    <t xml:space="preserve">M 7.1 - 31 km NE of Port-Olry, Vanuatu</t>
  </si>
  <si>
    <t xml:space="preserve">20/10/2015 21:52</t>
  </si>
  <si>
    <t xml:space="preserve">M 6.6 - 28 km N of Sorong, Indonesia</t>
  </si>
  <si>
    <t xml:space="preserve">24/09/2015 15:53</t>
  </si>
  <si>
    <t xml:space="preserve">Sorong, Indonesia</t>
  </si>
  <si>
    <t xml:space="preserve">M 6.6 - 22 km WSW of Illapel, Chile</t>
  </si>
  <si>
    <t xml:space="preserve">21/09/2015 17:40</t>
  </si>
  <si>
    <t xml:space="preserve">Illapel, Chile</t>
  </si>
  <si>
    <t xml:space="preserve">M 6.7 - 61 km WNW of Illapel, Chile</t>
  </si>
  <si>
    <t xml:space="preserve">17/09/2015 04:10</t>
  </si>
  <si>
    <t xml:space="preserve">M 6.5 - 54 km WNW of Illapel, Chile</t>
  </si>
  <si>
    <t xml:space="preserve">17/09/2015 03:55</t>
  </si>
  <si>
    <t xml:space="preserve">M 7.0 - 25 km WNW of Illapel, Chile</t>
  </si>
  <si>
    <t xml:space="preserve">16/09/2015 23:18</t>
  </si>
  <si>
    <t xml:space="preserve">M 8.3 - 48 km W of Illapel, Chile</t>
  </si>
  <si>
    <t xml:space="preserve">16/09/2015 22:54</t>
  </si>
  <si>
    <t xml:space="preserve">M 6.7 - 95 km SW of Topolobampo, Mexico</t>
  </si>
  <si>
    <t xml:space="preserve">13/09/2015 08:14</t>
  </si>
  <si>
    <t xml:space="preserve">Topolobampo, Mexico</t>
  </si>
  <si>
    <t xml:space="preserve">M 6.5 - 177 km SE of Gizo, Solomon Islands</t>
  </si>
  <si>
    <t xml:space="preserve">12/08/2015 18:49</t>
  </si>
  <si>
    <t xml:space="preserve">Gizo, Solomon Islands</t>
  </si>
  <si>
    <t xml:space="preserve">M 6.6 - 186 km WNW of Malango, Solomon Islands</t>
  </si>
  <si>
    <t xml:space="preserve">10/08/2015 04:12</t>
  </si>
  <si>
    <t xml:space="preserve">M 7.0 - 234 km W of Abepura, Indonesia</t>
  </si>
  <si>
    <t xml:space="preserve">27/07/2015 21:41</t>
  </si>
  <si>
    <t xml:space="preserve">Abepura, Indonesia</t>
  </si>
  <si>
    <t xml:space="preserve">M 6.9 - Fox Islands, Aleutian Islands, Alaska</t>
  </si>
  <si>
    <t xml:space="preserve">27/07/2015 04:49</t>
  </si>
  <si>
    <t xml:space="preserve">Fox Islands, Aleutian Islands, Alaska</t>
  </si>
  <si>
    <t xml:space="preserve">M 7.0 - 80 km WNW of Lata, Solomon Islands</t>
  </si>
  <si>
    <t xml:space="preserve">18/07/2015 02:27</t>
  </si>
  <si>
    <t xml:space="preserve">M 6.5 - 128 km NE of Bathsheba, Barbados</t>
  </si>
  <si>
    <t xml:space="preserve">16/07/2015 15:16</t>
  </si>
  <si>
    <t xml:space="preserve">Bathsheba, Barbados</t>
  </si>
  <si>
    <t xml:space="preserve">M 6.7 - 150 km WNW of Malango, Solomon Islands</t>
  </si>
  <si>
    <t xml:space="preserve">10/07/2015 04:12</t>
  </si>
  <si>
    <t xml:space="preserve">M 6.5 - Bonin Islands, Japan region</t>
  </si>
  <si>
    <t xml:space="preserve">23/06/2015 12:18</t>
  </si>
  <si>
    <t xml:space="preserve">Bonin Islands, Japan region</t>
  </si>
  <si>
    <t xml:space="preserve">M 7.8 - Bonin Islands, Japan region</t>
  </si>
  <si>
    <t xml:space="preserve">30/05/2015 11:23</t>
  </si>
  <si>
    <t xml:space="preserve">M 6.8 - 117 km SSE of Ugashik, Alaska</t>
  </si>
  <si>
    <t xml:space="preserve">29/05/2015 07:00</t>
  </si>
  <si>
    <t xml:space="preserve">Ugashik, Alaska</t>
  </si>
  <si>
    <t xml:space="preserve">M 6.8 - 159 km ESE of Kirakira, Solomon Islands</t>
  </si>
  <si>
    <t xml:space="preserve">22/05/2015 23:59</t>
  </si>
  <si>
    <t xml:space="preserve">M 6.9 - 205 km ESE of Kirakira, Solomon Islands</t>
  </si>
  <si>
    <t xml:space="preserve">22/05/2015 21:45</t>
  </si>
  <si>
    <t xml:space="preserve">M 6.8 - 178 km W of Lata, Solomon Islands</t>
  </si>
  <si>
    <t xml:space="preserve">20/05/2015 22:48</t>
  </si>
  <si>
    <t xml:space="preserve">M 6.8 - 32 km SE of ?funato, Japan</t>
  </si>
  <si>
    <t xml:space="preserve">12/05/2015 21:12</t>
  </si>
  <si>
    <t xml:space="preserve">?funato, Japan</t>
  </si>
  <si>
    <t xml:space="preserve">M 7.3 - Nepal</t>
  </si>
  <si>
    <t xml:space="preserve">12/05/2015 07:05</t>
  </si>
  <si>
    <t xml:space="preserve">Nepal</t>
  </si>
  <si>
    <t xml:space="preserve">M 7.1 - 143 km SW of Panguna, Papua New Guinea</t>
  </si>
  <si>
    <t xml:space="preserve">07/05/2015 07:10</t>
  </si>
  <si>
    <t xml:space="preserve">M 7.5 - 131 km SSW of Kokopo, Papua New Guinea</t>
  </si>
  <si>
    <t xml:space="preserve">05/05/2015 01:44</t>
  </si>
  <si>
    <t xml:space="preserve">M 6.8 - 109 km SSW of Kokopo, Papua New Guinea</t>
  </si>
  <si>
    <t xml:space="preserve">01/05/2015 08:06</t>
  </si>
  <si>
    <t xml:space="preserve">M 6.7 - 126 km SSW of Kokopo, Papua New Guinea</t>
  </si>
  <si>
    <t xml:space="preserve">30/04/2015 10:45</t>
  </si>
  <si>
    <t xml:space="preserve">M 6.7 - 21 km SSE of Kod?ri??, Nepal</t>
  </si>
  <si>
    <t xml:space="preserve">26/04/2015 07:09</t>
  </si>
  <si>
    <t xml:space="preserve">Kod?ri??, Nepal</t>
  </si>
  <si>
    <t xml:space="preserve">M 6.6 - 71 km NNE of Bharatpur, Nepal</t>
  </si>
  <si>
    <t xml:space="preserve">25/04/2015 06:45</t>
  </si>
  <si>
    <t xml:space="preserve">Bharatpur, Nepal</t>
  </si>
  <si>
    <t xml:space="preserve">M 7.8 - 67 km NNE of Bharatpur, Nepal</t>
  </si>
  <si>
    <t xml:space="preserve">25/04/2015 06:11</t>
  </si>
  <si>
    <t xml:space="preserve">M 6.5 - 181 km SSW of Alo, Wallis and Futuna</t>
  </si>
  <si>
    <t xml:space="preserve">17/04/2015 15:52</t>
  </si>
  <si>
    <t xml:space="preserve">M 6.5 - 96 km ENE of Hihifo, Tonga</t>
  </si>
  <si>
    <t xml:space="preserve">30/03/2015 08:48</t>
  </si>
  <si>
    <t xml:space="preserve">M 7.5 - 53 km SE of Kokopo, Papua New Guinea</t>
  </si>
  <si>
    <t xml:space="preserve">29/03/2015 23:48</t>
  </si>
  <si>
    <t xml:space="preserve">M 7.0 - 150 km NNE of Maumere, Indonesia</t>
  </si>
  <si>
    <t xml:space="preserve">27/02/2015 13:45</t>
  </si>
  <si>
    <t xml:space="preserve">M 6.7 - 83 km ENE of Miyako, Japan</t>
  </si>
  <si>
    <t xml:space="preserve">16/02/2015 23:06</t>
  </si>
  <si>
    <t xml:space="preserve">Miyako, Japan</t>
  </si>
  <si>
    <t xml:space="preserve">M 6.7 - 103 km W of El Aguilar, Argentina</t>
  </si>
  <si>
    <t xml:space="preserve">11/02/2015 18:57</t>
  </si>
  <si>
    <t xml:space="preserve">El Aguilar, Argentina</t>
  </si>
  <si>
    <t xml:space="preserve">M 6.8 - 81 km NNE of Port-Vila, Vanuatu</t>
  </si>
  <si>
    <t xml:space="preserve">23/01/2015 03:47</t>
  </si>
  <si>
    <t xml:space="preserve">Port-Vila, Vanuatu</t>
  </si>
  <si>
    <t xml:space="preserve">M 6.5 - 236 km S of Punta de Burica, Panama</t>
  </si>
  <si>
    <t xml:space="preserve">07/01/2015 05:07</t>
  </si>
  <si>
    <t xml:space="preserve">Punta de Burica, Panama</t>
  </si>
  <si>
    <t xml:space="preserve">M 6.6 - 22 km ESE of Punta de Burica, Panama</t>
  </si>
  <si>
    <t xml:space="preserve">08/12/2014 08:54</t>
  </si>
  <si>
    <t xml:space="preserve">M 6.6 - 115 km W of Panguna, Papua New Guinea</t>
  </si>
  <si>
    <t xml:space="preserve">07/12/2014 01:22</t>
  </si>
  <si>
    <t xml:space="preserve">M 6.6 - 106 km WSW of Sangay, Philippines</t>
  </si>
  <si>
    <t xml:space="preserve">02/12/2014 05:11</t>
  </si>
  <si>
    <t xml:space="preserve">Sangay, Philippines</t>
  </si>
  <si>
    <t xml:space="preserve">M 6.8 - 157 km NW of Ternate, Indonesia</t>
  </si>
  <si>
    <t xml:space="preserve">26/11/2014 14:33</t>
  </si>
  <si>
    <t xml:space="preserve">Ternate, Indonesia</t>
  </si>
  <si>
    <t xml:space="preserve">M 6.5 - 123 km WNW of Tobelo, Indonesia</t>
  </si>
  <si>
    <t xml:space="preserve">21/11/2014 10:10</t>
  </si>
  <si>
    <t xml:space="preserve">M 6.7 - 183 km NE of Gisborne, New Zealand</t>
  </si>
  <si>
    <t xml:space="preserve">16/11/2014 22:33</t>
  </si>
  <si>
    <t xml:space="preserve">M 7.1 - 155 km NW of Ternate, Indonesia</t>
  </si>
  <si>
    <t xml:space="preserve">15/11/2014 02:31</t>
  </si>
  <si>
    <t xml:space="preserve">M 6.6 - 76 km NE of Finschhafen, Papua New Guinea</t>
  </si>
  <si>
    <t xml:space="preserve">07/11/2014 03:33</t>
  </si>
  <si>
    <t xml:space="preserve">Finschhafen, Papua New Guinea</t>
  </si>
  <si>
    <t xml:space="preserve">M 7.1 - Fiji region</t>
  </si>
  <si>
    <t xml:space="preserve">01/11/2014 18:57</t>
  </si>
  <si>
    <t xml:space="preserve">M 7.3 - 74 km S of Intipucá, El Salvador</t>
  </si>
  <si>
    <t xml:space="preserve">14/10/2014 03:51</t>
  </si>
  <si>
    <t xml:space="preserve">M 6.7 - 43 km NW of Piti Village, Guam</t>
  </si>
  <si>
    <t xml:space="preserve">17/09/2014 06:14</t>
  </si>
  <si>
    <t xml:space="preserve">Piti Village, Guam</t>
  </si>
  <si>
    <t xml:space="preserve">M 6.8 - 38 km NW of Aniso, Peru</t>
  </si>
  <si>
    <t xml:space="preserve">24/08/2014 23:21</t>
  </si>
  <si>
    <t xml:space="preserve">Aniso, Peru</t>
  </si>
  <si>
    <t xml:space="preserve">M 6.9 - Federated States of Micronesia region</t>
  </si>
  <si>
    <t xml:space="preserve">03/08/2014 00:22</t>
  </si>
  <si>
    <t xml:space="preserve">Micronesia region</t>
  </si>
  <si>
    <t xml:space="preserve">21/07/2014 14:54</t>
  </si>
  <si>
    <t xml:space="preserve">M 6.5 - 139 km ESE of Namie, Japan</t>
  </si>
  <si>
    <t xml:space="preserve">11/07/2014 19:22</t>
  </si>
  <si>
    <t xml:space="preserve">M 6.9 - 4 km W of Puerto Madero, Mexico</t>
  </si>
  <si>
    <t xml:space="preserve">07/07/2014 11:23</t>
  </si>
  <si>
    <t xml:space="preserve">M 6.5 - 217 km SSE of Kokopo, Papua New Guinea</t>
  </si>
  <si>
    <t xml:space="preserve">04/07/2014 15:00</t>
  </si>
  <si>
    <t xml:space="preserve">M 6.7 - 201 km SSE of Mata-Utu, Wallis and Futuna</t>
  </si>
  <si>
    <t xml:space="preserve">29/06/2014 17:15</t>
  </si>
  <si>
    <t xml:space="preserve">Mata-Utu, Wallis and Futuna</t>
  </si>
  <si>
    <t xml:space="preserve">29/06/2014 07:52</t>
  </si>
  <si>
    <t xml:space="preserve">M 7.9 - Rat Islands, Aleutian Islands, Alaska</t>
  </si>
  <si>
    <t xml:space="preserve">23/06/2014 20:53</t>
  </si>
  <si>
    <t xml:space="preserve">Rat Islands, Aleutian Islands, Alaska</t>
  </si>
  <si>
    <t xml:space="preserve">M 6.7 - Kermadec Islands, New Zealand</t>
  </si>
  <si>
    <t xml:space="preserve">23/06/2014 20:06</t>
  </si>
  <si>
    <t xml:space="preserve">23/06/2014 19:21</t>
  </si>
  <si>
    <t xml:space="preserve">23/06/2014 19:19</t>
  </si>
  <si>
    <t xml:space="preserve">M 6.9 - 21 km SSW of Kamariótissa, Greece</t>
  </si>
  <si>
    <t xml:space="preserve">24/05/2014 09:25</t>
  </si>
  <si>
    <t xml:space="preserve">Kamariótissa, Greece</t>
  </si>
  <si>
    <t xml:space="preserve">M 6.5 - 110 km SE of Punta de Burica, Panama</t>
  </si>
  <si>
    <t xml:space="preserve">13/05/2014 06:35</t>
  </si>
  <si>
    <t xml:space="preserve">M 6.6 - 239 km SSE of Isangel, Vanuatu</t>
  </si>
  <si>
    <t xml:space="preserve">01/05/2014 06:36</t>
  </si>
  <si>
    <t xml:space="preserve">M 6.5 - 107 km WSW of Vernon, Canada</t>
  </si>
  <si>
    <t xml:space="preserve">24/04/2014 03:10</t>
  </si>
  <si>
    <t xml:space="preserve">Vernon, Canada</t>
  </si>
  <si>
    <t xml:space="preserve">M 7.5 - 70 km SW of Panguna, Papua New Guinea</t>
  </si>
  <si>
    <t xml:space="preserve">19/04/2014 13:28</t>
  </si>
  <si>
    <t xml:space="preserve">M 6.6 - 57 km SW of Panguna, Papua New Guinea</t>
  </si>
  <si>
    <t xml:space="preserve">19/04/2014 01:04</t>
  </si>
  <si>
    <t xml:space="preserve">M 7.2 - 9 km ENE of Coyuquilla Norte, Mexico</t>
  </si>
  <si>
    <t xml:space="preserve">18/04/2014 14:27</t>
  </si>
  <si>
    <t xml:space="preserve">Coyuquilla Norte, Mexico</t>
  </si>
  <si>
    <t xml:space="preserve">M 6.6 - 75 km S of Kirakira, Solomon Islands</t>
  </si>
  <si>
    <t xml:space="preserve">13/04/2014 13:24</t>
  </si>
  <si>
    <t xml:space="preserve">M 7.4 - 112 km S of Kirakira, Solomon Islands</t>
  </si>
  <si>
    <t xml:space="preserve">13/04/2014 12:36</t>
  </si>
  <si>
    <t xml:space="preserve">M 7.6 - 93 km SSE of Kirakira, Solomon Islands</t>
  </si>
  <si>
    <t xml:space="preserve">12/04/2014 20:14</t>
  </si>
  <si>
    <t xml:space="preserve">M 6.6 - 15 km N of Belén, Nicaragua</t>
  </si>
  <si>
    <t xml:space="preserve">11/04/2014 20:29</t>
  </si>
  <si>
    <t xml:space="preserve">Belén, Nicaragua</t>
  </si>
  <si>
    <t xml:space="preserve">Nicaragua</t>
  </si>
  <si>
    <t xml:space="preserve">M 6.5 - 78 km SW of Panguna, Papua New Guinea</t>
  </si>
  <si>
    <t xml:space="preserve">11/04/2014 08:16</t>
  </si>
  <si>
    <t xml:space="preserve">M 7.1 - 56 km WSW of Panguna, Papua New Guinea</t>
  </si>
  <si>
    <t xml:space="preserve">11/04/2014 07:07</t>
  </si>
  <si>
    <t xml:space="preserve">M 7.7 - 53 km SW of Iquique, Chile</t>
  </si>
  <si>
    <t xml:space="preserve">03/04/2014 02:43</t>
  </si>
  <si>
    <t xml:space="preserve">Iquique, Chile</t>
  </si>
  <si>
    <t xml:space="preserve">M 6.5 - 45 km WSW of Iquique, Chile</t>
  </si>
  <si>
    <t xml:space="preserve">03/04/2014 01:58</t>
  </si>
  <si>
    <t xml:space="preserve">M 6.9 - 90 km WNW of Iquique, Chile</t>
  </si>
  <si>
    <t xml:space="preserve">01/04/2014 23:57</t>
  </si>
  <si>
    <t xml:space="preserve">M 8.2 - 93 km NW of Iquique, Chile</t>
  </si>
  <si>
    <t xml:space="preserve">01/04/2014 23:46</t>
  </si>
  <si>
    <t xml:space="preserve">M 6.7 - 63 km WNW of Iquique, Chile</t>
  </si>
  <si>
    <t xml:space="preserve">16/03/2014 21:16</t>
  </si>
  <si>
    <t xml:space="preserve">M 6.8 - 77 km WNW of Indianola, California</t>
  </si>
  <si>
    <t xml:space="preserve">10/03/2014 05:18</t>
  </si>
  <si>
    <t xml:space="preserve">nc</t>
  </si>
  <si>
    <t xml:space="preserve">Indianola, California</t>
  </si>
  <si>
    <t xml:space="preserve">M 6.5 - 109 km NW of Nago, Japan</t>
  </si>
  <si>
    <t xml:space="preserve">02/03/2014 20:11</t>
  </si>
  <si>
    <t xml:space="preserve">Nago, Japan</t>
  </si>
  <si>
    <t xml:space="preserve">M 6.5 - 171 km NNE of Greenland, Barbados</t>
  </si>
  <si>
    <t xml:space="preserve">18/02/2014 09:27</t>
  </si>
  <si>
    <t xml:space="preserve">Greenland, Barbados</t>
  </si>
  <si>
    <t xml:space="preserve">M 6.9 - 272 km ESE of Hotan, China</t>
  </si>
  <si>
    <t xml:space="preserve">12/02/2014 09:19</t>
  </si>
  <si>
    <t xml:space="preserve">Hotan, China</t>
  </si>
  <si>
    <t xml:space="preserve">M 6.5 - 32 km E of Port-Olry, Vanuatu</t>
  </si>
  <si>
    <t xml:space="preserve">07/02/2014 08:40</t>
  </si>
  <si>
    <t xml:space="preserve">M 6.5 - south of the Kermadec Islands</t>
  </si>
  <si>
    <t xml:space="preserve">02/02/2014 09:26</t>
  </si>
  <si>
    <t xml:space="preserve">M 6.5 - 32 km W of Sola, Vanuatu</t>
  </si>
  <si>
    <t xml:space="preserve">01/01/2014 16:03</t>
  </si>
  <si>
    <t xml:space="preserve">M 6.5 - Fiji region</t>
  </si>
  <si>
    <t xml:space="preserve">23/11/2013 07:48</t>
  </si>
  <si>
    <t xml:space="preserve">M 7.7 - Scotia Sea</t>
  </si>
  <si>
    <t xml:space="preserve">17/11/2013 09:04</t>
  </si>
  <si>
    <t xml:space="preserve">Scotia Sea</t>
  </si>
  <si>
    <t xml:space="preserve">M 6.9 - Scotia Sea</t>
  </si>
  <si>
    <t xml:space="preserve">16/11/2013 03:34</t>
  </si>
  <si>
    <t xml:space="preserve">M 6.6 - 41 km SSW of Coquimbo, Chile</t>
  </si>
  <si>
    <t xml:space="preserve">31/10/2013 23:03</t>
  </si>
  <si>
    <t xml:space="preserve">M 7.1 - off the east coast of Honshu, Japan</t>
  </si>
  <si>
    <t xml:space="preserve">25/10/2013 17:10</t>
  </si>
  <si>
    <t xml:space="preserve">off the east coast of Honshu, Japan</t>
  </si>
  <si>
    <t xml:space="preserve">M 6.6 - 98 km SW of Etchoropo, Mexico</t>
  </si>
  <si>
    <t xml:space="preserve">19/10/2013 17:54</t>
  </si>
  <si>
    <t xml:space="preserve">Etchoropo, Mexico</t>
  </si>
  <si>
    <t xml:space="preserve">M 6.8 - 62 km WSW of Panguna, Papua New Guinea</t>
  </si>
  <si>
    <t xml:space="preserve">16/10/2013 10:30</t>
  </si>
  <si>
    <t xml:space="preserve">M 7.1 - 4 km SE of Sagbayan, Philippines</t>
  </si>
  <si>
    <t xml:space="preserve">15/10/2013 00:12</t>
  </si>
  <si>
    <t xml:space="preserve">Sagbayan, Philippines</t>
  </si>
  <si>
    <t xml:space="preserve">M 6.6 - 36 km W of Kíssamos, Greece</t>
  </si>
  <si>
    <t xml:space="preserve">12/10/2013 13:11</t>
  </si>
  <si>
    <t xml:space="preserve">Kíssamos, Greece</t>
  </si>
  <si>
    <t xml:space="preserve">M 6.7 - Sea of Okhotsk</t>
  </si>
  <si>
    <t xml:space="preserve">01/10/2013 03:38</t>
  </si>
  <si>
    <t xml:space="preserve">Okhotsk</t>
  </si>
  <si>
    <t xml:space="preserve">30/09/2013 05:55</t>
  </si>
  <si>
    <t xml:space="preserve">M 6.8 - 129 km WSW of Khuzdar, Pakistan</t>
  </si>
  <si>
    <t xml:space="preserve">28/09/2013 07:34</t>
  </si>
  <si>
    <t xml:space="preserve">Khuzdar, Pakistan</t>
  </si>
  <si>
    <t xml:space="preserve">Pakistan</t>
  </si>
  <si>
    <t xml:space="preserve">M 7.1 - 16 km WSW of Atiquipa, Peru</t>
  </si>
  <si>
    <t xml:space="preserve">25/09/2013 16:42</t>
  </si>
  <si>
    <t xml:space="preserve">M 7.7 - 113 km NW of Bela, Pakistan</t>
  </si>
  <si>
    <t xml:space="preserve">24/09/2013 11:29</t>
  </si>
  <si>
    <t xml:space="preserve">Bela, Pakistan</t>
  </si>
  <si>
    <t xml:space="preserve">M 6.5 - 81 km SSW of Atka, Alaska</t>
  </si>
  <si>
    <t xml:space="preserve">04/09/2013 02:32</t>
  </si>
  <si>
    <t xml:space="preserve">Atka, Alaska</t>
  </si>
  <si>
    <t xml:space="preserve">M 6.5 - Izu Islands, Japan region</t>
  </si>
  <si>
    <t xml:space="preserve">04/09/2013 00:18</t>
  </si>
  <si>
    <t xml:space="preserve">Izu Islands, Japan region</t>
  </si>
  <si>
    <t xml:space="preserve">M 6.5 - 180 km NE of Lospalos, Timor Leste</t>
  </si>
  <si>
    <t xml:space="preserve">01/09/2013 11:52</t>
  </si>
  <si>
    <t xml:space="preserve">M 7.0 - 101 km SW of Atka, Alaska</t>
  </si>
  <si>
    <t xml:space="preserve">30/08/2013 16:25</t>
  </si>
  <si>
    <t xml:space="preserve">M 6.5 - 29 km SE of Blenheim, New Zealand</t>
  </si>
  <si>
    <t xml:space="preserve">16/08/2013 02:31</t>
  </si>
  <si>
    <t xml:space="preserve">M 6.7 - 101 km WSW of Bahía Solano, Colombia</t>
  </si>
  <si>
    <t xml:space="preserve">13/08/2013 15:43</t>
  </si>
  <si>
    <t xml:space="preserve">Bahía Solano, Colombia</t>
  </si>
  <si>
    <t xml:space="preserve">M 6.5 - 38 km ESE of Blenheim, New Zealand</t>
  </si>
  <si>
    <t xml:space="preserve">21/07/2013 05:09</t>
  </si>
  <si>
    <t xml:space="preserve">M 7.3 - South Sandwich Islands region</t>
  </si>
  <si>
    <t xml:space="preserve">15/07/2013 14:03</t>
  </si>
  <si>
    <t xml:space="preserve">M 6.6 - 26 km NE of Kandrian, Papua New Guinea</t>
  </si>
  <si>
    <t xml:space="preserve">07/07/2013 20:30</t>
  </si>
  <si>
    <t xml:space="preserve">M 7.3 - 190 km ENE of Kokopo, Papua New Guinea</t>
  </si>
  <si>
    <t xml:space="preserve">07/07/2013 18:35</t>
  </si>
  <si>
    <t xml:space="preserve">M 6.6 - northern Mid-Atlantic Ridge</t>
  </si>
  <si>
    <t xml:space="preserve">24/06/2013 22:04</t>
  </si>
  <si>
    <t xml:space="preserve">northern Mid-Atlantic Ridge</t>
  </si>
  <si>
    <t xml:space="preserve">M 6.5 - 44 km W of Masachapa, Nicaragua</t>
  </si>
  <si>
    <t xml:space="preserve">15/06/2013 17:34</t>
  </si>
  <si>
    <t xml:space="preserve">M 6.7 - south of Java, Indonesia</t>
  </si>
  <si>
    <t xml:space="preserve">13/06/2013 16:47</t>
  </si>
  <si>
    <t xml:space="preserve">Java, Indonesia</t>
  </si>
  <si>
    <t xml:space="preserve">24/05/2013 14:56</t>
  </si>
  <si>
    <t xml:space="preserve">M 8.3 - Sea of Okhotsk</t>
  </si>
  <si>
    <t xml:space="preserve">24/05/2013 05:44</t>
  </si>
  <si>
    <t xml:space="preserve">M 7.4 - 292 km SW of Vaini, Tonga</t>
  </si>
  <si>
    <t xml:space="preserve">23/05/2013 17:19</t>
  </si>
  <si>
    <t xml:space="preserve">Vaini, Tonga</t>
  </si>
  <si>
    <t xml:space="preserve">M 6.8 - Pagan region, Northern Mariana Islands</t>
  </si>
  <si>
    <t xml:space="preserve">14/05/2013 00:32</t>
  </si>
  <si>
    <t xml:space="preserve">M 6.5 - 33 km N of Rabaul, Papua New Guinea</t>
  </si>
  <si>
    <t xml:space="preserve">23/04/2013 23:14</t>
  </si>
  <si>
    <t xml:space="preserve">M 6.6 - 56 km WSW of Linqiong, China</t>
  </si>
  <si>
    <t xml:space="preserve">20/04/2013 00:02</t>
  </si>
  <si>
    <t xml:space="preserve">Linqiong, China</t>
  </si>
  <si>
    <t xml:space="preserve">M 7.2 - 252 km ENE of Kuril’sk, Russia</t>
  </si>
  <si>
    <t xml:space="preserve">19/04/2013 03:05</t>
  </si>
  <si>
    <t xml:space="preserve">M 6.6 - 23 km ESE of Aitape, Papua New Guinea</t>
  </si>
  <si>
    <t xml:space="preserve">16/04/2013 22:55</t>
  </si>
  <si>
    <t xml:space="preserve">Aitape, Papua New Guinea</t>
  </si>
  <si>
    <t xml:space="preserve">M 7.7 - 79 km ESE of Kh?sh, Iran</t>
  </si>
  <si>
    <t xml:space="preserve">16/04/2013 10:44</t>
  </si>
  <si>
    <t xml:space="preserve">Kh?sh, Iran</t>
  </si>
  <si>
    <t xml:space="preserve">M 6.6 - 98 km W of Panguna, Papua New Guinea</t>
  </si>
  <si>
    <t xml:space="preserve">14/04/2013 01:32</t>
  </si>
  <si>
    <t xml:space="preserve">M 7.0 - 260 km WSW of Abepura, Indonesia</t>
  </si>
  <si>
    <t xml:space="preserve">06/04/2013 04:42</t>
  </si>
  <si>
    <t xml:space="preserve">M 6.5 - 36 km E of Finschhafen, Papua New Guinea</t>
  </si>
  <si>
    <t xml:space="preserve">10/03/2013 22:51</t>
  </si>
  <si>
    <t xml:space="preserve">M 6.5 - 87 km SE of Ozernovskiy, Russia</t>
  </si>
  <si>
    <t xml:space="preserve">01/03/2013 13:20</t>
  </si>
  <si>
    <t xml:space="preserve">M 6.9 - 81 km SE of Ozernovskiy, Russia</t>
  </si>
  <si>
    <t xml:space="preserve">28/02/2013 14:05</t>
  </si>
  <si>
    <t xml:space="preserve">M 6.6 - 183 km SW of Belaya Gora, Russia</t>
  </si>
  <si>
    <t xml:space="preserve">14/02/2013 13:13</t>
  </si>
  <si>
    <t xml:space="preserve">Belaya Gora, Russia</t>
  </si>
  <si>
    <t xml:space="preserve">M 6.6 - 30 km SSW of Lata, Solomon Islands</t>
  </si>
  <si>
    <t xml:space="preserve">09/02/2013 21:02</t>
  </si>
  <si>
    <t xml:space="preserve">M 6.9 - 2 km NNE of Yacuanquer, Colombia</t>
  </si>
  <si>
    <t xml:space="preserve">09/02/2013 14:16</t>
  </si>
  <si>
    <t xml:space="preserve">Yacuanquer, Colombia</t>
  </si>
  <si>
    <t xml:space="preserve">M 7.1 - 32 km SE of Lata, Solomon Islands</t>
  </si>
  <si>
    <t xml:space="preserve">08/02/2013 15:26</t>
  </si>
  <si>
    <t xml:space="preserve">M 6.8 - 22 km ESE of Lata, Solomon Islands</t>
  </si>
  <si>
    <t xml:space="preserve">08/02/2013 11:12</t>
  </si>
  <si>
    <t xml:space="preserve">M 6.7 - 33 km SSW of Lata, Solomon Islands</t>
  </si>
  <si>
    <t xml:space="preserve">07/02/2013 18:59</t>
  </si>
  <si>
    <t xml:space="preserve">M 7.0 - 33 km NW of Lata, Solomon Islands</t>
  </si>
  <si>
    <t xml:space="preserve">06/02/2013 01:54</t>
  </si>
  <si>
    <t xml:space="preserve">M 7.1 - 112 km WSW of Lata, Solomon Islands</t>
  </si>
  <si>
    <t xml:space="preserve">06/02/2013 01:23</t>
  </si>
  <si>
    <t xml:space="preserve">M 8.0 - 75 km W of Lata, Solomon Islands</t>
  </si>
  <si>
    <t xml:space="preserve">06/02/2013 01:12</t>
  </si>
  <si>
    <t xml:space="preserve">M 6.9 - 18 km SSW of Obihiro, Japan</t>
  </si>
  <si>
    <t xml:space="preserve">02/02/2013 14:17</t>
  </si>
  <si>
    <t xml:space="preserve">Obihiro, Japan</t>
  </si>
  <si>
    <t xml:space="preserve">M 6.8 - 54 km N of Vallenar, Chile</t>
  </si>
  <si>
    <t xml:space="preserve">30/01/2013 20:15</t>
  </si>
  <si>
    <t xml:space="preserve">M 7.5 - 110 km SW of Edna Bay, Alaska</t>
  </si>
  <si>
    <t xml:space="preserve">05/01/2013 08:58</t>
  </si>
  <si>
    <t xml:space="preserve">Edna Bay, Alaska</t>
  </si>
  <si>
    <t xml:space="preserve">M 6.7 - 59 km SSW of Sola, Vanuatu</t>
  </si>
  <si>
    <t xml:space="preserve">21/12/2012 22:28</t>
  </si>
  <si>
    <t xml:space="preserve">M 7.1 - Banda Sea</t>
  </si>
  <si>
    <t xml:space="preserve">10/12/2012 16:53</t>
  </si>
  <si>
    <t xml:space="preserve">M 7.3 - 234 km SE of ?funato, Japan</t>
  </si>
  <si>
    <t xml:space="preserve">07/12/2012 08:18</t>
  </si>
  <si>
    <t xml:space="preserve">M 6.5 - 32 km SW of Champerico, Guatemala</t>
  </si>
  <si>
    <t xml:space="preserve">11/11/2012 22:14</t>
  </si>
  <si>
    <t xml:space="preserve">Champerico, Guatemala</t>
  </si>
  <si>
    <t xml:space="preserve">M 6.8 - 51 km NNE of Shwebo, Myanmar</t>
  </si>
  <si>
    <t xml:space="preserve">11/11/2012 01:12</t>
  </si>
  <si>
    <t xml:space="preserve">Shwebo, Myanmar</t>
  </si>
  <si>
    <t xml:space="preserve">M 7.4 - 33 km S of Champerico, Guatemala</t>
  </si>
  <si>
    <t xml:space="preserve">07/11/2012 16:35</t>
  </si>
  <si>
    <t xml:space="preserve">M 7.8 - 206 km SW of Prince Rupert, Canada</t>
  </si>
  <si>
    <t xml:space="preserve">28/10/2012 03:04</t>
  </si>
  <si>
    <t xml:space="preserve">Prince Rupert, Canada</t>
  </si>
  <si>
    <t xml:space="preserve">Canada</t>
  </si>
  <si>
    <t xml:space="preserve">M 6.5 - Costa Rica</t>
  </si>
  <si>
    <t xml:space="preserve">24/10/2012 00:45</t>
  </si>
  <si>
    <t xml:space="preserve">M 6.6 - 163 km ENE of Tual, Indonesia</t>
  </si>
  <si>
    <t xml:space="preserve">12/10/2012 00:31</t>
  </si>
  <si>
    <t xml:space="preserve">Tual, Indonesia</t>
  </si>
  <si>
    <t xml:space="preserve">M 7.3 - 11 km WNW of San Agustín, Colombia</t>
  </si>
  <si>
    <t xml:space="preserve">30/09/2012 16:31</t>
  </si>
  <si>
    <t xml:space="preserve">San Agustín, Colombia</t>
  </si>
  <si>
    <t xml:space="preserve">M 7.6 - 11 km ENE of Hojancha, Costa Rica</t>
  </si>
  <si>
    <t xml:space="preserve">05/09/2012 14:42</t>
  </si>
  <si>
    <t xml:space="preserve">Hojancha, Costa Rica</t>
  </si>
  <si>
    <t xml:space="preserve">M 7.6 - 89 km E of Sulangan, Philippines</t>
  </si>
  <si>
    <t xml:space="preserve">31/08/2012 12:47</t>
  </si>
  <si>
    <t xml:space="preserve">Sulangan, Philippines</t>
  </si>
  <si>
    <t xml:space="preserve">M 7.3 - 126 km S of Puerto El Triunfo, El Salvador</t>
  </si>
  <si>
    <t xml:space="preserve">27/08/2012 04:37</t>
  </si>
  <si>
    <t xml:space="preserve">M 6.6 - 140 km WNW of Tobelo, Indonesia</t>
  </si>
  <si>
    <t xml:space="preserve">26/08/2012 15:05</t>
  </si>
  <si>
    <t xml:space="preserve">M 7.7 - 156 km ENE of Poronaysk, Russia</t>
  </si>
  <si>
    <t xml:space="preserve">14/08/2012 02:59</t>
  </si>
  <si>
    <t xml:space="preserve">Poronaysk, Russia</t>
  </si>
  <si>
    <t xml:space="preserve">M 6.5 - 105 km ESE of Kokopo, Papua New Guinea</t>
  </si>
  <si>
    <t xml:space="preserve">28/07/2012 20:03</t>
  </si>
  <si>
    <t xml:space="preserve">M 6.6 - 76 km W of Neiafu, Tonga</t>
  </si>
  <si>
    <t xml:space="preserve">28/04/2012 10:08</t>
  </si>
  <si>
    <t xml:space="preserve">M 6.7 - 86 km SSE of Manokwari, Indonesia</t>
  </si>
  <si>
    <t xml:space="preserve">21/04/2012 01:16</t>
  </si>
  <si>
    <t xml:space="preserve">Manokwari, Indonesia</t>
  </si>
  <si>
    <t xml:space="preserve">M 6.8 - 140 km N of Lae, Papua New Guinea</t>
  </si>
  <si>
    <t xml:space="preserve">17/04/2012 07:13</t>
  </si>
  <si>
    <t xml:space="preserve">Lae, Papua New Guinea</t>
  </si>
  <si>
    <t xml:space="preserve">M 6.7 - 22 km NW of Hacienda La Calera, Chile</t>
  </si>
  <si>
    <t xml:space="preserve">17/04/2012 03:50</t>
  </si>
  <si>
    <t xml:space="preserve">Hacienda La Calera, Chile</t>
  </si>
  <si>
    <t xml:space="preserve">M 7.0 - 69 km ENE of San Luis, Mexico</t>
  </si>
  <si>
    <t xml:space="preserve">12/04/2012 07:15</t>
  </si>
  <si>
    <t xml:space="preserve">San Luis, Mexico</t>
  </si>
  <si>
    <t xml:space="preserve">M 6.5 - 41 km NW of El Habillal, Mexico</t>
  </si>
  <si>
    <t xml:space="preserve">11/04/2012 22:55</t>
  </si>
  <si>
    <t xml:space="preserve">El Habillal, Mexico</t>
  </si>
  <si>
    <t xml:space="preserve">M 8.2 - off the west coast of northern Sumatra</t>
  </si>
  <si>
    <t xml:space="preserve">11/04/2012 10:43</t>
  </si>
  <si>
    <t xml:space="preserve">off the west coast of northern Sumatra</t>
  </si>
  <si>
    <t xml:space="preserve">M 8.6 - off the west coast of northern Sumatra</t>
  </si>
  <si>
    <t xml:space="preserve">11/04/2012 08:38</t>
  </si>
  <si>
    <t xml:space="preserve">official</t>
  </si>
  <si>
    <t xml:space="preserve">M 7.1 - 23 km NE of Constitución, Chile</t>
  </si>
  <si>
    <t xml:space="preserve">25/03/2012 22:37</t>
  </si>
  <si>
    <t xml:space="preserve">M 6.6 - 11 km ENE of Kainantu, Papua New Guinea</t>
  </si>
  <si>
    <t xml:space="preserve">21/03/2012 22:15</t>
  </si>
  <si>
    <t xml:space="preserve">M 7.4 - 6 km E of Santiago Llano Grande, Mexico</t>
  </si>
  <si>
    <t xml:space="preserve">20/03/2012 18:02</t>
  </si>
  <si>
    <t xml:space="preserve">Santiago Llano Grande, Mexico</t>
  </si>
  <si>
    <t xml:space="preserve">M 6.7 - 38 km NE of Saryg-Sep, Russia</t>
  </si>
  <si>
    <t xml:space="preserve">26/02/2012 06:17</t>
  </si>
  <si>
    <t xml:space="preserve">Saryg-Sep, Russia</t>
  </si>
  <si>
    <t xml:space="preserve">M 6.7 - 2 km NNE of Jimalalud, Philippines</t>
  </si>
  <si>
    <t xml:space="preserve">06/02/2012 03:49</t>
  </si>
  <si>
    <t xml:space="preserve">Jimalalud, Philippines</t>
  </si>
  <si>
    <t xml:space="preserve">M 7.1 - 125 km W of Port-Vila, Vanuatu</t>
  </si>
  <si>
    <t xml:space="preserve">02/02/2012 13:34</t>
  </si>
  <si>
    <t xml:space="preserve">M 7.2 - off the west coast of northern Sumatra</t>
  </si>
  <si>
    <t xml:space="preserve">10/01/2012 18:36</t>
  </si>
  <si>
    <t xml:space="preserve">M 6.6 - 45 km NNE of Saryg-Sep, Russia</t>
  </si>
  <si>
    <t xml:space="preserve">27/12/2011 15:21</t>
  </si>
  <si>
    <t xml:space="preserve">M 7.1 - 25 km SSE of Wau, Papua New Guinea</t>
  </si>
  <si>
    <t xml:space="preserve">14/12/2011 05:04</t>
  </si>
  <si>
    <t xml:space="preserve">Wau, Papua New Guinea</t>
  </si>
  <si>
    <t xml:space="preserve">M 6.5 - 6 km SSW of Nuevo Balsas, Mexico</t>
  </si>
  <si>
    <t xml:space="preserve">11/12/2011 01:47</t>
  </si>
  <si>
    <t xml:space="preserve">Nuevo Balsas, Mexico</t>
  </si>
  <si>
    <t xml:space="preserve">M 6.9 - 39 km SW of Santiago, Peru</t>
  </si>
  <si>
    <t xml:space="preserve">28/10/2011 18:54</t>
  </si>
  <si>
    <t xml:space="preserve">Santiago, Peru</t>
  </si>
  <si>
    <t xml:space="preserve">M 7.1 - 27 km NNE of Van, Turkey</t>
  </si>
  <si>
    <t xml:space="preserve">23/10/2011 10:41</t>
  </si>
  <si>
    <t xml:space="preserve">Van, Turkey</t>
  </si>
  <si>
    <t xml:space="preserve">M 6.5 - 4 km ESE of Finschhafen, Papua New Guinea</t>
  </si>
  <si>
    <t xml:space="preserve">14/10/2011 03:35</t>
  </si>
  <si>
    <t xml:space="preserve">M 6.9 - 43 km NW of Mangan, India</t>
  </si>
  <si>
    <t xml:space="preserve">18/09/2011 12:40</t>
  </si>
  <si>
    <t xml:space="preserve">Mangan, India</t>
  </si>
  <si>
    <t xml:space="preserve">M 6.7 - 99 km NE of Miyako, Japan</t>
  </si>
  <si>
    <t xml:space="preserve">16/09/2011 19:26</t>
  </si>
  <si>
    <t xml:space="preserve">M 6.7 - 68 km WSW of Kabanjahe, Indonesia</t>
  </si>
  <si>
    <t xml:space="preserve">05/09/2011 17:55</t>
  </si>
  <si>
    <t xml:space="preserve">Kabanjahe, Indonesia</t>
  </si>
  <si>
    <t xml:space="preserve">M 7.0 - 133 km SSE of Isangel, Vanuatu</t>
  </si>
  <si>
    <t xml:space="preserve">03/09/2011 22:55</t>
  </si>
  <si>
    <t xml:space="preserve">M 7.0 - 64 km ESE of Contamana, Peru</t>
  </si>
  <si>
    <t xml:space="preserve">24/08/2011 17:46</t>
  </si>
  <si>
    <t xml:space="preserve">Contamana, Peru</t>
  </si>
  <si>
    <t xml:space="preserve">M 7.1 - 64 km S of Port-Vila, Vanuatu</t>
  </si>
  <si>
    <t xml:space="preserve">20/08/2011 18:19</t>
  </si>
  <si>
    <t xml:space="preserve">M 6.5 - 65 km SSW of Port-Vila, Vanuatu</t>
  </si>
  <si>
    <t xml:space="preserve">20/08/2011 17:13</t>
  </si>
  <si>
    <t xml:space="preserve">M 7.2 - 71 km SSW of Port-Vila, Vanuatu</t>
  </si>
  <si>
    <t xml:space="preserve">20/08/2011 16:55</t>
  </si>
  <si>
    <t xml:space="preserve">M 6.6 - 103 km NE of Angoram, Papua New Guinea</t>
  </si>
  <si>
    <t xml:space="preserve">31/07/2011 23:38</t>
  </si>
  <si>
    <t xml:space="preserve">M 7.6 - Kermadec Islands region</t>
  </si>
  <si>
    <t xml:space="preserve">06/07/2011 19:03</t>
  </si>
  <si>
    <t xml:space="preserve">M 6.7 - 41 km NNE of Miyako, Japan</t>
  </si>
  <si>
    <t xml:space="preserve">22/06/2011 21:50</t>
  </si>
  <si>
    <t xml:space="preserve">M 6.8 - 124 km NE of Wé, New Caledonia</t>
  </si>
  <si>
    <t xml:space="preserve">10/05/2011 08:55</t>
  </si>
  <si>
    <t xml:space="preserve">Wé, New Caledonia</t>
  </si>
  <si>
    <t xml:space="preserve">M 6.8 - 79 km W of Kirakira, Solomon Islands</t>
  </si>
  <si>
    <t xml:space="preserve">23/04/2011 04:16</t>
  </si>
  <si>
    <t xml:space="preserve">M 6.6 - 17 km SSW of Ishikawa, Japan</t>
  </si>
  <si>
    <t xml:space="preserve">11/04/2011 08:16</t>
  </si>
  <si>
    <t xml:space="preserve">Ishikawa, Japan</t>
  </si>
  <si>
    <t xml:space="preserve">M 7.1 - 29 km ESE of Ishinomaki, Japan</t>
  </si>
  <si>
    <t xml:space="preserve">07/04/2011 14:32</t>
  </si>
  <si>
    <t xml:space="preserve">M 6.6 - 7 km SW of Helio García Alfaro, Mexico</t>
  </si>
  <si>
    <t xml:space="preserve">07/04/2011 13:11</t>
  </si>
  <si>
    <t xml:space="preserve">Helio García Alfaro, Mexico</t>
  </si>
  <si>
    <t xml:space="preserve">M 6.9 - 27 km NNW of Tachilek, Myanmar</t>
  </si>
  <si>
    <t xml:space="preserve">24/03/2011 13:55</t>
  </si>
  <si>
    <t xml:space="preserve">Tachilek, Myanmar</t>
  </si>
  <si>
    <t xml:space="preserve">M 6.6 - 50 km ESE of ?tsuchi, Japan</t>
  </si>
  <si>
    <t xml:space="preserve">11/03/2011 11:36</t>
  </si>
  <si>
    <t xml:space="preserve">ms</t>
  </si>
  <si>
    <t xml:space="preserve">?tsuchi, Japan</t>
  </si>
  <si>
    <t xml:space="preserve">M 6.5 - 81 km NE of Hasaki, Japan</t>
  </si>
  <si>
    <t xml:space="preserve">11/03/2011 08:19</t>
  </si>
  <si>
    <t xml:space="preserve">mb</t>
  </si>
  <si>
    <t xml:space="preserve">Hasaki, Japan</t>
  </si>
  <si>
    <t xml:space="preserve">M 7.7 - 272 km ESE of Kamaishi, Japan</t>
  </si>
  <si>
    <t xml:space="preserve">11/03/2011 06:25</t>
  </si>
  <si>
    <t xml:space="preserve">Kamaishi, Japan</t>
  </si>
  <si>
    <t xml:space="preserve">M 7.9 - 47 km E of ?arai, Japan</t>
  </si>
  <si>
    <t xml:space="preserve">11/03/2011 06:15</t>
  </si>
  <si>
    <t xml:space="preserve">?arai, Japan</t>
  </si>
  <si>
    <t xml:space="preserve">M 9.1 - 2011 Great Tohoku Earthquake, Japan</t>
  </si>
  <si>
    <t xml:space="preserve">11/03/2011 05:46</t>
  </si>
  <si>
    <t xml:space="preserve">2011 Great Tohoku Earthquake, Japan</t>
  </si>
  <si>
    <t xml:space="preserve">M 7.3 - 120 km SE of ?funato, Japan</t>
  </si>
  <si>
    <t xml:space="preserve">09/03/2011 02:45</t>
  </si>
  <si>
    <t xml:space="preserve">M 6.7 - 38 km W of Constitución, Chile</t>
  </si>
  <si>
    <t xml:space="preserve">14/02/2011 03:40</t>
  </si>
  <si>
    <t xml:space="preserve">M 6.9 - 21 km N of Tomé, Chile</t>
  </si>
  <si>
    <t xml:space="preserve">11/02/2011 20:05</t>
  </si>
  <si>
    <t xml:space="preserve">Tomé, Chile</t>
  </si>
  <si>
    <t xml:space="preserve">M 7.2 - 46 km WSW of Dalbandin, Pakistan</t>
  </si>
  <si>
    <t xml:space="preserve">18/01/2011 20:23</t>
  </si>
  <si>
    <t xml:space="preserve">Dalbandin, Pakistan</t>
  </si>
  <si>
    <t xml:space="preserve">M 7.0 - 118 km NNE of Tadine, New Caledonia</t>
  </si>
  <si>
    <t xml:space="preserve">13/01/2011 16:16</t>
  </si>
  <si>
    <t xml:space="preserve">M 7.2 - 42 km NNW of Carahue, Chile</t>
  </si>
  <si>
    <t xml:space="preserve">02/01/2011 20:20</t>
  </si>
  <si>
    <t xml:space="preserve">Carahue, Chile</t>
  </si>
  <si>
    <t xml:space="preserve">M 7.3 - 141 km W of Isangel, Vanuatu</t>
  </si>
  <si>
    <t xml:space="preserve">25/12/2010 13:16</t>
  </si>
  <si>
    <t xml:space="preserve">M 6.7 - 111 km SE of Bam, Iran</t>
  </si>
  <si>
    <t xml:space="preserve">20/12/2010 18:41</t>
  </si>
  <si>
    <t xml:space="preserve">Bam, Iran</t>
  </si>
  <si>
    <t xml:space="preserve">M 6.6 - 52 km ENE of Kandrian, Papua New Guinea</t>
  </si>
  <si>
    <t xml:space="preserve">02/12/2010 03:12</t>
  </si>
  <si>
    <t xml:space="preserve">M 7.8 - 215 km SW of Sungai Penuh, Indonesia</t>
  </si>
  <si>
    <t xml:space="preserve">25/10/2010 14:42</t>
  </si>
  <si>
    <t xml:space="preserve">M 6.7 - 97 km SSW of El Huitusi, Mexico</t>
  </si>
  <si>
    <t xml:space="preserve">21/10/2010 17:53</t>
  </si>
  <si>
    <t xml:space="preserve">El Huitusi, Mexico</t>
  </si>
  <si>
    <t xml:space="preserve">M 7.0 - Near the south coast of Papua, Indonesia</t>
  </si>
  <si>
    <t xml:space="preserve">29/09/2010 17:11</t>
  </si>
  <si>
    <t xml:space="preserve">Papua, Indonesia</t>
  </si>
  <si>
    <t xml:space="preserve">M 7.0 - 19 km NE of Methven, New Zealand</t>
  </si>
  <si>
    <t xml:space="preserve">03/09/2010 16:35</t>
  </si>
  <si>
    <t xml:space="preserve">Methven, New Zealand</t>
  </si>
  <si>
    <t xml:space="preserve">M 7.1 - Ecuador</t>
  </si>
  <si>
    <t xml:space="preserve">12/08/2010 11:54</t>
  </si>
  <si>
    <t xml:space="preserve">M 7.3 - 33 km NW of Port-Vila, Vanuatu</t>
  </si>
  <si>
    <t xml:space="preserve">10/08/2010 05:23</t>
  </si>
  <si>
    <t xml:space="preserve">M 7.0 - 72 km ESE of Kimbe, Papua New Guinea</t>
  </si>
  <si>
    <t xml:space="preserve">04/08/2010 22:01</t>
  </si>
  <si>
    <t xml:space="preserve">M 6.5 - 118 km ESE of Madang, Papua New Guinea</t>
  </si>
  <si>
    <t xml:space="preserve">04/08/2010 07:15</t>
  </si>
  <si>
    <t xml:space="preserve">Madang, Papua New Guinea</t>
  </si>
  <si>
    <t xml:space="preserve">M 7.6 - 61 km W of Bantogon, Philippines</t>
  </si>
  <si>
    <t xml:space="preserve">23/07/2010 22:51</t>
  </si>
  <si>
    <t xml:space="preserve">Bantogon, Philippines</t>
  </si>
  <si>
    <t xml:space="preserve">M 7.3 - New Britain region, Papua New Guinea</t>
  </si>
  <si>
    <t xml:space="preserve">18/07/2010 13:34</t>
  </si>
  <si>
    <t xml:space="preserve">New Britain region, Papua New Guinea</t>
  </si>
  <si>
    <t xml:space="preserve">M 6.9 - 56 km SE of Kimbe, Papua New Guinea</t>
  </si>
  <si>
    <t xml:space="preserve">18/07/2010 13:04</t>
  </si>
  <si>
    <t xml:space="preserve">M 6.6 - 30 km SSE of Cañete, Chile</t>
  </si>
  <si>
    <t xml:space="preserve">14/07/2010 08:32</t>
  </si>
  <si>
    <t xml:space="preserve">Cañete, Chile</t>
  </si>
  <si>
    <t xml:space="preserve">M 6.7 - 55 km WSW of Kirakira, Solomon Islands</t>
  </si>
  <si>
    <t xml:space="preserve">26/06/2010 05:30</t>
  </si>
  <si>
    <t xml:space="preserve">M 6.6 - 135 km SSE of Biak, Indonesia</t>
  </si>
  <si>
    <t xml:space="preserve">16/06/2010 03:58</t>
  </si>
  <si>
    <t xml:space="preserve">Biak, Indonesia</t>
  </si>
  <si>
    <t xml:space="preserve">M 7.0 - 121 km SSE of Biak, Indonesia</t>
  </si>
  <si>
    <t xml:space="preserve">16/06/2010 03:16</t>
  </si>
  <si>
    <t xml:space="preserve">M 7.5 - Nicobar Islands, India region</t>
  </si>
  <si>
    <t xml:space="preserve">12/06/2010 19:26</t>
  </si>
  <si>
    <t xml:space="preserve">M 7.2 - 100 km WNW of Sola, Vanuatu</t>
  </si>
  <si>
    <t xml:space="preserve">27/05/2010 17:14</t>
  </si>
  <si>
    <t xml:space="preserve">M 7.2 - 45 km SSW of Meulaboh, Indonesia</t>
  </si>
  <si>
    <t xml:space="preserve">09/05/2010 05:59</t>
  </si>
  <si>
    <t xml:space="preserve">Meulaboh, Indonesia</t>
  </si>
  <si>
    <t xml:space="preserve">M 6.9 - 233 km NNW of Qamdo, China</t>
  </si>
  <si>
    <t xml:space="preserve">13/04/2010 23:49</t>
  </si>
  <si>
    <t xml:space="preserve">Qamdo, China</t>
  </si>
  <si>
    <t xml:space="preserve">M 6.9 - 99 km WSW of Kirakira, Solomon Islands</t>
  </si>
  <si>
    <t xml:space="preserve">11/04/2010 09:40</t>
  </si>
  <si>
    <t xml:space="preserve">M 7.8 - 75 km E of Sinabang, Indonesia</t>
  </si>
  <si>
    <t xml:space="preserve">06/04/2010 22:15</t>
  </si>
  <si>
    <t xml:space="preserve">M 7.2 - 12km SW of Delta, B.C., MX</t>
  </si>
  <si>
    <t xml:space="preserve">04/04/2010 22:40</t>
  </si>
  <si>
    <t xml:space="preserve">Delta, B.C., MX</t>
  </si>
  <si>
    <t xml:space="preserve">M 6.6 - 217 km N of Bamboo Flat, India</t>
  </si>
  <si>
    <t xml:space="preserve">30/03/2010 16:54</t>
  </si>
  <si>
    <t xml:space="preserve">Bamboo Flat, India</t>
  </si>
  <si>
    <t xml:space="preserve">M 6.7 - 52 km NNW of Tomé, Chile</t>
  </si>
  <si>
    <t xml:space="preserve">16/03/2010 02:21</t>
  </si>
  <si>
    <t xml:space="preserve">M 6.5 - 59 km ENE of Namie, Japan</t>
  </si>
  <si>
    <t xml:space="preserve">14/03/2010 08:08</t>
  </si>
  <si>
    <t xml:space="preserve">M 7.0 - 52 km NW of Santa Cruz, Chile</t>
  </si>
  <si>
    <t xml:space="preserve">11/03/2010 14:55</t>
  </si>
  <si>
    <t xml:space="preserve">Santa Cruz, Chile</t>
  </si>
  <si>
    <t xml:space="preserve">M 6.9 - 61 km NW of Santa Cruz, Chile</t>
  </si>
  <si>
    <t xml:space="preserve">11/03/2010 14:39</t>
  </si>
  <si>
    <t xml:space="preserve">M 6.8 - 141 km W of Bengkulu, Indonesia</t>
  </si>
  <si>
    <t xml:space="preserve">05/03/2010 16:07</t>
  </si>
  <si>
    <t xml:space="preserve">M 6.6 - 23 km WNW of Talcahuano, Chile</t>
  </si>
  <si>
    <t xml:space="preserve">05/03/2010 11:47</t>
  </si>
  <si>
    <t xml:space="preserve">Talcahuano, Chile</t>
  </si>
  <si>
    <t xml:space="preserve">M 6.5 - 48 km NW of Sola, Vanuatu</t>
  </si>
  <si>
    <t xml:space="preserve">04/03/2010 14:02</t>
  </si>
  <si>
    <t xml:space="preserve">M 7.4 - 124 km W of Lebu, Chile</t>
  </si>
  <si>
    <t xml:space="preserve">27/02/2010 08:01</t>
  </si>
  <si>
    <t xml:space="preserve">Lebu, Chile</t>
  </si>
  <si>
    <t xml:space="preserve">M 8.8 - 36 km WNW of Quirihue, Chile</t>
  </si>
  <si>
    <t xml:space="preserve">27/02/2010 06:34</t>
  </si>
  <si>
    <t xml:space="preserve">Quirihue, Chile</t>
  </si>
  <si>
    <t xml:space="preserve">M 7.0 - 70 km SE of Katsuren-haebaru, Japan</t>
  </si>
  <si>
    <t xml:space="preserve">26/02/2010 20:31</t>
  </si>
  <si>
    <t xml:space="preserve">Katsuren-haebaru, Japan</t>
  </si>
  <si>
    <t xml:space="preserve">M 7.0 - 10 km SE of Léogâne, Haiti</t>
  </si>
  <si>
    <t xml:space="preserve">12/01/2010 21:53</t>
  </si>
  <si>
    <t xml:space="preserve">Léogâne, Haiti</t>
  </si>
  <si>
    <t xml:space="preserve">M 6.5 - 37 km WNW of Ferndale, California</t>
  </si>
  <si>
    <t xml:space="preserve">10/01/2010 00:27</t>
  </si>
  <si>
    <t xml:space="preserve">M 6.8 - 127 km SE of Gizo, Solomon Islands</t>
  </si>
  <si>
    <t xml:space="preserve">05/01/2010 12:15</t>
  </si>
  <si>
    <t xml:space="preserve">M 7.1 - 94 km SE of Gizo, Solomon Islands</t>
  </si>
  <si>
    <t xml:space="preserve">03/01/2010 22:36</t>
  </si>
  <si>
    <t xml:space="preserve">M 6.6 - 98 km SE of Gizo, Solomon Islands</t>
  </si>
  <si>
    <t xml:space="preserve">03/01/2010 21:48</t>
  </si>
  <si>
    <t xml:space="preserve">M 6.5 - 92 km N of Iquique, Chile</t>
  </si>
  <si>
    <t xml:space="preserve">13/11/2009 03:05</t>
  </si>
  <si>
    <t xml:space="preserve">M 7.3 - 77 km ENE of Ba, Fiji</t>
  </si>
  <si>
    <t xml:space="preserve">09/11/2009 10:44</t>
  </si>
  <si>
    <t xml:space="preserve">Ba, Fiji</t>
  </si>
  <si>
    <t xml:space="preserve">M 6.6 - 29 km NNW of Bima, Indonesia</t>
  </si>
  <si>
    <t xml:space="preserve">08/11/2009 19:41</t>
  </si>
  <si>
    <t xml:space="preserve">Bima, Indonesia</t>
  </si>
  <si>
    <t xml:space="preserve">M 6.8 - 98 km NNE of Naze, Japan</t>
  </si>
  <si>
    <t xml:space="preserve">30/10/2009 07:03</t>
  </si>
  <si>
    <t xml:space="preserve">M 6.9 - 268 km WSW of Tual, Indonesia</t>
  </si>
  <si>
    <t xml:space="preserve">24/10/2009 14:40</t>
  </si>
  <si>
    <t xml:space="preserve">M 6.8 - 188 km WNW of Sola, Vanuatu</t>
  </si>
  <si>
    <t xml:space="preserve">08/10/2009 08:28</t>
  </si>
  <si>
    <t xml:space="preserve">M 7.4 - 143 km NW of Sola, Vanuatu</t>
  </si>
  <si>
    <t xml:space="preserve">07/10/2009 23:13</t>
  </si>
  <si>
    <t xml:space="preserve">M 7.8 - 196 km NW of Sola, Vanuatu</t>
  </si>
  <si>
    <t xml:space="preserve">07/10/2009 22:18</t>
  </si>
  <si>
    <t xml:space="preserve">M 7.7 - 148 km NW of Sola, Vanuatu</t>
  </si>
  <si>
    <t xml:space="preserve">07/10/2009 22:03</t>
  </si>
  <si>
    <t xml:space="preserve">M 6.6 - 49 km SSE of Sungai Penuh, Indonesia</t>
  </si>
  <si>
    <t xml:space="preserve">01/10/2009 01:52</t>
  </si>
  <si>
    <t xml:space="preserve">M 7.6 - 30 km WSW of Pariaman, Indonesia</t>
  </si>
  <si>
    <t xml:space="preserve">30/09/2009 10:16</t>
  </si>
  <si>
    <t xml:space="preserve">M 8.1 - 168 km SSW of Matavai, Samoa</t>
  </si>
  <si>
    <t xml:space="preserve">29/09/2009 17:48</t>
  </si>
  <si>
    <t xml:space="preserve">Matavai, Samoa</t>
  </si>
  <si>
    <t xml:space="preserve">M 7.0 - 66 km SSW of Banjar, Indonesia</t>
  </si>
  <si>
    <t xml:space="preserve">02/09/2009 07:55</t>
  </si>
  <si>
    <t xml:space="preserve">Banjar, Indonesia</t>
  </si>
  <si>
    <t xml:space="preserve">M 6.7 - 112 km WSW of Padang, Indonesia</t>
  </si>
  <si>
    <t xml:space="preserve">16/08/2009 07:38</t>
  </si>
  <si>
    <t xml:space="preserve">Padang, Indonesia</t>
  </si>
  <si>
    <t xml:space="preserve">M 6.6 - 244 km SSE of Tateyama, Japan</t>
  </si>
  <si>
    <t xml:space="preserve">12/08/2009 22:48</t>
  </si>
  <si>
    <t xml:space="preserve">Tateyama, Japan</t>
  </si>
  <si>
    <t xml:space="preserve">M 7.5 - 266 km N of Bamboo Flat, India</t>
  </si>
  <si>
    <t xml:space="preserve">10/08/2009 19:55</t>
  </si>
  <si>
    <t xml:space="preserve">M 7.1 - 161 km S of ?yama, Japan</t>
  </si>
  <si>
    <t xml:space="preserve">09/08/2009 10:55</t>
  </si>
  <si>
    <t xml:space="preserve">?yama, Japan</t>
  </si>
  <si>
    <t xml:space="preserve">M 6.9 - 96 km WNW of Bahía de Kino, Mexico</t>
  </si>
  <si>
    <t xml:space="preserve">03/08/2009 17:59</t>
  </si>
  <si>
    <t xml:space="preserve">Bahía de Kino, Mexico</t>
  </si>
  <si>
    <t xml:space="preserve">M 7.8 - 97 km WSW of Te Anau, New Zealand</t>
  </si>
  <si>
    <t xml:space="preserve">15/07/2009 09:22</t>
  </si>
  <si>
    <t xml:space="preserve">Te Anau, New Zealand</t>
  </si>
  <si>
    <t xml:space="preserve">M 6.7 - 190 km ESE of Kokopo, Papua New Guinea</t>
  </si>
  <si>
    <t xml:space="preserve">23/06/2009 14:19</t>
  </si>
  <si>
    <t xml:space="preserve">M 7.3 - 46 km NW of Guanaja, Honduras</t>
  </si>
  <si>
    <t xml:space="preserve">28/05/2009 08:24</t>
  </si>
  <si>
    <t xml:space="preserve">Guanaja, Honduras</t>
  </si>
  <si>
    <t xml:space="preserve">M 7.6 - 191 km S of ‘Ohonua, Tonga</t>
  </si>
  <si>
    <t xml:space="preserve">19/03/2009 18:17</t>
  </si>
  <si>
    <t xml:space="preserve">‘Ohonua, Tonga</t>
  </si>
  <si>
    <t xml:space="preserve">M 7.2 - 196 km SSE of Sarangani, Philippines</t>
  </si>
  <si>
    <t xml:space="preserve">11/02/2009 17:34</t>
  </si>
  <si>
    <t xml:space="preserve">M 7.4 - 86 km WNW of Manokwari, Indonesia</t>
  </si>
  <si>
    <t xml:space="preserve">03/01/2009 22:33</t>
  </si>
  <si>
    <t xml:space="preserve">M 6.6 - 50 km S of Jurm, Afghanistan</t>
  </si>
  <si>
    <t xml:space="preserve">03/01/2009 20:23</t>
  </si>
  <si>
    <t xml:space="preserve">M 7.7 - 140 km WNW of Manokwari, Indonesia</t>
  </si>
  <si>
    <t xml:space="preserve">03/01/2009 19:43</t>
  </si>
  <si>
    <t xml:space="preserve">M 7.4 - 135 km NW of Gorontalo, Indonesia</t>
  </si>
  <si>
    <t xml:space="preserve">16/11/2008 17:02</t>
  </si>
  <si>
    <t xml:space="preserve">Gorontalo, Indonesia</t>
  </si>
  <si>
    <t xml:space="preserve">M 6.7 - 19 km SW of Brisas Barra de Suchiate, Mexico</t>
  </si>
  <si>
    <t xml:space="preserve">16/10/2008 19:41</t>
  </si>
  <si>
    <t xml:space="preserve">Brisas Barra de Suchiate, Mexico</t>
  </si>
  <si>
    <t xml:space="preserve">M 6.7 - 131 km SE of Nookat, Kyrgyzstan</t>
  </si>
  <si>
    <t xml:space="preserve">05/10/2008 15:52</t>
  </si>
  <si>
    <t xml:space="preserve">Nookat, Kyrgyzstan</t>
  </si>
  <si>
    <t xml:space="preserve">Kyrgyzstan</t>
  </si>
  <si>
    <t xml:space="preserve">M 6.8 - 122 km SSE of Obihiro, Japan</t>
  </si>
  <si>
    <t xml:space="preserve">11/09/2008 00:20</t>
  </si>
  <si>
    <t xml:space="preserve">M 6.6 - 73 km WNW of Tobelo, Indonesia</t>
  </si>
  <si>
    <t xml:space="preserve">11/09/2008 00:00</t>
  </si>
  <si>
    <t xml:space="preserve">M 6.9 - 75 km WNW of Sola, Vanuatu</t>
  </si>
  <si>
    <t xml:space="preserve">08/09/2008 18:52</t>
  </si>
  <si>
    <t xml:space="preserve">M 6.7 - 221 km NE of Jumla, Nepal</t>
  </si>
  <si>
    <t xml:space="preserve">25/08/2008 13:21</t>
  </si>
  <si>
    <t xml:space="preserve">Jumla, Nepal</t>
  </si>
  <si>
    <t xml:space="preserve">M 6.8 - 29 km ENE of Morioka, Japan</t>
  </si>
  <si>
    <t xml:space="preserve">23/07/2008 15:26</t>
  </si>
  <si>
    <t xml:space="preserve">Morioka, Japan</t>
  </si>
  <si>
    <t xml:space="preserve">M 7.0 - 107 km E of Namie, Japan</t>
  </si>
  <si>
    <t xml:space="preserve">19/07/2008 02:39</t>
  </si>
  <si>
    <t xml:space="preserve">M 6.9 - 151 km E of Namie, Japan</t>
  </si>
  <si>
    <t xml:space="preserve">duputel</t>
  </si>
  <si>
    <t xml:space="preserve">M 6.6 - 124 km SW of Bamboo Flat, India</t>
  </si>
  <si>
    <t xml:space="preserve">27/06/2008 11:40</t>
  </si>
  <si>
    <t xml:space="preserve">M 6.9 - 24 km WSW of Mizusawa, Japan</t>
  </si>
  <si>
    <t xml:space="preserve">13/06/2008 23:43</t>
  </si>
  <si>
    <t xml:space="preserve">Mizusawa, Japan</t>
  </si>
  <si>
    <t xml:space="preserve">M 7.9 - 58 km W of Tianpeng, China</t>
  </si>
  <si>
    <t xml:space="preserve">12/05/2008 06:28</t>
  </si>
  <si>
    <t xml:space="preserve">Tianpeng, China</t>
  </si>
  <si>
    <t xml:space="preserve">M 6.9 - 78 km NE of Hasaki, Japan</t>
  </si>
  <si>
    <t xml:space="preserve">07/05/2008 16:45</t>
  </si>
  <si>
    <t xml:space="preserve">M 7.3 - 71 km SW of Isangel, Vanuatu</t>
  </si>
  <si>
    <t xml:space="preserve">09/04/2008 12:46</t>
  </si>
  <si>
    <t xml:space="preserve">M 7.2 - 226 km SE of Hotan, China</t>
  </si>
  <si>
    <t xml:space="preserve">20/03/2008 22:32</t>
  </si>
  <si>
    <t xml:space="preserve">M 6.9 - Philippine Islands region</t>
  </si>
  <si>
    <t xml:space="preserve">03/03/2008 14:11</t>
  </si>
  <si>
    <t xml:space="preserve">Philippine Islands region</t>
  </si>
  <si>
    <t xml:space="preserve">M 6.7 - 155 km SSW of Padang, Indonesia</t>
  </si>
  <si>
    <t xml:space="preserve">25/02/2008 21:02</t>
  </si>
  <si>
    <t xml:space="preserve">M 6.6 - 161 km SSW of Padang, Indonesia</t>
  </si>
  <si>
    <t xml:space="preserve">25/02/2008 18:06</t>
  </si>
  <si>
    <t xml:space="preserve">M 7.2 - 164 km WSW of Sungai Penuh, Indonesia</t>
  </si>
  <si>
    <t xml:space="preserve">25/02/2008 08:36</t>
  </si>
  <si>
    <t xml:space="preserve">M 6.5 - 166 km WSW of Sungai Penuh, Indonesia</t>
  </si>
  <si>
    <t xml:space="preserve">24/02/2008 14:46</t>
  </si>
  <si>
    <t xml:space="preserve">M 7.4 - 56 km NW of Sinabang, Indonesia</t>
  </si>
  <si>
    <t xml:space="preserve">20/02/2008 08:08</t>
  </si>
  <si>
    <t xml:space="preserve">M 6.5 - 50 km S of Koróni, Greece</t>
  </si>
  <si>
    <t xml:space="preserve">14/02/2008 12:08</t>
  </si>
  <si>
    <t xml:space="preserve">Koróni, Greece</t>
  </si>
  <si>
    <t xml:space="preserve">M 6.9 - 35 km S of Methóni, Greece</t>
  </si>
  <si>
    <t xml:space="preserve">14/02/2008 10:09</t>
  </si>
  <si>
    <t xml:space="preserve">Methóni, Greece</t>
  </si>
  <si>
    <t xml:space="preserve">M 6.5 - 9 km SSW of General Pascual Fentes, Mexico</t>
  </si>
  <si>
    <t xml:space="preserve">12/02/2008 12:50</t>
  </si>
  <si>
    <t xml:space="preserve">General Pascual Fentes, Mexico</t>
  </si>
  <si>
    <t xml:space="preserve">M 6.6 - 46 km SSE of Gisborne, New Zealand</t>
  </si>
  <si>
    <t xml:space="preserve">20/12/2007 07:55</t>
  </si>
  <si>
    <t xml:space="preserve">M 6.7 - 80 km NNE of Antofagasta, Chile</t>
  </si>
  <si>
    <t xml:space="preserve">16/12/2007 08:09</t>
  </si>
  <si>
    <t xml:space="preserve">Ant</t>
  </si>
  <si>
    <t xml:space="preserve">M 7.4 - 18 km WNW of Basse-Pointe, Martinique</t>
  </si>
  <si>
    <t xml:space="preserve">29/11/2007 19:00</t>
  </si>
  <si>
    <t xml:space="preserve">Basse-Pointe, Martinique</t>
  </si>
  <si>
    <t xml:space="preserve">Martinique</t>
  </si>
  <si>
    <t xml:space="preserve">M 6.6 - 60 km SSE of Kirakira, Solomon Islands</t>
  </si>
  <si>
    <t xml:space="preserve">27/11/2007 11:49</t>
  </si>
  <si>
    <t xml:space="preserve">M 6.5 - 34 km N of Dompu, Indonesia</t>
  </si>
  <si>
    <t xml:space="preserve">25/11/2007 19:53</t>
  </si>
  <si>
    <t xml:space="preserve">Dompu, Indonesia</t>
  </si>
  <si>
    <t xml:space="preserve">M 6.5 - 28 km NNW of Dompu, Indonesia</t>
  </si>
  <si>
    <t xml:space="preserve">25/11/2007 16:02</t>
  </si>
  <si>
    <t xml:space="preserve">M 6.8 - 107 km N of Lae, Papua New Guinea</t>
  </si>
  <si>
    <t xml:space="preserve">22/11/2007 08:48</t>
  </si>
  <si>
    <t xml:space="preserve">M 6.8 - 30 km E of Macas, Ecuador</t>
  </si>
  <si>
    <t xml:space="preserve">16/11/2007 03:13</t>
  </si>
  <si>
    <t xml:space="preserve">Macas, Ecuador</t>
  </si>
  <si>
    <t xml:space="preserve">M 6.8 - 82 km NNE of Antofagasta, Chile</t>
  </si>
  <si>
    <t xml:space="preserve">15/11/2007 15:05</t>
  </si>
  <si>
    <t xml:space="preserve">M 7.7 - 36 km ESE of Tocopilla, Chile</t>
  </si>
  <si>
    <t xml:space="preserve">14/11/2007 15:40</t>
  </si>
  <si>
    <t xml:space="preserve">Tocopilla, Chile</t>
  </si>
  <si>
    <t xml:space="preserve">M 6.8 - 138 km W of Bengkulu, Indonesia</t>
  </si>
  <si>
    <t xml:space="preserve">24/10/2007 21:02</t>
  </si>
  <si>
    <t xml:space="preserve">M 6.8 - 70 km N of Te Anau, New Zealand</t>
  </si>
  <si>
    <t xml:space="preserve">15/10/2007 12:29</t>
  </si>
  <si>
    <t xml:space="preserve">M 6.8 - 154 km ESE of Kokopo, Papua New Guinea</t>
  </si>
  <si>
    <t xml:space="preserve">26/09/2007 12:36</t>
  </si>
  <si>
    <t xml:space="preserve">M 6.7 - 118 km SSW of Padang, Indonesia</t>
  </si>
  <si>
    <t xml:space="preserve">20/09/2007 08:31</t>
  </si>
  <si>
    <t xml:space="preserve">M 7.0 - 153 km SSW of Padang, Indonesia</t>
  </si>
  <si>
    <t xml:space="preserve">13/09/2007 03:35</t>
  </si>
  <si>
    <t xml:space="preserve">M 6.5 - Kepulauan Mentawai region, Indonesia</t>
  </si>
  <si>
    <t xml:space="preserve">13/09/2007 02:30</t>
  </si>
  <si>
    <t xml:space="preserve">Kepulauan Mentawai region, Indonesia</t>
  </si>
  <si>
    <t xml:space="preserve">M 7.9 - 87 km SW of Sungai Penuh, Indonesia</t>
  </si>
  <si>
    <t xml:space="preserve">12/09/2007 23:49</t>
  </si>
  <si>
    <t xml:space="preserve">M 7.8 - 148 km WSW of Sungai Penuh, Indonesia</t>
  </si>
  <si>
    <t xml:space="preserve">M 8.4 - 122 km SW of Bengkulu, Indonesia</t>
  </si>
  <si>
    <t xml:space="preserve">12/09/2007 11:10</t>
  </si>
  <si>
    <t xml:space="preserve">M 6.8 - 39 km WNW of Timbiquí, Colombia</t>
  </si>
  <si>
    <t xml:space="preserve">10/09/2007 01:49</t>
  </si>
  <si>
    <t xml:space="preserve">Timbiquí, Colombia</t>
  </si>
  <si>
    <t xml:space="preserve">M 7.2 - 97 km S of Lata, Solomon Islands</t>
  </si>
  <si>
    <t xml:space="preserve">02/09/2007 01:05</t>
  </si>
  <si>
    <t xml:space="preserve">M 6.5 - 31 km WSW of Malango, Solomon Islands</t>
  </si>
  <si>
    <t xml:space="preserve">16/08/2007 08:39</t>
  </si>
  <si>
    <t xml:space="preserve">M 8.0 - 41 km SW of San Vicente de Cañete, Peru</t>
  </si>
  <si>
    <t xml:space="preserve">15/08/2007 23:40</t>
  </si>
  <si>
    <t xml:space="preserve">San Vicente de Cañete, Peru</t>
  </si>
  <si>
    <t xml:space="preserve">M 7.5 - 35 km NNE of Rengasdengklok, Indonesia</t>
  </si>
  <si>
    <t xml:space="preserve">08/08/2007 17:05</t>
  </si>
  <si>
    <t xml:space="preserve">Rengasdengklok, Indonesia</t>
  </si>
  <si>
    <t xml:space="preserve">M 7.2 - 56 km E of Luganville, Vanuatu</t>
  </si>
  <si>
    <t xml:space="preserve">01/08/2007 17:08</t>
  </si>
  <si>
    <t xml:space="preserve">Luganville, Vanuatu</t>
  </si>
  <si>
    <t xml:space="preserve">M 6.9 - 140 km NNW of Tobelo, Indonesia</t>
  </si>
  <si>
    <t xml:space="preserve">26/07/2007 05:40</t>
  </si>
  <si>
    <t xml:space="preserve">M 6.8 - 133 km WNW of Mikuni, Japan</t>
  </si>
  <si>
    <t xml:space="preserve">16/07/2007 14:17</t>
  </si>
  <si>
    <t xml:space="preserve">Mikuni, Japan</t>
  </si>
  <si>
    <t xml:space="preserve">M 6.6 - 20 km NNW of Kashiwazaki, Japan</t>
  </si>
  <si>
    <t xml:space="preserve">16/07/2007 01:13</t>
  </si>
  <si>
    <t xml:space="preserve">Kashiwazaki, Japan</t>
  </si>
  <si>
    <t xml:space="preserve">M 6.7 - 43 km SSE of Iztapa, Guatemala</t>
  </si>
  <si>
    <t xml:space="preserve">13/06/2007 19:29</t>
  </si>
  <si>
    <t xml:space="preserve">Iztapa, Guatemala</t>
  </si>
  <si>
    <t xml:space="preserve">M 6.9 - 113 km SSE of Panguna, Papua New Guinea</t>
  </si>
  <si>
    <t xml:space="preserve">01/04/2007 21:11</t>
  </si>
  <si>
    <t xml:space="preserve">M 6.6 - 99 km SSE of Panguna, Papua New Guinea</t>
  </si>
  <si>
    <t xml:space="preserve">01/04/2007 20:47</t>
  </si>
  <si>
    <t xml:space="preserve">M 8.1 - 45 km SSE of Gizo, Solomon Islands</t>
  </si>
  <si>
    <t xml:space="preserve">01/04/2007 20:39</t>
  </si>
  <si>
    <t xml:space="preserve">M 6.7 - 46 km NW of Nanao, Japan</t>
  </si>
  <si>
    <t xml:space="preserve">25/03/2007 00:41</t>
  </si>
  <si>
    <t xml:space="preserve">Nanao, Japan</t>
  </si>
  <si>
    <t xml:space="preserve">M 7.1 - 119 km S of Isangel, Vanuatu</t>
  </si>
  <si>
    <t xml:space="preserve">25/03/2007 00:40</t>
  </si>
  <si>
    <t xml:space="preserve">M 6.7 - 206 km SSW of Sofifi, Indonesia</t>
  </si>
  <si>
    <t xml:space="preserve">20/02/2007 08:04</t>
  </si>
  <si>
    <t xml:space="preserve">S</t>
  </si>
  <si>
    <t xml:space="preserve">M 7.5 - 126 km WNW of Ternate, Indonesia</t>
  </si>
  <si>
    <t xml:space="preserve">21/01/2007 11:27</t>
  </si>
  <si>
    <t xml:space="preserve">M 8.1 - east of the Kuril Islands</t>
  </si>
  <si>
    <t xml:space="preserve">13/01/2007 04:23</t>
  </si>
  <si>
    <t xml:space="preserve">the Kuril Islands</t>
  </si>
  <si>
    <t xml:space="preserve">M 6.9 - 26 km W of Hengchun, Taiwan</t>
  </si>
  <si>
    <t xml:space="preserve">26/12/2006 12:34</t>
  </si>
  <si>
    <t xml:space="preserve">Hengchun, Taiwan</t>
  </si>
  <si>
    <t xml:space="preserve">M 7.1 - 30 km SW of Hengchun, Taiwan</t>
  </si>
  <si>
    <t xml:space="preserve">26/12/2006 12:26</t>
  </si>
  <si>
    <t xml:space="preserve">M 8.3 - Kuril Islands</t>
  </si>
  <si>
    <t xml:space="preserve">15/11/2006 11:14</t>
  </si>
  <si>
    <t xml:space="preserve">Kuril Islands</t>
  </si>
  <si>
    <t xml:space="preserve">M 6.6 - 155 km SE of Kimbe, Papua New Guinea</t>
  </si>
  <si>
    <t xml:space="preserve">07/11/2006 17:38</t>
  </si>
  <si>
    <t xml:space="preserve">M 6.7 - 52 km SW of San Vicente de Cañete, Peru</t>
  </si>
  <si>
    <t xml:space="preserve">20/10/2006 10:48</t>
  </si>
  <si>
    <t xml:space="preserve">M 6.7 - 100 km ESE of Kimbe, Papua New Guinea</t>
  </si>
  <si>
    <t xml:space="preserve">17/10/2006 01:25</t>
  </si>
  <si>
    <t xml:space="preserve">M 6.7 - 14 km SW of Puako, Hawaii</t>
  </si>
  <si>
    <t xml:space="preserve">15/10/2006 17:07</t>
  </si>
  <si>
    <t xml:space="preserve">md</t>
  </si>
  <si>
    <t xml:space="preserve">Puako, Hawaii</t>
  </si>
  <si>
    <t xml:space="preserve">M 6.9 - 201 km ESE of Hihifo, Tonga</t>
  </si>
  <si>
    <t xml:space="preserve">28/09/2006 06:22</t>
  </si>
  <si>
    <t xml:space="preserve">M 6.8 - 49 km S of Panguna, Papua New Guinea</t>
  </si>
  <si>
    <t xml:space="preserve">01/09/2006 10:18</t>
  </si>
  <si>
    <t xml:space="preserve">M 6.5 - 81 km ESE of Ozernovskiy, Russia</t>
  </si>
  <si>
    <t xml:space="preserve">24/08/2006 21:50</t>
  </si>
  <si>
    <t xml:space="preserve">M 6.8 - 51 km NE of Norsup, Vanuatu</t>
  </si>
  <si>
    <t xml:space="preserve">07/08/2006 22:18</t>
  </si>
  <si>
    <t xml:space="preserve">M 7.7 - 226 km SSW of Singaparna, Indonesia</t>
  </si>
  <si>
    <t xml:space="preserve">17/07/2006 08:19</t>
  </si>
  <si>
    <t xml:space="preserve">Singaparna, Indonesia</t>
  </si>
  <si>
    <t xml:space="preserve">M 6.5 - 111 km E of Kimbe, Papua New Guinea</t>
  </si>
  <si>
    <t xml:space="preserve">28/05/2006 03:12</t>
  </si>
  <si>
    <t xml:space="preserve">M 6.6 - 42 km NNW of Tilichiki, Russia</t>
  </si>
  <si>
    <t xml:space="preserve">22/05/2006 11:12</t>
  </si>
  <si>
    <t xml:space="preserve">Tilichiki, Russia</t>
  </si>
  <si>
    <t xml:space="preserve">M 6.8 - 256 km SSW of Singkil, Indonesia</t>
  </si>
  <si>
    <t xml:space="preserve">16/05/2006 15:28</t>
  </si>
  <si>
    <t xml:space="preserve">Singkil, Indonesia</t>
  </si>
  <si>
    <t xml:space="preserve">M 8.0 - 47 km SSE of Pangai, Tonga</t>
  </si>
  <si>
    <t xml:space="preserve">03/05/2006 15:26</t>
  </si>
  <si>
    <t xml:space="preserve">M 8.0 - 50 km ESE of Pangai, Tonga</t>
  </si>
  <si>
    <t xml:space="preserve">M 6.5 - 73 km WNW of Copiapó, Chile</t>
  </si>
  <si>
    <t xml:space="preserve">30/04/2006 21:40</t>
  </si>
  <si>
    <t xml:space="preserve">Copiapó, Chile</t>
  </si>
  <si>
    <t xml:space="preserve">M 6.7 - 78 km WNW of Copiapó, Chile</t>
  </si>
  <si>
    <t xml:space="preserve">30/04/2006 19:17</t>
  </si>
  <si>
    <t xml:space="preserve">M 6.6 - 80 km E of Tilichiki, Russia</t>
  </si>
  <si>
    <t xml:space="preserve">29/04/2006 16:58</t>
  </si>
  <si>
    <t xml:space="preserve">M 7.6 - 80 km NE of Tilichiki, Russia</t>
  </si>
  <si>
    <t xml:space="preserve">20/04/2006 23:25</t>
  </si>
  <si>
    <t xml:space="preserve">M 6.5 - 130 km NNW of Lautoka, Fiji</t>
  </si>
  <si>
    <t xml:space="preserve">07/04/2006 08:30</t>
  </si>
  <si>
    <t xml:space="preserve">Lautoka, Fiji</t>
  </si>
  <si>
    <t xml:space="preserve">M 6.7 - 108 km W of Ambon, Indonesia</t>
  </si>
  <si>
    <t xml:space="preserve">14/03/2006 06:57</t>
  </si>
  <si>
    <t xml:space="preserve">Ambon, Indonesia</t>
  </si>
  <si>
    <t xml:space="preserve">M 7.0 - 160 km SE of Chipinge, Zimbabwe</t>
  </si>
  <si>
    <t xml:space="preserve">22/02/2006 22:19</t>
  </si>
  <si>
    <t xml:space="preserve">Chipinge, Zimbabwe</t>
  </si>
  <si>
    <t xml:space="preserve">Mozambique</t>
  </si>
  <si>
    <t xml:space="preserve">M 6.7 - 26 km NE of Kýthira, Greece</t>
  </si>
  <si>
    <t xml:space="preserve">08/01/2006 11:34</t>
  </si>
  <si>
    <t xml:space="preserve">Kýthira, Greece</t>
  </si>
  <si>
    <t xml:space="preserve">M 6.6 - 75 km SSW of Bahía de Kino, Mexico</t>
  </si>
  <si>
    <t xml:space="preserve">04/01/2006 08:32</t>
  </si>
  <si>
    <t xml:space="preserve">M 6.5 - 53 km SW of Ashk?sham, Afghanistan</t>
  </si>
  <si>
    <t xml:space="preserve">12/12/2005 21:47</t>
  </si>
  <si>
    <t xml:space="preserve">M 6.8 - 76 km ESE of Kalemie, Democratic Republic of the Congo</t>
  </si>
  <si>
    <t xml:space="preserve">05/12/2005 12:19</t>
  </si>
  <si>
    <t xml:space="preserve">Kalemie, Democratic Republic</t>
  </si>
  <si>
    <t xml:space="preserve">Tanzania</t>
  </si>
  <si>
    <t xml:space="preserve">M 6.5 - 80 km ESE of Ishinomaki, Japan</t>
  </si>
  <si>
    <t xml:space="preserve">02/12/2005 13:13</t>
  </si>
  <si>
    <t xml:space="preserve">M 6.5 - 57 km SE of Sinabang, Indonesia</t>
  </si>
  <si>
    <t xml:space="preserve">19/11/2005 14:10</t>
  </si>
  <si>
    <t xml:space="preserve">M 6.8 - 68 km NNE of San Pedro de Atacama, Chile</t>
  </si>
  <si>
    <t xml:space="preserve">17/11/2005 19:26</t>
  </si>
  <si>
    <t xml:space="preserve">M 7.6 - 21 km NNE of Muzaffar?b?d, Pakistan</t>
  </si>
  <si>
    <t xml:space="preserve">08/10/2005 03:50</t>
  </si>
  <si>
    <t xml:space="preserve">Muzaffar?b?d, Pakistan</t>
  </si>
  <si>
    <t xml:space="preserve">M 6.6 - 129 km SSW of Kokopo, Papua New Guinea</t>
  </si>
  <si>
    <t xml:space="preserve">29/09/2005 15:50</t>
  </si>
  <si>
    <t xml:space="preserve">M 7.5 - 39 km NW of Yurimaguas, Peru</t>
  </si>
  <si>
    <t xml:space="preserve">26/09/2005 01:55</t>
  </si>
  <si>
    <t xml:space="preserve">Yurimaguas, Peru</t>
  </si>
  <si>
    <t xml:space="preserve">M 7.6 - 135 km E of Kokopo, Papua New Guinea</t>
  </si>
  <si>
    <t xml:space="preserve">09/09/2005 07:26</t>
  </si>
  <si>
    <t xml:space="preserve">M 7.2 - 66 km ESE of Ishinomaki, Japan</t>
  </si>
  <si>
    <t xml:space="preserve">16/08/2005 02:46</t>
  </si>
  <si>
    <t xml:space="preserve">M 7.2 - Nicobar Islands, India region</t>
  </si>
  <si>
    <t xml:space="preserve">24/07/2005 15:42</t>
  </si>
  <si>
    <t xml:space="preserve">M 6.7 - 94 km WSW of Singkil, Indonesia</t>
  </si>
  <si>
    <t xml:space="preserve">05/07/2005 01:52</t>
  </si>
  <si>
    <t xml:space="preserve">M 6.6 - 32 km W of San Juan del Sur, Nicaragua</t>
  </si>
  <si>
    <t xml:space="preserve">02/07/2005 02:16</t>
  </si>
  <si>
    <t xml:space="preserve">San Juan del Sur, Nicaragua</t>
  </si>
  <si>
    <t xml:space="preserve">M 7.2 - 153 km W of Big Lagoon, California</t>
  </si>
  <si>
    <t xml:space="preserve">15/06/2005 02:50</t>
  </si>
  <si>
    <t xml:space="preserve">Big Lagoon, California</t>
  </si>
  <si>
    <t xml:space="preserve">M 7.8 - 102 km ENE of Iquique, Chile</t>
  </si>
  <si>
    <t xml:space="preserve">13/06/2005 22:44</t>
  </si>
  <si>
    <t xml:space="preserve">M 6.9 - 89 km WSW of Singkil, Indonesia</t>
  </si>
  <si>
    <t xml:space="preserve">19/05/2005 01:54</t>
  </si>
  <si>
    <t xml:space="preserve">M 6.7 - 125 km SW of Padangsidempuan, Indonesia</t>
  </si>
  <si>
    <t xml:space="preserve">14/05/2005 05:05</t>
  </si>
  <si>
    <t xml:space="preserve">Padangsidempuan, Indonesia</t>
  </si>
  <si>
    <t xml:space="preserve">M 6.5 - 106 km SW of Padang, Indonesia</t>
  </si>
  <si>
    <t xml:space="preserve">10/04/2005 11:14</t>
  </si>
  <si>
    <t xml:space="preserve">M 6.7 - 113 km SW of Padang, Indonesia</t>
  </si>
  <si>
    <t xml:space="preserve">10/04/2005 10:29</t>
  </si>
  <si>
    <t xml:space="preserve">M 8.6 - 78 km WSW of Singkil, Indonesia</t>
  </si>
  <si>
    <t xml:space="preserve">28/03/2005 16:09</t>
  </si>
  <si>
    <t xml:space="preserve">M 6.6 - 28 km NNW of Maebaru-ch??, Japan</t>
  </si>
  <si>
    <t xml:space="preserve">20/03/2005 01:53</t>
  </si>
  <si>
    <t xml:space="preserve">Maebaru-ch??, Japan</t>
  </si>
  <si>
    <t xml:space="preserve">02/03/2005 10:42</t>
  </si>
  <si>
    <t xml:space="preserve">M 6.8 - 99 km WNW of Sinabang, Indonesia</t>
  </si>
  <si>
    <t xml:space="preserve">26/02/2005 12:56</t>
  </si>
  <si>
    <t xml:space="preserve">M 6.5 - 81 km SSW of Katabu, Indonesia</t>
  </si>
  <si>
    <t xml:space="preserve">19/02/2005 00:04</t>
  </si>
  <si>
    <t xml:space="preserve">M 6.5 - Pulau-Pulau Talaud, Indonesia</t>
  </si>
  <si>
    <t xml:space="preserve">15/02/2005 14:42</t>
  </si>
  <si>
    <t xml:space="preserve">Pulau-Pulau Talaud, Indonesia</t>
  </si>
  <si>
    <t xml:space="preserve">M 6.7 - 52 km SW of Sola, Vanuatu</t>
  </si>
  <si>
    <t xml:space="preserve">08/02/2005 14:48</t>
  </si>
  <si>
    <t xml:space="preserve">M 7.1 - 138 km SW of Palimbang, Philippines</t>
  </si>
  <si>
    <t xml:space="preserve">05/02/2005 12:23</t>
  </si>
  <si>
    <t xml:space="preserve">Palimbang, Philippines</t>
  </si>
  <si>
    <t xml:space="preserve">M 6.6 - 161 km SE of Katsuura, Japan</t>
  </si>
  <si>
    <t xml:space="preserve">19/01/2005 06:11</t>
  </si>
  <si>
    <t xml:space="preserve">Katsuura, Japan</t>
  </si>
  <si>
    <t xml:space="preserve">26/12/2004 09:20</t>
  </si>
  <si>
    <t xml:space="preserve">M 7.2 - 284 km WNW of Sabang, Indonesia</t>
  </si>
  <si>
    <t xml:space="preserve">26/12/2004 04:21</t>
  </si>
  <si>
    <t xml:space="preserve">Sabang, Indonesia</t>
  </si>
  <si>
    <t xml:space="preserve">M 9.1 - 2004 Sumatra - Andaman Islands Earthquake</t>
  </si>
  <si>
    <t xml:space="preserve">26/12/2004 00:58</t>
  </si>
  <si>
    <t xml:space="preserve">2004 Sumatra - Andaman Islands Earthquake</t>
  </si>
  <si>
    <t xml:space="preserve">M 8.1 - north of Macquarie Island</t>
  </si>
  <si>
    <t xml:space="preserve">23/12/2004 14:59</t>
  </si>
  <si>
    <t xml:space="preserve">Macquarie Island</t>
  </si>
  <si>
    <t xml:space="preserve">M 6.8 - 36 km S of George Town, Cayman Islands</t>
  </si>
  <si>
    <t xml:space="preserve">14/12/2004 23:20</t>
  </si>
  <si>
    <t xml:space="preserve">George Town, Cayman Islands</t>
  </si>
  <si>
    <t xml:space="preserve">M 6.8 - 54 km SSW of Nemuro, Japan</t>
  </si>
  <si>
    <t xml:space="preserve">06/12/2004 14:15</t>
  </si>
  <si>
    <t xml:space="preserve">Nemuro, Japan</t>
  </si>
  <si>
    <t xml:space="preserve">M 7.0 - 51 km SW of Nemuro, Japan</t>
  </si>
  <si>
    <t xml:space="preserve">28/11/2004 18:32</t>
  </si>
  <si>
    <t xml:space="preserve">M 7.1 - 29 km SSW of Nabire, Indonesia</t>
  </si>
  <si>
    <t xml:space="preserve">26/11/2004 02:25</t>
  </si>
  <si>
    <t xml:space="preserve">Nabire, Indonesia</t>
  </si>
  <si>
    <t xml:space="preserve">M 7.1 - 255 km W of Riverton, New Zealand</t>
  </si>
  <si>
    <t xml:space="preserve">22/11/2004 20:26</t>
  </si>
  <si>
    <t xml:space="preserve">Riverton, New Zealand</t>
  </si>
  <si>
    <t xml:space="preserve">M 7.2 - 32 km SSW of Pizarro, Colombia</t>
  </si>
  <si>
    <t xml:space="preserve">15/11/2004 09:06</t>
  </si>
  <si>
    <t xml:space="preserve">Pizarro, Colombia</t>
  </si>
  <si>
    <t xml:space="preserve">M 7.5 - 63 km NW of Maubara, Timor Leste</t>
  </si>
  <si>
    <t xml:space="preserve">11/11/2004 21:26</t>
  </si>
  <si>
    <t xml:space="preserve">M 6.7 - 80 km SSE of Kirakira, Solomon Islands</t>
  </si>
  <si>
    <t xml:space="preserve">11/11/2004 17:34</t>
  </si>
  <si>
    <t xml:space="preserve">M 6.7 - 189 km SW of Port McNeill, Canada</t>
  </si>
  <si>
    <t xml:space="preserve">02/11/2004 10:02</t>
  </si>
  <si>
    <t xml:space="preserve">M 6.6 - 8 km SSW of Ojiya, Japan</t>
  </si>
  <si>
    <t xml:space="preserve">23/10/2004 08:56</t>
  </si>
  <si>
    <t xml:space="preserve">Ojiya, Japan</t>
  </si>
  <si>
    <t xml:space="preserve">M 6.7 - 31 km WNW of Yonakuni, Japan</t>
  </si>
  <si>
    <t xml:space="preserve">15/10/2004 04:08</t>
  </si>
  <si>
    <t xml:space="preserve">Yonakuni, Japan</t>
  </si>
  <si>
    <t xml:space="preserve">M 7.0 - 43 km SSW of Masachapa, Nicaragua</t>
  </si>
  <si>
    <t xml:space="preserve">09/10/2004 21:26</t>
  </si>
  <si>
    <t xml:space="preserve">M 6.5 - 9 km W of Talisay, Philippines</t>
  </si>
  <si>
    <t xml:space="preserve">08/10/2004 14:36</t>
  </si>
  <si>
    <t xml:space="preserve">Talisay, Philippines</t>
  </si>
  <si>
    <t xml:space="preserve">M 6.8 - 60 km SSE of Kirakira, Solomon Islands</t>
  </si>
  <si>
    <t xml:space="preserve">08/10/2004 08:27</t>
  </si>
  <si>
    <t xml:space="preserve">M 6.6 - 129 km ESE of Shing?, Japan</t>
  </si>
  <si>
    <t xml:space="preserve">06/09/2004 23:29</t>
  </si>
  <si>
    <t xml:space="preserve">Shing?, Japan</t>
  </si>
  <si>
    <t xml:space="preserve">M 7.4 - 118 km ESE of Shing?, Japan</t>
  </si>
  <si>
    <t xml:space="preserve">05/09/2004 14:57</t>
  </si>
  <si>
    <t xml:space="preserve">M 7.2 - 94 km SE of Shing?, Japan</t>
  </si>
  <si>
    <t xml:space="preserve">05/09/2004 10:07</t>
  </si>
  <si>
    <t xml:space="preserve">M 6.5 - 67 km ESE of Teno, Chile</t>
  </si>
  <si>
    <t xml:space="preserve">28/08/2004 13:41</t>
  </si>
  <si>
    <t xml:space="preserve">Teno, Chile</t>
  </si>
  <si>
    <t xml:space="preserve">M 6.5 - 117 km WNW of Manokwari, Indonesia</t>
  </si>
  <si>
    <t xml:space="preserve">28/07/2004 03:56</t>
  </si>
  <si>
    <t xml:space="preserve">M 6.9 - 24 km ENE of Atlasovo, Russia</t>
  </si>
  <si>
    <t xml:space="preserve">10/06/2004 15:19</t>
  </si>
  <si>
    <t xml:space="preserve">Atlasovo, Russia</t>
  </si>
  <si>
    <t xml:space="preserve">M 6.6 - 11 km N of Cañete, Chile</t>
  </si>
  <si>
    <t xml:space="preserve">03/05/2004 04:36</t>
  </si>
  <si>
    <t xml:space="preserve">M 6.7 - 105 km WNW of Naisano Dua, Indonesia</t>
  </si>
  <si>
    <t xml:space="preserve">23/04/2004 01:50</t>
  </si>
  <si>
    <t xml:space="preserve">Naisano Dua, Indonesia</t>
  </si>
  <si>
    <t xml:space="preserve">M 6.5 - 86 km NNW of Sola, Vanuatu</t>
  </si>
  <si>
    <t xml:space="preserve">09/04/2004 15:23</t>
  </si>
  <si>
    <t xml:space="preserve">M 6.6 - Afghanistan-Tajikistan-Pakistan region</t>
  </si>
  <si>
    <t xml:space="preserve">05/04/2004 21:24</t>
  </si>
  <si>
    <t xml:space="preserve">Afghanistan-Tajikistan-Pakistan region</t>
  </si>
  <si>
    <t xml:space="preserve">M 6.7 - 38 km SSW of Nabire, Indonesia</t>
  </si>
  <si>
    <t xml:space="preserve">08/02/2004 08:58</t>
  </si>
  <si>
    <t xml:space="preserve">M 7.3 - Near the south coast of Papua, Indonesia</t>
  </si>
  <si>
    <t xml:space="preserve">07/02/2004 02:42</t>
  </si>
  <si>
    <t xml:space="preserve">M 7.0 - 28 km S of Nabire, Indonesia</t>
  </si>
  <si>
    <t xml:space="preserve">05/02/2004 21:05</t>
  </si>
  <si>
    <t xml:space="preserve">M 6.7 - 107 km NW of Ambon, Indonesia</t>
  </si>
  <si>
    <t xml:space="preserve">28/01/2004 22:15</t>
  </si>
  <si>
    <t xml:space="preserve">M 7.3 - 201 km ESE of Tadine, New Caledonia</t>
  </si>
  <si>
    <t xml:space="preserve">27/12/2003 16:00</t>
  </si>
  <si>
    <t xml:space="preserve">M 6.6 - 13 km SSW of Bam, Iran</t>
  </si>
  <si>
    <t xml:space="preserve">26/12/2003 01:56</t>
  </si>
  <si>
    <t xml:space="preserve">M 6.5 - 3 km SSE of Progreso, Panama</t>
  </si>
  <si>
    <t xml:space="preserve">25/12/2003 07:11</t>
  </si>
  <si>
    <t xml:space="preserve">Progreso, Panama</t>
  </si>
  <si>
    <t xml:space="preserve">M 6.5 - 10 km NE of San Simeon, California</t>
  </si>
  <si>
    <t xml:space="preserve">22/12/2003 19:15</t>
  </si>
  <si>
    <t xml:space="preserve">San Simeon, California</t>
  </si>
  <si>
    <t xml:space="preserve">M 6.8 - 92 km E of Yujing, Taiwan</t>
  </si>
  <si>
    <t xml:space="preserve">10/12/2003 04:38</t>
  </si>
  <si>
    <t xml:space="preserve">M 6.6 - 82 km E of Kimbe, Papua New Guinea</t>
  </si>
  <si>
    <t xml:space="preserve">25/11/2003 20:19</t>
  </si>
  <si>
    <t xml:space="preserve">M 6.5 - 4 km NW of Can-Avid, Philippines</t>
  </si>
  <si>
    <t xml:space="preserve">18/11/2003 17:14</t>
  </si>
  <si>
    <t xml:space="preserve">Can-Avid, Philippines</t>
  </si>
  <si>
    <t xml:space="preserve">M 6.6 - 51 km NW of Isangel, Vanuatu</t>
  </si>
  <si>
    <t xml:space="preserve">06/11/2003 10:38</t>
  </si>
  <si>
    <t xml:space="preserve">M 7.0 - 133 km ESE of Ishinomaki, Japan</t>
  </si>
  <si>
    <t xml:space="preserve">31/10/2003 01:06</t>
  </si>
  <si>
    <t xml:space="preserve">M 6.7 - 39 km SSE of Kushiro, Japan</t>
  </si>
  <si>
    <t xml:space="preserve">08/10/2003 09:06</t>
  </si>
  <si>
    <t xml:space="preserve">Kushiro, Japan</t>
  </si>
  <si>
    <t xml:space="preserve">M 6.7 - 9 km S of Aktash, Russia</t>
  </si>
  <si>
    <t xml:space="preserve">01/10/2003 01:03</t>
  </si>
  <si>
    <t xml:space="preserve">Aktash, Russia</t>
  </si>
  <si>
    <t xml:space="preserve">M 6.5 - 58 km S of Kushiro, Japan</t>
  </si>
  <si>
    <t xml:space="preserve">29/09/2003 02:36</t>
  </si>
  <si>
    <t xml:space="preserve">M 7.3 - 29 km S of Aktash, Russia</t>
  </si>
  <si>
    <t xml:space="preserve">27/09/2003 11:33</t>
  </si>
  <si>
    <t xml:space="preserve">M 7.4 - 119 km ESE of Shizunai-furukawach?, Japan</t>
  </si>
  <si>
    <t xml:space="preserve">25/09/2003 21:08</t>
  </si>
  <si>
    <t xml:space="preserve">M 8.2 - 134 km SSW of Kushiro, Japan</t>
  </si>
  <si>
    <t xml:space="preserve">25/09/2003 19:50</t>
  </si>
  <si>
    <t xml:space="preserve">M 6.6 - 16 km SE of Taungdwingyi, Myanmar</t>
  </si>
  <si>
    <t xml:space="preserve">21/09/2003 18:16</t>
  </si>
  <si>
    <t xml:space="preserve">Taungdwingyi, Myanmar</t>
  </si>
  <si>
    <t xml:space="preserve">M 7.2 - 56 km NW of Te Anau, New Zealand</t>
  </si>
  <si>
    <t xml:space="preserve">21/08/2003 12:12</t>
  </si>
  <si>
    <t xml:space="preserve">M 7.6 - Scotia Sea</t>
  </si>
  <si>
    <t xml:space="preserve">04/08/2003 04:37</t>
  </si>
  <si>
    <t xml:space="preserve">M 6.5 - 41 km N of Rabaul, Papua New Guinea</t>
  </si>
  <si>
    <t xml:space="preserve">15/07/2003 18:46</t>
  </si>
  <si>
    <t xml:space="preserve">M 6.8 - 42 km W of Ovalle, Chile</t>
  </si>
  <si>
    <t xml:space="preserve">20/06/2003 13:30</t>
  </si>
  <si>
    <t xml:space="preserve">M 6.9 - 25 km ESE of Atlasovo, Russia</t>
  </si>
  <si>
    <t xml:space="preserve">16/06/2003 22:08</t>
  </si>
  <si>
    <t xml:space="preserve">M 6.6 - 87 km SSE of Kokopo, Papua New Guinea</t>
  </si>
  <si>
    <t xml:space="preserve">07/06/2003 00:32</t>
  </si>
  <si>
    <t xml:space="preserve">M 7.0 - 116 km NE of Tobelo, Indonesia</t>
  </si>
  <si>
    <t xml:space="preserve">26/05/2003 19:23</t>
  </si>
  <si>
    <t xml:space="preserve">M 7.0 - 27 km SSW of ?funato, Japan</t>
  </si>
  <si>
    <t xml:space="preserve">26/05/2003 09:24</t>
  </si>
  <si>
    <t xml:space="preserve">M 6.8 - 25 km WNW of Dellys, Algeria</t>
  </si>
  <si>
    <t xml:space="preserve">21/05/2003 18:44</t>
  </si>
  <si>
    <t xml:space="preserve">Dellys, Algeria</t>
  </si>
  <si>
    <t xml:space="preserve">Algeria</t>
  </si>
  <si>
    <t xml:space="preserve">M 6.5 - 46 km NE of Ruteng, Indonesia</t>
  </si>
  <si>
    <t xml:space="preserve">25/03/2003 02:53</t>
  </si>
  <si>
    <t xml:space="preserve">Ruteng, Indonesia</t>
  </si>
  <si>
    <t xml:space="preserve">M 6.8 - 114 km ESE of Kokopo, Papua New Guinea</t>
  </si>
  <si>
    <t xml:space="preserve">11/03/2003 07:27</t>
  </si>
  <si>
    <t xml:space="preserve">M 7.6 - 16 km SSW of Cuyutlán, Mexico</t>
  </si>
  <si>
    <t xml:space="preserve">22/01/2003 02:06</t>
  </si>
  <si>
    <t xml:space="preserve">Cuyutlán, Mexico</t>
  </si>
  <si>
    <t xml:space="preserve">M 6.5 - 33 km S of Puerto San José, Guatemala</t>
  </si>
  <si>
    <t xml:space="preserve">21/01/2003 02:46</t>
  </si>
  <si>
    <t xml:space="preserve">M 7.3 - 126 km W of Kirakira, Solomon Islands</t>
  </si>
  <si>
    <t xml:space="preserve">20/01/2003 08:43</t>
  </si>
  <si>
    <t xml:space="preserve">M 6.7 - 191 km SE of Kokopo, Papua New Guinea</t>
  </si>
  <si>
    <t xml:space="preserve">10/01/2003 13:11</t>
  </si>
  <si>
    <t xml:space="preserve">M 6.7 - New Ireland region, Papua New Guinea</t>
  </si>
  <si>
    <t xml:space="preserve">12/12/2002 08:30</t>
  </si>
  <si>
    <t xml:space="preserve">New Ireland region, Papua New Guinea</t>
  </si>
  <si>
    <t xml:space="preserve">M 7.9 - 75 km E of Cantwell, Alaska</t>
  </si>
  <si>
    <t xml:space="preserve">03/11/2002 22:12</t>
  </si>
  <si>
    <t xml:space="preserve">Cantwell, Alaska</t>
  </si>
  <si>
    <t xml:space="preserve">M 7.4 - 50 km NW of Sinabang, Indonesia</t>
  </si>
  <si>
    <t xml:space="preserve">02/11/2002 01:26</t>
  </si>
  <si>
    <t xml:space="preserve">M 6.6 - 53 km ENE of Cantwell, Alaska</t>
  </si>
  <si>
    <t xml:space="preserve">23/10/2002 11:27</t>
  </si>
  <si>
    <t xml:space="preserve">M 6.7 - 72 km S of Manokwari, Indonesia</t>
  </si>
  <si>
    <t xml:space="preserve">10/10/2002 12:28</t>
  </si>
  <si>
    <t xml:space="preserve">M 7.6 - 102 km SSE of Manokwari, Indonesia</t>
  </si>
  <si>
    <t xml:space="preserve">10/10/2002 10:50</t>
  </si>
  <si>
    <t xml:space="preserve">M 6.5 - 152 km NNE of Bamboo Flat, India</t>
  </si>
  <si>
    <t xml:space="preserve">13/09/2002 22:28</t>
  </si>
  <si>
    <t xml:space="preserve">M 7.6 - 68 km ESE of Aitape, Papua New Guinea</t>
  </si>
  <si>
    <t xml:space="preserve">08/09/2002 18:44</t>
  </si>
  <si>
    <t xml:space="preserve">M 6.5 - 114 km SSE of San Jose Village, Northern Mariana Islands</t>
  </si>
  <si>
    <t xml:space="preserve">14/08/2002 13:57</t>
  </si>
  <si>
    <t xml:space="preserve">San Jose Village, Northern Mariana Islands</t>
  </si>
  <si>
    <t xml:space="preserve">M 6.5 - 14 km SE of Punta de Burica, Panama</t>
  </si>
  <si>
    <t xml:space="preserve">31/07/2002 00:16</t>
  </si>
  <si>
    <t xml:space="preserve">M 6.5 - 59 km SSW of Abhar, Iran</t>
  </si>
  <si>
    <t xml:space="preserve">22/06/2002 02:58</t>
  </si>
  <si>
    <t xml:space="preserve">Abhar, Iran</t>
  </si>
  <si>
    <t xml:space="preserve">M 6.6 - 20 km SW of Monte Patria, Chile</t>
  </si>
  <si>
    <t xml:space="preserve">18/06/2002 13:56</t>
  </si>
  <si>
    <t xml:space="preserve">Monte Patria, Chile</t>
  </si>
  <si>
    <t xml:space="preserve">M 6.7 - 190 km NW of Sola, Vanuatu</t>
  </si>
  <si>
    <t xml:space="preserve">17/06/2002 21:26</t>
  </si>
  <si>
    <t xml:space="preserve">M 7.1 - 20 km SSW of Merizo Village, Guam</t>
  </si>
  <si>
    <t xml:space="preserve">26/04/2002 16:06</t>
  </si>
  <si>
    <t xml:space="preserve">Merizo Village, Guam</t>
  </si>
  <si>
    <t xml:space="preserve">M 6.7 - 31 km SW of Copiapó, Chile</t>
  </si>
  <si>
    <t xml:space="preserve">18/04/2002 16:08</t>
  </si>
  <si>
    <t xml:space="preserve">M 6.8 - 27 km SSW of Nuxco, Mexico</t>
  </si>
  <si>
    <t xml:space="preserve">18/04/2002 05:02</t>
  </si>
  <si>
    <t xml:space="preserve">Nuxco, Mexico</t>
  </si>
  <si>
    <t xml:space="preserve">M 7.1 - 67 km ENE of Hualien City, Taiwan</t>
  </si>
  <si>
    <t xml:space="preserve">31/03/2002 06:52</t>
  </si>
  <si>
    <t xml:space="preserve">M 6.5 - 107 km NE of Calama, Chile</t>
  </si>
  <si>
    <t xml:space="preserve">28/03/2002 04:56</t>
  </si>
  <si>
    <t xml:space="preserve">Calama, Chile</t>
  </si>
  <si>
    <t xml:space="preserve">M 7.5 - Mindanao, Philippines</t>
  </si>
  <si>
    <t xml:space="preserve">05/03/2002 21:16</t>
  </si>
  <si>
    <t xml:space="preserve">Mindanao, Philippines</t>
  </si>
  <si>
    <t xml:space="preserve">M 7.4 - 51 km SW of Jurm, Afghanistan</t>
  </si>
  <si>
    <t xml:space="preserve">03/03/2002 12:08</t>
  </si>
  <si>
    <t xml:space="preserve">M 6.6 - 125 km E of Kimbe, Papua New Guinea</t>
  </si>
  <si>
    <t xml:space="preserve">05/02/2002 13:27</t>
  </si>
  <si>
    <t xml:space="preserve">M 6.5 - 5 km NE of Sultanda??, Turkey</t>
  </si>
  <si>
    <t xml:space="preserve">03/02/2002 07:11</t>
  </si>
  <si>
    <t xml:space="preserve">Sultanda??, Turkey</t>
  </si>
  <si>
    <t xml:space="preserve">M 6.7 - 11 km SE of Aitape, Papua New Guinea</t>
  </si>
  <si>
    <t xml:space="preserve">10/01/2002 11:14</t>
  </si>
  <si>
    <t xml:space="preserve">M 6.6 - 33 km WNW of Port-Vila, Vanuatu</t>
  </si>
  <si>
    <t xml:space="preserve">03/01/2002 10:17</t>
  </si>
  <si>
    <t xml:space="preserve">M 7.2 - 50 km WNW of Port-Vila, Vanuatu</t>
  </si>
  <si>
    <t xml:space="preserve">02/01/2002 17:22</t>
  </si>
  <si>
    <t xml:space="preserve">M 6.8 - 22 km WNW of Malango, Solomon Islands</t>
  </si>
  <si>
    <t xml:space="preserve">23/12/2001 22:52</t>
  </si>
  <si>
    <t xml:space="preserve">M 6.8 - 62 km SSW of Yonakuni, Japan</t>
  </si>
  <si>
    <t xml:space="preserve">18/12/2001 04:02</t>
  </si>
  <si>
    <t xml:space="preserve">M 6.5 - 3 km NW of Hanamaki, Japan</t>
  </si>
  <si>
    <t xml:space="preserve">02/12/2001 13:01</t>
  </si>
  <si>
    <t xml:space="preserve">Hanamaki, Japan</t>
  </si>
  <si>
    <t xml:space="preserve">M 7.8 - Southern Qinghai, China</t>
  </si>
  <si>
    <t xml:space="preserve">14/11/2001 09:26</t>
  </si>
  <si>
    <t xml:space="preserve">M 7.0 - 40 km S of Kimbe, Papua New Guinea</t>
  </si>
  <si>
    <t xml:space="preserve">31/10/2001 09:10</t>
  </si>
  <si>
    <t xml:space="preserve">M 7.5 - 155 km E of Kendari, Indonesia</t>
  </si>
  <si>
    <t xml:space="preserve">19/10/2001 03:28</t>
  </si>
  <si>
    <t xml:space="preserve">Kendari, Indonesia</t>
  </si>
  <si>
    <t xml:space="preserve">M 7.0 - 69 km SSE of Inarajan Village, Guam</t>
  </si>
  <si>
    <t xml:space="preserve">12/10/2001 15:02</t>
  </si>
  <si>
    <t xml:space="preserve">Inarajan Village, Guam</t>
  </si>
  <si>
    <t xml:space="preserve">M 6.5 - 108 km WNW of Manokwari, Indonesia</t>
  </si>
  <si>
    <t xml:space="preserve">11/09/2001 14:56</t>
  </si>
  <si>
    <t xml:space="preserve">M 6.6 - 74 km S of Kokhanok, Alaska</t>
  </si>
  <si>
    <t xml:space="preserve">28/07/2001 07:32</t>
  </si>
  <si>
    <t xml:space="preserve">Kokhanok, Alaska</t>
  </si>
  <si>
    <t xml:space="preserve">M 6.5 - 32 km WNW of Skýros, Greece</t>
  </si>
  <si>
    <t xml:space="preserve">26/07/2001 00:21</t>
  </si>
  <si>
    <t xml:space="preserve">Skýros, Greece</t>
  </si>
  <si>
    <t xml:space="preserve">M 7.6 - 51 km SW of Punta de Bombón, Peru</t>
  </si>
  <si>
    <t xml:space="preserve">07/07/2001 09:38</t>
  </si>
  <si>
    <t xml:space="preserve">Punta de Bombón, Peru</t>
  </si>
  <si>
    <t xml:space="preserve">M 6.6 - 31 km S of Achanizo, Peru</t>
  </si>
  <si>
    <t xml:space="preserve">05/07/2001 13:53</t>
  </si>
  <si>
    <t xml:space="preserve">Achanizo, Peru</t>
  </si>
  <si>
    <t xml:space="preserve">M 6.7 - 34 km WSW of Pacocha, Peru</t>
  </si>
  <si>
    <t xml:space="preserve">26/06/2001 04:18</t>
  </si>
  <si>
    <t xml:space="preserve">Pacocha, Peru</t>
  </si>
  <si>
    <t xml:space="preserve">M 8.4 - 6 km SSW of Atico, Peru</t>
  </si>
  <si>
    <t xml:space="preserve">23/06/2001 20:33</t>
  </si>
  <si>
    <t xml:space="preserve">Atico, Peru</t>
  </si>
  <si>
    <t xml:space="preserve">M 6.7 - 128 km SSE of Panguna, Papua New Guinea</t>
  </si>
  <si>
    <t xml:space="preserve">19/04/2001 21:43</t>
  </si>
  <si>
    <t xml:space="preserve">M 6.8 - 16 km SSW of Kure, Japan</t>
  </si>
  <si>
    <t xml:space="preserve">24/03/2001 06:27</t>
  </si>
  <si>
    <t xml:space="preserve">Kure, Japan</t>
  </si>
  <si>
    <t xml:space="preserve">M 6.5 - 41 km SSW of Ambon, Indonesia</t>
  </si>
  <si>
    <t xml:space="preserve">19/03/2001 05:52</t>
  </si>
  <si>
    <t xml:space="preserve">M 6.8 - 7 km SSE of Longbranch, Washington</t>
  </si>
  <si>
    <t xml:space="preserve">28/02/2001 18:54</t>
  </si>
  <si>
    <t xml:space="preserve">uw</t>
  </si>
  <si>
    <t xml:space="preserve">Longbranch, Washington</t>
  </si>
  <si>
    <t xml:space="preserve">M 7.1 - 137 km WNW of Ternate, Indonesia</t>
  </si>
  <si>
    <t xml:space="preserve">24/02/2001 07:23</t>
  </si>
  <si>
    <t xml:space="preserve">M 7.4 - 102 km SSE of Bengkulu, Indonesia</t>
  </si>
  <si>
    <t xml:space="preserve">13/02/2001 19:28</t>
  </si>
  <si>
    <t xml:space="preserve">M 6.6 - 5 km S of Cojutepeque, El Salvador</t>
  </si>
  <si>
    <t xml:space="preserve">13/02/2001 14:22</t>
  </si>
  <si>
    <t xml:space="preserve">Cojutepeque, El Salvador</t>
  </si>
  <si>
    <t xml:space="preserve">El Salvador</t>
  </si>
  <si>
    <t xml:space="preserve">M 7.7 - 17 km NW of Bhach?u, India</t>
  </si>
  <si>
    <t xml:space="preserve">26/01/2001 03:16</t>
  </si>
  <si>
    <t xml:space="preserve">Bhach?u, India</t>
  </si>
  <si>
    <t xml:space="preserve">M 6.9 - 59 km WSW of Bengkulu, Indonesia</t>
  </si>
  <si>
    <t xml:space="preserve">16/01/2001 13:25</t>
  </si>
  <si>
    <t xml:space="preserve">M 7.7 - 28 km SSW of Puerto El Triunfo, El Salvador</t>
  </si>
  <si>
    <t xml:space="preserve">13/01/2001 17:33</t>
  </si>
  <si>
    <t xml:space="preserve">M 6.9 - 47 km S of Old Harbor, Alaska</t>
  </si>
  <si>
    <t xml:space="preserve">10/01/2001 16:02</t>
  </si>
  <si>
    <t xml:space="preserve">Old Harbor, Alaska</t>
  </si>
  <si>
    <t xml:space="preserve">M 7.1 - 16 km NE of Port-Olry, Vanuatu</t>
  </si>
  <si>
    <t xml:space="preserve">09/01/2001 16:49</t>
  </si>
  <si>
    <t xml:space="preserve">M 6.8 - Mindanao, Philippines</t>
  </si>
  <si>
    <t xml:space="preserve">01/01/2001 08:54</t>
  </si>
  <si>
    <t xml:space="preserve">M 7.5 - 21 km SE of Lukatan, Philippines</t>
  </si>
  <si>
    <t xml:space="preserve">01/01/2001 06:57</t>
  </si>
  <si>
    <t xml:space="preserve">Lukatan, Philippines</t>
  </si>
  <si>
    <t xml:space="preserve">M 6.5 - 52 km ENE of Kokopo, Papua New Guinea</t>
  </si>
  <si>
    <t xml:space="preserve">06/12/2000 22:57</t>
  </si>
  <si>
    <t xml:space="preserve">M 7.0 - 37 km E of Balkanabat, Turkmenistan</t>
  </si>
  <si>
    <t xml:space="preserve">06/12/2000 17:11</t>
  </si>
  <si>
    <t xml:space="preserve">Balkanabat, Turkmenistan</t>
  </si>
  <si>
    <t xml:space="preserve">Turkmenistan</t>
  </si>
  <si>
    <t xml:space="preserve">M 6.5 - 23 km SSE of Badamdar, Azerbaijan</t>
  </si>
  <si>
    <t xml:space="preserve">25/11/2000 18:10</t>
  </si>
  <si>
    <t xml:space="preserve">Badamdar, Azerbaijan</t>
  </si>
  <si>
    <t xml:space="preserve">Azerbaijan</t>
  </si>
  <si>
    <t xml:space="preserve">M 6.8 - 15 km SSE of Baku, Azerbaijan</t>
  </si>
  <si>
    <t xml:space="preserve">25/11/2000 18:09</t>
  </si>
  <si>
    <t xml:space="preserve">Baku, Azerbaijan</t>
  </si>
  <si>
    <t xml:space="preserve">M 6.8 - 112 km SSW of Kokopo, Papua New Guinea</t>
  </si>
  <si>
    <t xml:space="preserve">18/11/2000 06:54</t>
  </si>
  <si>
    <t xml:space="preserve">M 6.6 - 131 km SE of Kokopo, Papua New Guinea</t>
  </si>
  <si>
    <t xml:space="preserve">18/11/2000 02:05</t>
  </si>
  <si>
    <t xml:space="preserve">M 7.8 - 138 km SSW of Kokopo, Papua New Guinea</t>
  </si>
  <si>
    <t xml:space="preserve">17/11/2000 21:01</t>
  </si>
  <si>
    <t xml:space="preserve">M 6.5 - 118 km ESE of Kokopo, Papua New Guinea</t>
  </si>
  <si>
    <t xml:space="preserve">16/11/2000 07:45</t>
  </si>
  <si>
    <t xml:space="preserve">M 7.8 - 135 km SE of Kokopo, Papua New Guinea</t>
  </si>
  <si>
    <t xml:space="preserve">16/11/2000 07:42</t>
  </si>
  <si>
    <t xml:space="preserve">M 8.0 - 24 km N of Rabaul, Papua New Guinea</t>
  </si>
  <si>
    <t xml:space="preserve">16/11/2000 04:54</t>
  </si>
  <si>
    <t xml:space="preserve">M 6.5 - 10 km SW of Juradó, Colombia</t>
  </si>
  <si>
    <t xml:space="preserve">08/11/2000 06:59</t>
  </si>
  <si>
    <t xml:space="preserve">Juradó, Colombia</t>
  </si>
  <si>
    <t xml:space="preserve">M 7.0 - 191 km ESE of Kokopo, Papua New Guinea</t>
  </si>
  <si>
    <t xml:space="preserve">29/10/2000 08:37</t>
  </si>
  <si>
    <t xml:space="preserve">M 6.8 - 29 km SW of Labuan, Indonesia</t>
  </si>
  <si>
    <t xml:space="preserve">25/10/2000 09:32</t>
  </si>
  <si>
    <t xml:space="preserve">M 6.7 - 8 km ESE of Matsue, Japan</t>
  </si>
  <si>
    <t xml:space="preserve">06/10/2000 04:30</t>
  </si>
  <si>
    <t xml:space="preserve">Matsue, Japan</t>
  </si>
  <si>
    <t xml:space="preserve">M 7.0 - 29 km WNW of Luganville, Vanuatu</t>
  </si>
  <si>
    <t xml:space="preserve">04/10/2000 16:58</t>
  </si>
  <si>
    <t xml:space="preserve">M 6.5 - 15 km W of Nkove, Tanzania</t>
  </si>
  <si>
    <t xml:space="preserve">02/10/2000 02:25</t>
  </si>
  <si>
    <t xml:space="preserve">Nkove, Tanzania</t>
  </si>
  <si>
    <t xml:space="preserve">M 6.8 - 98 km WSW of Ambon, Indonesia</t>
  </si>
  <si>
    <t xml:space="preserve">28/08/2000 15:05</t>
  </si>
  <si>
    <t xml:space="preserve">M 6.5 - 24 km NNW of El Habillal, Mexico</t>
  </si>
  <si>
    <t xml:space="preserve">09/08/2000 11:41</t>
  </si>
  <si>
    <t xml:space="preserve">M 6.8 - 35 km SSE of Uglegorsk, Russia</t>
  </si>
  <si>
    <t xml:space="preserve">04/08/2000 21:13</t>
  </si>
  <si>
    <t xml:space="preserve">Uglegorsk, Russia</t>
  </si>
  <si>
    <t xml:space="preserve">M 6.6 - 161 km SSE of Lata, Solomon Islands</t>
  </si>
  <si>
    <t xml:space="preserve">03/08/2000 01:09</t>
  </si>
  <si>
    <t xml:space="preserve">M 6.5 - 94 km SSE of Shimoda, Japan</t>
  </si>
  <si>
    <t xml:space="preserve">30/07/2000 12:25</t>
  </si>
  <si>
    <t xml:space="preserve">Shimoda, Japan</t>
  </si>
  <si>
    <t xml:space="preserve">M 6.6 - 227 km SE of Kandrian, Papua New Guinea</t>
  </si>
  <si>
    <t xml:space="preserve">16/07/2000 03:57</t>
  </si>
  <si>
    <t xml:space="preserve">M 6.5 - 24 km SSW of Larsen Bay, Alaska</t>
  </si>
  <si>
    <t xml:space="preserve">11/07/2000 01:32</t>
  </si>
  <si>
    <t xml:space="preserve">Larsen Bay, Alaska</t>
  </si>
  <si>
    <t xml:space="preserve">M 6.5 - 12 km ENE of Selfoss, Iceland</t>
  </si>
  <si>
    <t xml:space="preserve">21/06/2000 00:51</t>
  </si>
  <si>
    <t xml:space="preserve">Selfoss, Iceland</t>
  </si>
  <si>
    <t xml:space="preserve">Iceland</t>
  </si>
  <si>
    <t xml:space="preserve">M 7.9 - South Indian Ocean</t>
  </si>
  <si>
    <t xml:space="preserve">18/06/2000 14:44</t>
  </si>
  <si>
    <t xml:space="preserve">South Indian Ocean</t>
  </si>
  <si>
    <t xml:space="preserve">M 6.5 - 25 km E of Selfoss, Iceland</t>
  </si>
  <si>
    <t xml:space="preserve">17/06/2000 15:40</t>
  </si>
  <si>
    <t xml:space="preserve">M 6.7 - 98 km SSW of Bengkulu, Indonesia</t>
  </si>
  <si>
    <t xml:space="preserve">07/06/2000 23:45</t>
  </si>
  <si>
    <t xml:space="preserve">M 6.7 - 95 km S of Bengkulu, Indonesia</t>
  </si>
  <si>
    <t xml:space="preserve">04/06/2000 16:39</t>
  </si>
  <si>
    <t xml:space="preserve">M 7.9 - 103 km S of Bengkulu, Indonesia</t>
  </si>
  <si>
    <t xml:space="preserve">04/06/2000 16:28</t>
  </si>
  <si>
    <t xml:space="preserve">M 7.2 - 75 km N of San Antonio de los Cobres, Argentina</t>
  </si>
  <si>
    <t xml:space="preserve">12/05/2000 18:43</t>
  </si>
  <si>
    <t xml:space="preserve">M 7.6 - 89 km E of Luwuk, Indonesia</t>
  </si>
  <si>
    <t xml:space="preserve">04/05/2000 04:21</t>
  </si>
  <si>
    <t xml:space="preserve">M 6.6 - 62 km SSW of Ialibu, Papua New Guinea</t>
  </si>
  <si>
    <t xml:space="preserve">03/03/2000 22:22</t>
  </si>
  <si>
    <t xml:space="preserve">Ialibu, Papua New Guinea</t>
  </si>
  <si>
    <t xml:space="preserve">M 6.6 - 87 km ESE of Kimbe, Papua New Guinea</t>
  </si>
  <si>
    <t xml:space="preserve">06/02/2000 11:33</t>
  </si>
  <si>
    <t xml:space="preserve">M 6.8 - 84 km S of Shikotan, Russia</t>
  </si>
  <si>
    <t xml:space="preserve">28/01/2000 14:21</t>
  </si>
  <si>
    <t xml:space="preserve">Shikotan, Russia</t>
  </si>
  <si>
    <t xml:space="preserve">M 7.2 - 117 km SSW of Hihifo, Tonga</t>
  </si>
  <si>
    <t xml:space="preserve">08/01/2000 16:47</t>
  </si>
  <si>
    <t xml:space="preserve">M 6.9 - 50 km WSW of Lata, Solomon Islands</t>
  </si>
  <si>
    <t xml:space="preserve">29/12/1999 13:29</t>
  </si>
  <si>
    <t xml:space="preserve">M 6.5 - 59 km SSW of Labuan, Indonesia</t>
  </si>
  <si>
    <t xml:space="preserve">21/12/1999 14:14</t>
  </si>
  <si>
    <t xml:space="preserve">M 7.3 - 14 km WNW of Bolitoc, Philippines</t>
  </si>
  <si>
    <t xml:space="preserve">11/12/1999 18:03</t>
  </si>
  <si>
    <t xml:space="preserve">Bolitoc, Philippines</t>
  </si>
  <si>
    <t xml:space="preserve">M 7.0 - 26 km SSE of Karluk, Alaska</t>
  </si>
  <si>
    <t xml:space="preserve">06/12/1999 23:12</t>
  </si>
  <si>
    <t xml:space="preserve">Karluk, Alaska</t>
  </si>
  <si>
    <t xml:space="preserve">M 6.6 - 127 km ESE of Arica, Chile</t>
  </si>
  <si>
    <t xml:space="preserve">30/11/1999 04:01</t>
  </si>
  <si>
    <t xml:space="preserve">Arica, Chile</t>
  </si>
  <si>
    <t xml:space="preserve">M 7.5 - 92 km ESE of Lakatoro, Vanuatu</t>
  </si>
  <si>
    <t xml:space="preserve">26/11/1999 13:21</t>
  </si>
  <si>
    <t xml:space="preserve">M 7.0 - 88 km W of Kandrian, Papua New Guinea</t>
  </si>
  <si>
    <t xml:space="preserve">19/11/1999 13:56</t>
  </si>
  <si>
    <t xml:space="preserve">M 6.9 - 84 km WNW of Kandrian, Papua New Guinea</t>
  </si>
  <si>
    <t xml:space="preserve">17/11/1999 03:27</t>
  </si>
  <si>
    <t xml:space="preserve">M 7.2 - 8 km S of Düzce, Turkey</t>
  </si>
  <si>
    <t xml:space="preserve">12/11/1999 16:57</t>
  </si>
  <si>
    <t xml:space="preserve">Düzce, Turkey</t>
  </si>
  <si>
    <t xml:space="preserve">M 6.5 - 31 km SW of Ashk?sham, Afghanistan</t>
  </si>
  <si>
    <t xml:space="preserve">08/11/1999 16:45</t>
  </si>
  <si>
    <t xml:space="preserve">M 7.1 - Hector Mine, CA Earthquake</t>
  </si>
  <si>
    <t xml:space="preserve">16/10/1999 09:46</t>
  </si>
  <si>
    <t xml:space="preserve">Hector Mine, CA Earthquake</t>
  </si>
  <si>
    <t xml:space="preserve">M 7.5 - 15 km W of San Baltazar Loxicha, Mexico</t>
  </si>
  <si>
    <t xml:space="preserve">30/09/1999 16:31</t>
  </si>
  <si>
    <t xml:space="preserve">San Baltazar Loxicha, Mexico</t>
  </si>
  <si>
    <t xml:space="preserve">M 6.5 - 31 km SE of Puli, Taiwan</t>
  </si>
  <si>
    <t xml:space="preserve">25/09/1999 23:52</t>
  </si>
  <si>
    <t xml:space="preserve">Puli, Taiwan</t>
  </si>
  <si>
    <t xml:space="preserve">M 7.7 - 21 km S of Puli, Taiwan</t>
  </si>
  <si>
    <t xml:space="preserve">20/09/1999 17:47</t>
  </si>
  <si>
    <t xml:space="preserve">M 6.6 - 66 km E of Lakatoro, Vanuatu</t>
  </si>
  <si>
    <t xml:space="preserve">22/08/1999 12:40</t>
  </si>
  <si>
    <t xml:space="preserve">M 6.9 - 42 km S of Quepos, Costa Rica</t>
  </si>
  <si>
    <t xml:space="preserve">20/08/1999 10:02</t>
  </si>
  <si>
    <t xml:space="preserve">Quepos, Costa Rica</t>
  </si>
  <si>
    <t xml:space="preserve">M 7.6 - 4 km ESE of Derince, Turkey</t>
  </si>
  <si>
    <t xml:space="preserve">17/08/1999 00:01</t>
  </si>
  <si>
    <t xml:space="preserve">Derince, Turkey</t>
  </si>
  <si>
    <t xml:space="preserve">M 6.7 - 16 km N of Potrerillos, Honduras</t>
  </si>
  <si>
    <t xml:space="preserve">11/07/1999 14:14</t>
  </si>
  <si>
    <t xml:space="preserve">Potrerillos, Honduras</t>
  </si>
  <si>
    <t xml:space="preserve">M 7.0 - 1 km SE of Texcala, Mexico</t>
  </si>
  <si>
    <t xml:space="preserve">15/06/1999 20:42</t>
  </si>
  <si>
    <t xml:space="preserve">Texcala, Mexico</t>
  </si>
  <si>
    <t xml:space="preserve">M 6.6 - 113 km SE of Kokopo, Papua New Guinea</t>
  </si>
  <si>
    <t xml:space="preserve">17/05/1999 10:07</t>
  </si>
  <si>
    <t xml:space="preserve">M 7.1 - 51 km SSE of Kokopo, Papua New Guinea</t>
  </si>
  <si>
    <t xml:space="preserve">16/05/1999 00:51</t>
  </si>
  <si>
    <t xml:space="preserve">M 7.1 - 92 km ENE of Kimbe, Papua New Guinea</t>
  </si>
  <si>
    <t xml:space="preserve">10/05/1999 20:33</t>
  </si>
  <si>
    <t xml:space="preserve">M 6.8 - 132 km WSW of Haveluloto, Tonga</t>
  </si>
  <si>
    <t xml:space="preserve">13/04/1999 10:38</t>
  </si>
  <si>
    <t xml:space="preserve">M 7.4 - 63 km W of Kimbe, Papua New Guinea</t>
  </si>
  <si>
    <t xml:space="preserve">05/04/1999 11:08</t>
  </si>
  <si>
    <t xml:space="preserve">M 6.8 - 6 km SE of Camaná, Peru</t>
  </si>
  <si>
    <t xml:space="preserve">03/04/1999 06:17</t>
  </si>
  <si>
    <t xml:space="preserve">Camaná, Peru</t>
  </si>
  <si>
    <t xml:space="preserve">M 6.6 - 9 km NNW of P?palkoti, India</t>
  </si>
  <si>
    <t xml:space="preserve">28/03/1999 19:05</t>
  </si>
  <si>
    <t xml:space="preserve">P?palkoti, India</t>
  </si>
  <si>
    <t xml:space="preserve">M 6.9 - 78 km WSW of Adak, Alaska</t>
  </si>
  <si>
    <t xml:space="preserve">20/03/1999 10:47</t>
  </si>
  <si>
    <t xml:space="preserve">M 6.9 - 123 km SE of Vilyuchinsk, Russia</t>
  </si>
  <si>
    <t xml:space="preserve">08/03/1999 12:25</t>
  </si>
  <si>
    <t xml:space="preserve">Vilyuchinsk, Russia</t>
  </si>
  <si>
    <t xml:space="preserve">M 7.1 - 69 km S of Tabiauan, Philippines</t>
  </si>
  <si>
    <t xml:space="preserve">04/03/1999 08:52</t>
  </si>
  <si>
    <t xml:space="preserve">M 6.6 - 110 km SSE of K?h Sef?d, Iran</t>
  </si>
  <si>
    <t xml:space="preserve">04/03/1999 05:38</t>
  </si>
  <si>
    <t xml:space="preserve">K?h Sef?d, Iran</t>
  </si>
  <si>
    <t xml:space="preserve">M 7.3 - 146 km NW of Sola, Vanuatu</t>
  </si>
  <si>
    <t xml:space="preserve">06/02/1999 21:47</t>
  </si>
  <si>
    <t xml:space="preserve">M 6.6 - 18 km WSW of Nikolski, Alaska</t>
  </si>
  <si>
    <t xml:space="preserve">28/01/1999 08:10</t>
  </si>
  <si>
    <t xml:space="preserve">M 7.0 - 110 km ESE of Kokopo, Papua New Guinea</t>
  </si>
  <si>
    <t xml:space="preserve">19/01/1999 03:35</t>
  </si>
  <si>
    <t xml:space="preserve">M 6.8 - 131 km WSW of Haveluloto, Tonga</t>
  </si>
  <si>
    <t xml:space="preserve">27/12/1998 00:38</t>
  </si>
  <si>
    <t xml:space="preserve">M 7.7 - 264 km ESE of Luwuk, Indonesia</t>
  </si>
  <si>
    <t xml:space="preserve">29/11/1998 14:10</t>
  </si>
  <si>
    <t xml:space="preserve">M 7.0 - 278 km NE of Lospalos, Timor Leste</t>
  </si>
  <si>
    <t xml:space="preserve">09/11/1998 05:38</t>
  </si>
  <si>
    <t xml:space="preserve">M 6.7 - 282 km NE of Lospalos, Timor Leste</t>
  </si>
  <si>
    <t xml:space="preserve">09/11/1998 05:30</t>
  </si>
  <si>
    <t xml:space="preserve">M 6.6 - 8 km WSW of Sumberpucung, Indonesia</t>
  </si>
  <si>
    <t xml:space="preserve">28/09/1998 13:34</t>
  </si>
  <si>
    <t xml:space="preserve">Sumberpucung, Indonesia</t>
  </si>
  <si>
    <t xml:space="preserve">M 6.6 - 66 km NNW of Coquimbo, Chile</t>
  </si>
  <si>
    <t xml:space="preserve">03/09/1998 17:37</t>
  </si>
  <si>
    <t xml:space="preserve">M 6.8 - 123 km SSE of Pondaguitan, Philippines</t>
  </si>
  <si>
    <t xml:space="preserve">02/09/1998 08:37</t>
  </si>
  <si>
    <t xml:space="preserve">M 7.2 - 3 km E of Bahía de Caráquez, Ecuador</t>
  </si>
  <si>
    <t xml:space="preserve">04/08/1998 18:59</t>
  </si>
  <si>
    <t xml:space="preserve">Bahía de Caráquez, Ecuador</t>
  </si>
  <si>
    <t xml:space="preserve">M 6.7 - 192 km W of Abepura, Indonesia</t>
  </si>
  <si>
    <t xml:space="preserve">29/07/1998 18:00</t>
  </si>
  <si>
    <t xml:space="preserve">M 7.0 - 50 km WNW of Aitape, Papua New Guinea</t>
  </si>
  <si>
    <t xml:space="preserve">17/07/1998 08:49</t>
  </si>
  <si>
    <t xml:space="preserve">M 7.0 - 52 km SE of Lata, Solomon Islands</t>
  </si>
  <si>
    <t xml:space="preserve">16/07/1998 11:56</t>
  </si>
  <si>
    <t xml:space="preserve">M 6.6 - 24 km E of Rust?q, Afghanistan</t>
  </si>
  <si>
    <t xml:space="preserve">30/05/1998 06:22</t>
  </si>
  <si>
    <t xml:space="preserve">Rust?q, Afghanistan</t>
  </si>
  <si>
    <t xml:space="preserve">M 6.6 - 25 km NNW of Mizque, Bolivia</t>
  </si>
  <si>
    <t xml:space="preserve">22/05/1998 04:48</t>
  </si>
  <si>
    <t xml:space="preserve">Mizque, Bolivia</t>
  </si>
  <si>
    <t xml:space="preserve">M 6.7 - 127 km NNW of Palu, Indonesia</t>
  </si>
  <si>
    <t xml:space="preserve">21/05/1998 05:34</t>
  </si>
  <si>
    <t xml:space="preserve">M 6.6 - 108 km SW of Kokopo, Papua New Guinea</t>
  </si>
  <si>
    <t xml:space="preserve">13/05/1998 23:02</t>
  </si>
  <si>
    <t xml:space="preserve">M 7.5 - 254 km SSE of Ishigaki, Japan</t>
  </si>
  <si>
    <t xml:space="preserve">03/05/1998 23:30</t>
  </si>
  <si>
    <t xml:space="preserve">Ishigaki, Japan</t>
  </si>
  <si>
    <t xml:space="preserve">M 6.6 - 43 km NE of San Fernando, Peru</t>
  </si>
  <si>
    <t xml:space="preserve">03/04/1998 22:01</t>
  </si>
  <si>
    <t xml:space="preserve">San Fernando, Peru</t>
  </si>
  <si>
    <t xml:space="preserve">M 7.0 - 95 km W of Pariaman, Indonesia</t>
  </si>
  <si>
    <t xml:space="preserve">01/04/1998 17:56</t>
  </si>
  <si>
    <t xml:space="preserve">M 6.6 - 52 km ESE of Kerman, Iran</t>
  </si>
  <si>
    <t xml:space="preserve">14/03/1998 19:40</t>
  </si>
  <si>
    <t xml:space="preserve">Kerman, Iran</t>
  </si>
  <si>
    <t xml:space="preserve">M 7.1 - 34 km SSE of Antofagasta, Chile</t>
  </si>
  <si>
    <t xml:space="preserve">30/01/1998 12:16</t>
  </si>
  <si>
    <t xml:space="preserve">M 6.7 - 149 km ENE of Labasa, Fiji</t>
  </si>
  <si>
    <t xml:space="preserve">12/01/1998 16:36</t>
  </si>
  <si>
    <t xml:space="preserve">Labasa, Fiji</t>
  </si>
  <si>
    <t xml:space="preserve">M 6.6 - 47 km SSW of Ovalle, Chile</t>
  </si>
  <si>
    <t xml:space="preserve">12/01/1998 10:14</t>
  </si>
  <si>
    <t xml:space="preserve">M 6.6 - 10 km SSW of San José El Ídolo, Guatemala</t>
  </si>
  <si>
    <t xml:space="preserve">10/01/1998 08:20</t>
  </si>
  <si>
    <t xml:space="preserve">San José El Ídolo, Guatemala</t>
  </si>
  <si>
    <t xml:space="preserve">M 7.2 - 117 km N of Finschhafen, Papua New Guinea</t>
  </si>
  <si>
    <t xml:space="preserve">22/12/1997 02:05</t>
  </si>
  <si>
    <t xml:space="preserve">M 7.8 - 156 km S of Ust’-Kamchatsk Staryy, Russia</t>
  </si>
  <si>
    <t xml:space="preserve">05/12/1997 11:26</t>
  </si>
  <si>
    <t xml:space="preserve">M 7.0 - 97 km NW of Gorontalo, Indonesia</t>
  </si>
  <si>
    <t xml:space="preserve">25/11/1997 12:14</t>
  </si>
  <si>
    <t xml:space="preserve">M 6.6 - 22 km SW of Lithakiá, Greece</t>
  </si>
  <si>
    <t xml:space="preserve">18/11/1997 13:07</t>
  </si>
  <si>
    <t xml:space="preserve">M 7.0 - 34 km ESE of Port-Olry, Vanuatu</t>
  </si>
  <si>
    <t xml:space="preserve">15/11/1997 18:59</t>
  </si>
  <si>
    <t xml:space="preserve">M 6.5 - 13 km NNE of San Sebastián, El Salvador</t>
  </si>
  <si>
    <t xml:space="preserve">09/11/1997 22:56</t>
  </si>
  <si>
    <t xml:space="preserve">San Sebastián, El Salvador</t>
  </si>
  <si>
    <t xml:space="preserve">M 7.5 - western Xizang</t>
  </si>
  <si>
    <t xml:space="preserve">08/11/1997 10:02</t>
  </si>
  <si>
    <t xml:space="preserve">western Xizang</t>
  </si>
  <si>
    <t xml:space="preserve">M 7.2 - 51 km N of Barranca, Peru</t>
  </si>
  <si>
    <t xml:space="preserve">28/10/1997 06:15</t>
  </si>
  <si>
    <t xml:space="preserve">M 7.1 - 36 km SW of Monte Patria, Chile</t>
  </si>
  <si>
    <t xml:space="preserve">15/10/1997 01:03</t>
  </si>
  <si>
    <t xml:space="preserve">M 7.8 - 192 km WSW of Haveluloto, Tonga</t>
  </si>
  <si>
    <t xml:space="preserve">14/10/1997 09:53</t>
  </si>
  <si>
    <t xml:space="preserve">M 6.5 - 18 km E of Talisay, Philippines</t>
  </si>
  <si>
    <t xml:space="preserve">06/10/1997 12:30</t>
  </si>
  <si>
    <t xml:space="preserve">M 6.8 - 24 km SW of Roncesvalles, Colombia</t>
  </si>
  <si>
    <t xml:space="preserve">02/09/1997 12:13</t>
  </si>
  <si>
    <t xml:space="preserve">Roncesvalles, Colombia</t>
  </si>
  <si>
    <t xml:space="preserve">M 6.6 - 64 km NNE of Angoram, Papua New Guinea</t>
  </si>
  <si>
    <t xml:space="preserve">29/08/1997 08:14</t>
  </si>
  <si>
    <t xml:space="preserve">M 6.9 - 4 km ENE of El Ciruelo, Mexico</t>
  </si>
  <si>
    <t xml:space="preserve">19/07/1997 14:22</t>
  </si>
  <si>
    <t xml:space="preserve">El Ciruelo, Mexico</t>
  </si>
  <si>
    <t xml:space="preserve">M 7.0 - 26 km WSW of Carúpano, Venezuela</t>
  </si>
  <si>
    <t xml:space="preserve">09/07/1997 19:24</t>
  </si>
  <si>
    <t xml:space="preserve">M 6.8 - 52 km WSW of Coquimbo, Chile</t>
  </si>
  <si>
    <t xml:space="preserve">06/07/1997 09:54</t>
  </si>
  <si>
    <t xml:space="preserve">M 6.5 - 5 km ENE of Churumuco de Morelos, Mexico</t>
  </si>
  <si>
    <t xml:space="preserve">22/05/1997 07:50</t>
  </si>
  <si>
    <t xml:space="preserve">Churumuco de Morelos, Mexico</t>
  </si>
  <si>
    <t xml:space="preserve">M 6.8 - 99 km S of Isangel, Vanuatu</t>
  </si>
  <si>
    <t xml:space="preserve">21/05/1997 14:10</t>
  </si>
  <si>
    <t xml:space="preserve">M 6.5 - 51 km S of Jurm, Afghanistan</t>
  </si>
  <si>
    <t xml:space="preserve">13/05/1997 14:13</t>
  </si>
  <si>
    <t xml:space="preserve">M 7.3 - 58 km E of Q?’en, Iran</t>
  </si>
  <si>
    <t xml:space="preserve">10/05/1997 07:57</t>
  </si>
  <si>
    <t xml:space="preserve">Q?’en, Iran</t>
  </si>
  <si>
    <t xml:space="preserve">M 6.5 - 49 km N of Yigo Village, Guam</t>
  </si>
  <si>
    <t xml:space="preserve">23/04/1997 19:44</t>
  </si>
  <si>
    <t xml:space="preserve">Yigo Village, Guam</t>
  </si>
  <si>
    <t xml:space="preserve">M 6.7 - 18 km WSW of Scarborough, Trinidad and Tobago</t>
  </si>
  <si>
    <t xml:space="preserve">22/04/1997 09:31</t>
  </si>
  <si>
    <t xml:space="preserve">Scarborough, Trinidad and Tobago</t>
  </si>
  <si>
    <t xml:space="preserve">Trinidad and Tobago</t>
  </si>
  <si>
    <t xml:space="preserve">M 7.7 - 171 km NNW of Sola, Vanuatu</t>
  </si>
  <si>
    <t xml:space="preserve">21/04/1997 12:02</t>
  </si>
  <si>
    <t xml:space="preserve">M 6.5 - 49 km W of Finschhafen, Papua New Guinea</t>
  </si>
  <si>
    <t xml:space="preserve">05/04/1997 12:23</t>
  </si>
  <si>
    <t xml:space="preserve">M 6.9 - 121 km E of Kinablangan, Philippines</t>
  </si>
  <si>
    <t xml:space="preserve">11/03/1997 19:22</t>
  </si>
  <si>
    <t xml:space="preserve">Kinablangan, Philippines</t>
  </si>
  <si>
    <t xml:space="preserve">M 7.1 - 29 km ESE of Harnai, Pakistan</t>
  </si>
  <si>
    <t xml:space="preserve">27/02/1997 21:08</t>
  </si>
  <si>
    <t xml:space="preserve">Harnai, Pakistan</t>
  </si>
  <si>
    <t xml:space="preserve">M 6.5 - Turkmenistan-Iran border region</t>
  </si>
  <si>
    <t xml:space="preserve">04/02/1997 10:37</t>
  </si>
  <si>
    <t xml:space="preserve">Turkmenistan-Iran border region</t>
  </si>
  <si>
    <t xml:space="preserve">M 7.2 - 46 km WNW of El Habillal, Mexico</t>
  </si>
  <si>
    <t xml:space="preserve">11/01/1997 20:28</t>
  </si>
  <si>
    <t xml:space="preserve">M 6.5 - 131 km W of Iwanai, Japan</t>
  </si>
  <si>
    <t xml:space="preserve">22/12/1996 14:53</t>
  </si>
  <si>
    <t xml:space="preserve">Iwanai, Japan</t>
  </si>
  <si>
    <t xml:space="preserve">M 6.7 - 17 km SW of Miyazaki, Japan</t>
  </si>
  <si>
    <t xml:space="preserve">02/12/1996 22:17</t>
  </si>
  <si>
    <t xml:space="preserve">Miyazaki, Japan</t>
  </si>
  <si>
    <t xml:space="preserve">M 6.9 - 130 km ENE of Thang, India</t>
  </si>
  <si>
    <t xml:space="preserve">19/11/1996 10:44</t>
  </si>
  <si>
    <t xml:space="preserve">Thang, India</t>
  </si>
  <si>
    <t xml:space="preserve">M 7.7 - 60 km SW of Changuillo, Peru</t>
  </si>
  <si>
    <t xml:space="preserve">12/11/1996 16:59</t>
  </si>
  <si>
    <t xml:space="preserve">Changuillo, Peru</t>
  </si>
  <si>
    <t xml:space="preserve">M 6.7 - 5 km SE of Miyazaki, Japan</t>
  </si>
  <si>
    <t xml:space="preserve">19/10/1996 14:44</t>
  </si>
  <si>
    <t xml:space="preserve">M 6.6 - 20 km SSE of Nishinoomote, Japan</t>
  </si>
  <si>
    <t xml:space="preserve">18/10/1996 10:50</t>
  </si>
  <si>
    <t xml:space="preserve">Nishinoomote, Japan</t>
  </si>
  <si>
    <t xml:space="preserve">M 6.8 - 90 km S of Panguna, Papua New Guinea</t>
  </si>
  <si>
    <t xml:space="preserve">14/10/1996 23:26</t>
  </si>
  <si>
    <t xml:space="preserve">M 6.8 - 36 km SW of Paphos, Cyprus</t>
  </si>
  <si>
    <t xml:space="preserve">09/10/1996 13:10</t>
  </si>
  <si>
    <t xml:space="preserve">Paphos, Cyprus</t>
  </si>
  <si>
    <t xml:space="preserve">M 6.6 - 24 km NE of Cortes, Philippines</t>
  </si>
  <si>
    <t xml:space="preserve">20/09/1996 04:11</t>
  </si>
  <si>
    <t xml:space="preserve">Cortes, Philippines</t>
  </si>
  <si>
    <t xml:space="preserve">M 6.6 - 22 km NNE of Cortes, Philippines</t>
  </si>
  <si>
    <t xml:space="preserve">20/09/1996 04:10</t>
  </si>
  <si>
    <t xml:space="preserve">M 6.8 - 78 km E of Hengchun, Taiwan</t>
  </si>
  <si>
    <t xml:space="preserve">05/09/1996 23:42</t>
  </si>
  <si>
    <t xml:space="preserve">M 6.9 - 62 km WSW of Kirakira, Solomon Islands</t>
  </si>
  <si>
    <t xml:space="preserve">02/08/1996 12:55</t>
  </si>
  <si>
    <t xml:space="preserve">M 7.0 - 220 km NNE of Palu, Indonesia</t>
  </si>
  <si>
    <t xml:space="preserve">22/07/1996 14:19</t>
  </si>
  <si>
    <t xml:space="preserve">M 6.6 - 217 km NNE of Palu, Indonesia</t>
  </si>
  <si>
    <t xml:space="preserve">16/07/1996 10:07</t>
  </si>
  <si>
    <t xml:space="preserve">M 6.8 - 26 km NNE of Coyuquilla Norte, Mexico</t>
  </si>
  <si>
    <t xml:space="preserve">15/07/1996 21:23</t>
  </si>
  <si>
    <t xml:space="preserve">M 7.9 - 169 km NNE of Maumere, Indonesia</t>
  </si>
  <si>
    <t xml:space="preserve">17/06/1996 11:22</t>
  </si>
  <si>
    <t xml:space="preserve">M 7.1 - 8 km NNE of Palapag, Philippines</t>
  </si>
  <si>
    <t xml:space="preserve">11/06/1996 18:22</t>
  </si>
  <si>
    <t xml:space="preserve">Palapag, Philippines</t>
  </si>
  <si>
    <t xml:space="preserve">M 7.3 - 46 km SSW of Adak, Alaska</t>
  </si>
  <si>
    <t xml:space="preserve">10/06/1996 15:24</t>
  </si>
  <si>
    <t xml:space="preserve">M 7.9 - 77 km WSW of Adak, Alaska</t>
  </si>
  <si>
    <t xml:space="preserve">10/06/1996 04:03</t>
  </si>
  <si>
    <t xml:space="preserve">M 6.7 - 63 km NW of Sola, Vanuatu</t>
  </si>
  <si>
    <t xml:space="preserve">10/06/1996 01:04</t>
  </si>
  <si>
    <t xml:space="preserve">M 7.2 - 58 km WSW of Panguna, Papua New Guinea</t>
  </si>
  <si>
    <t xml:space="preserve">29/04/1996 14:40</t>
  </si>
  <si>
    <t xml:space="preserve">M 6.6 - 44 km SE of Antofagasta, Chile</t>
  </si>
  <si>
    <t xml:space="preserve">19/04/1996 00:19</t>
  </si>
  <si>
    <t xml:space="preserve">M 6.7 - 44 km NNE of Port-Olry, Vanuatu</t>
  </si>
  <si>
    <t xml:space="preserve">17/03/1996 14:48</t>
  </si>
  <si>
    <t xml:space="preserve">M 6.7 - 30 km WSW of Villa El Carmen, Nicaragua</t>
  </si>
  <si>
    <t xml:space="preserve">03/03/1996 16:37</t>
  </si>
  <si>
    <t xml:space="preserve">Villa El Carmen, Nicaragua</t>
  </si>
  <si>
    <t xml:space="preserve">M 6.6 - 39 km WSW of Masachapa, Nicaragua</t>
  </si>
  <si>
    <t xml:space="preserve">03/03/1996 14:55</t>
  </si>
  <si>
    <t xml:space="preserve">M 7.1 - 24 km SSW of Santa María Chico Ometepec, Mexico</t>
  </si>
  <si>
    <t xml:space="preserve">25/02/1996 03:08</t>
  </si>
  <si>
    <t xml:space="preserve">Santa María Chico Ometepec, Mexico</t>
  </si>
  <si>
    <t xml:space="preserve">M 7.5 - 123 km WSW of Puerto Santa, Peru</t>
  </si>
  <si>
    <t xml:space="preserve">21/02/1996 12:51</t>
  </si>
  <si>
    <t xml:space="preserve">Puerto Santa, Peru</t>
  </si>
  <si>
    <t xml:space="preserve">M 6.5 - 32 km NNE of Biak, Indonesia</t>
  </si>
  <si>
    <t xml:space="preserve">17/02/1996 20:18</t>
  </si>
  <si>
    <t xml:space="preserve">M 6.5 - 67 km NNW of Insrom, Indonesia</t>
  </si>
  <si>
    <t xml:space="preserve">17/02/1996 14:21</t>
  </si>
  <si>
    <t xml:space="preserve">Insrom, Indonesia</t>
  </si>
  <si>
    <t xml:space="preserve">M 8.1 - 101 km ENE of Biak, Indonesia</t>
  </si>
  <si>
    <t xml:space="preserve">17/02/1996 05:59</t>
  </si>
  <si>
    <t xml:space="preserve">M 6.7 - 123 km E of Namie, Japan</t>
  </si>
  <si>
    <t xml:space="preserve">16/02/1996 15:22</t>
  </si>
  <si>
    <t xml:space="preserve">M 7.2 - 158 km E of Kuril’sk, Russia</t>
  </si>
  <si>
    <t xml:space="preserve">07/02/1996 21:36</t>
  </si>
  <si>
    <t xml:space="preserve">M 6.6 - 47 km N of Lijiang, China</t>
  </si>
  <si>
    <t xml:space="preserve">03/02/1996 11:14</t>
  </si>
  <si>
    <t xml:space="preserve">Lijiang, China</t>
  </si>
  <si>
    <t xml:space="preserve">M 6.6 - 106 km NE of Yelizovo, Russia</t>
  </si>
  <si>
    <t xml:space="preserve">01/01/1996 09:57</t>
  </si>
  <si>
    <t xml:space="preserve">Yelizovo, Russia</t>
  </si>
  <si>
    <t xml:space="preserve">M 7.9 - 181 km N of Palu, Indonesia</t>
  </si>
  <si>
    <t xml:space="preserve">01/01/1996 08:05</t>
  </si>
  <si>
    <t xml:space="preserve">M 7.1 - 297 km NE of Lospalos, Timor Leste</t>
  </si>
  <si>
    <t xml:space="preserve">25/12/1995 04:43</t>
  </si>
  <si>
    <t xml:space="preserve">M 6.5 - 130 km SSW of Abepura, Indonesia</t>
  </si>
  <si>
    <t xml:space="preserve">19/12/1995 23:28</t>
  </si>
  <si>
    <t xml:space="preserve">M 7.9 - 128 km ESE of Kuril’sk, Russia</t>
  </si>
  <si>
    <t xml:space="preserve">03/12/1995 18:01</t>
  </si>
  <si>
    <t xml:space="preserve">M 7.2 - 27 km SSE of Nuwaybi‘a, Egypt</t>
  </si>
  <si>
    <t xml:space="preserve">22/11/1995 04:15</t>
  </si>
  <si>
    <t xml:space="preserve">Nuwaybi‘a, Egypt</t>
  </si>
  <si>
    <t xml:space="preserve">Saudi Arabia</t>
  </si>
  <si>
    <t xml:space="preserve">M 6.7 - 73 km WSW of Vallenar, Chile</t>
  </si>
  <si>
    <t xml:space="preserve">01/11/1995 00:35</t>
  </si>
  <si>
    <t xml:space="preserve">M 7.2 - 13 km NW of Ocozocoautla de Espinosa, Mexico</t>
  </si>
  <si>
    <t xml:space="preserve">21/10/1995 02:38</t>
  </si>
  <si>
    <t xml:space="preserve">Ocozocoautla de Espinosa, Mexico</t>
  </si>
  <si>
    <t xml:space="preserve">M 6.8 - 71 km ESE of Naze, Japan</t>
  </si>
  <si>
    <t xml:space="preserve">19/10/1995 02:41</t>
  </si>
  <si>
    <t xml:space="preserve">M 7.1 - 83 km SE of Naze, Japan</t>
  </si>
  <si>
    <t xml:space="preserve">18/10/1995 10:37</t>
  </si>
  <si>
    <t xml:space="preserve">M 8.0 - 5 km E of El Colomo, Mexico</t>
  </si>
  <si>
    <t xml:space="preserve">09/10/1995 15:35</t>
  </si>
  <si>
    <t xml:space="preserve">El Colomo, Mexico</t>
  </si>
  <si>
    <t xml:space="preserve">M 6.8 - 5 km ENE of Sungai Penuh, Indonesia</t>
  </si>
  <si>
    <t xml:space="preserve">06/10/1995 18:09</t>
  </si>
  <si>
    <t xml:space="preserve">M 6.5 - 50 km SE of Sucúa, Ecuador</t>
  </si>
  <si>
    <t xml:space="preserve">03/10/1995 12:44</t>
  </si>
  <si>
    <t xml:space="preserve">Sucúa, Ecuador</t>
  </si>
  <si>
    <t xml:space="preserve">M 7.0 - 45 km SE of Sucúa, Ecuador</t>
  </si>
  <si>
    <t xml:space="preserve">03/10/1995 01:51</t>
  </si>
  <si>
    <t xml:space="preserve">M 6.5 - 81 km W of Paramonga, Peru</t>
  </si>
  <si>
    <t xml:space="preserve">23/09/1995 22:31</t>
  </si>
  <si>
    <t xml:space="preserve">Paramonga, Peru</t>
  </si>
  <si>
    <t xml:space="preserve">M 7.4 - 5 km N of Azoyú, Mexico</t>
  </si>
  <si>
    <t xml:space="preserve">14/09/1995 14:04</t>
  </si>
  <si>
    <t xml:space="preserve">Azoyú, Mexico</t>
  </si>
  <si>
    <t xml:space="preserve">M 6.6 - 95 km SW of Etchoropo, Mexico</t>
  </si>
  <si>
    <t xml:space="preserve">28/08/1995 10:46</t>
  </si>
  <si>
    <t xml:space="preserve">M 6.6 - 7 km WSW of Neira, Colombia</t>
  </si>
  <si>
    <t xml:space="preserve">19/08/1995 21:43</t>
  </si>
  <si>
    <t xml:space="preserve">Neira, Colombia</t>
  </si>
  <si>
    <t xml:space="preserve">M 7.2 - 139 km WNW of Panguna, Papua New Guinea</t>
  </si>
  <si>
    <t xml:space="preserve">16/08/1995 23:10</t>
  </si>
  <si>
    <t xml:space="preserve">M 6.6 - 205 km SE of Kokopo, Papua New Guinea</t>
  </si>
  <si>
    <t xml:space="preserve">16/08/1995 16:24</t>
  </si>
  <si>
    <t xml:space="preserve">M 7.7 - 155 km WNW of Panguna, Papua New Guinea</t>
  </si>
  <si>
    <t xml:space="preserve">16/08/1995 10:27</t>
  </si>
  <si>
    <t xml:space="preserve">M 6.7 - 99 km WSW of Kokopo, Papua New Guinea</t>
  </si>
  <si>
    <t xml:space="preserve">14/08/1995 04:37</t>
  </si>
  <si>
    <t xml:space="preserve">M 8.0 - 36 km NNE of Antofagasta, Chile</t>
  </si>
  <si>
    <t xml:space="preserve">30/07/1995 05:11</t>
  </si>
  <si>
    <t xml:space="preserve">M 6.8 - 158 km W of Jinghong, China</t>
  </si>
  <si>
    <t xml:space="preserve">11/07/1995 21:46</t>
  </si>
  <si>
    <t xml:space="preserve">Jinghong, China</t>
  </si>
  <si>
    <t xml:space="preserve">M 6.6 - 0 km ESE of Isangel, Vanuatu</t>
  </si>
  <si>
    <t xml:space="preserve">29/06/1995 12:24</t>
  </si>
  <si>
    <t xml:space="preserve">M 6.5 - 8 km WNW of Galaxídhion, Greece</t>
  </si>
  <si>
    <t xml:space="preserve">15/06/1995 00:15</t>
  </si>
  <si>
    <t xml:space="preserve">Galaxídhion, Greece</t>
  </si>
  <si>
    <t xml:space="preserve">M 7.1 - 85 km S of Tungor, Russia</t>
  </si>
  <si>
    <t xml:space="preserve">27/05/1995 13:03</t>
  </si>
  <si>
    <t xml:space="preserve">Tungor, Russia</t>
  </si>
  <si>
    <t xml:space="preserve">M 7.7 - 249 km E of Vao, New Caledonia</t>
  </si>
  <si>
    <t xml:space="preserve">16/05/1995 20:12</t>
  </si>
  <si>
    <t xml:space="preserve">Vao, New Caledonia</t>
  </si>
  <si>
    <t xml:space="preserve">M 6.9 - 27 km NNW of Maubara, Timor Leste</t>
  </si>
  <si>
    <t xml:space="preserve">14/05/1995 11:33</t>
  </si>
  <si>
    <t xml:space="preserve">M 6.6 - 10 km W of Aianí, Greece</t>
  </si>
  <si>
    <t xml:space="preserve">13/05/1995 08:47</t>
  </si>
  <si>
    <t xml:space="preserve">Aianí, Greece</t>
  </si>
  <si>
    <t xml:space="preserve">M 7.1 - 14 km NE of Cabatuan, Philippines</t>
  </si>
  <si>
    <t xml:space="preserve">05/05/1995 03:53</t>
  </si>
  <si>
    <t xml:space="preserve">Cabatuan, Philippines</t>
  </si>
  <si>
    <t xml:space="preserve">Converted_DateTime</t>
  </si>
  <si>
    <t xml:space="preserve">Title_Pattern</t>
  </si>
  <si>
    <t xml:space="preserve">magType_Normalized</t>
  </si>
  <si>
    <t xml:space="preserve">Duplicate_Count</t>
  </si>
  <si>
    <t xml:space="preserve">Duplicate_Flag</t>
  </si>
  <si>
    <t xml:space="preserve">Magnitude_Band</t>
  </si>
  <si>
    <t xml:space="preserve">Year</t>
  </si>
  <si>
    <t xml:space="preserve">LAB 3 — TASK 1: EXCEL-BASED EXPLORATION</t>
  </si>
  <si>
    <t xml:space="preserve">Metric</t>
  </si>
  <si>
    <t xml:space="preserve">Formula / Result</t>
  </si>
  <si>
    <t xml:space="preserve">Purpose</t>
  </si>
  <si>
    <t xml:space="preserve">Number of records</t>
  </si>
  <si>
    <t xml:space="preserve">Total dataset records</t>
  </si>
  <si>
    <t xml:space="preserve">Minimum magnitude</t>
  </si>
  <si>
    <t xml:space="preserve">Magnitude range</t>
  </si>
  <si>
    <t xml:space="preserve">Maximum magnitude</t>
  </si>
  <si>
    <t xml:space="preserve">Average magnitude</t>
  </si>
  <si>
    <t xml:space="preserve">Minimum depth</t>
  </si>
  <si>
    <t xml:space="preserve">Depth range</t>
  </si>
  <si>
    <t xml:space="preserve">Maximum depth</t>
  </si>
  <si>
    <t xml:space="preserve">Average depth</t>
  </si>
  <si>
    <t xml:space="preserve">Blank alert</t>
  </si>
  <si>
    <t xml:space="preserve">Missing alert values</t>
  </si>
  <si>
    <t xml:space="preserve">Blank continent</t>
  </si>
  <si>
    <t xml:space="preserve">Missing continent values</t>
  </si>
  <si>
    <t xml:space="preserve">Blank country</t>
  </si>
  <si>
    <t xml:space="preserve">Missing country values</t>
  </si>
  <si>
    <t xml:space="preserve">Blank location</t>
  </si>
  <si>
    <t xml:space="preserve">Missing location values</t>
  </si>
  <si>
    <t xml:space="preserve">Magnitude Type</t>
  </si>
  <si>
    <t xml:space="preserve">Count</t>
  </si>
  <si>
    <t xml:space="preserve">Alert Level</t>
  </si>
  <si>
    <t xml:space="preserve">Magnitude Band</t>
  </si>
  <si>
    <t xml:space="preserve">(blank)</t>
  </si>
  <si>
    <t xml:space="preserve">&lt;6.5</t>
  </si>
  <si>
    <t xml:space="preserve">6.5–6.9</t>
  </si>
  <si>
    <t xml:space="preserve">7.0–7.4</t>
  </si>
  <si>
    <t xml:space="preserve">7.5–7.9</t>
  </si>
  <si>
    <t xml:space="preserve">8.0+</t>
  </si>
  <si>
    <t xml:space="preserve">Event Count</t>
  </si>
  <si>
    <t xml:space="preserve">LAB 3 — TASK 2: DATA TYPE &amp; QUALITY AUDIT</t>
  </si>
  <si>
    <t xml:space="preserve">Column</t>
  </si>
  <si>
    <t xml:space="preserve">Data Type</t>
  </si>
  <si>
    <t xml:space="preserve">Blank Count</t>
  </si>
  <si>
    <t xml:space="preserve">Blank %</t>
  </si>
  <si>
    <t xml:space="preserve">Audit / Formula</t>
  </si>
  <si>
    <t xml:space="preserve">Finding</t>
  </si>
  <si>
    <t xml:space="preserve">text</t>
  </si>
  <si>
    <t xml:space="preserve">Review blanks / type as classified</t>
  </si>
  <si>
    <t xml:space="preserve">numeric</t>
  </si>
  <si>
    <t xml:space="preserve">categorical</t>
  </si>
  <si>
    <t xml:space="preserve">Formula-driven checks</t>
  </si>
  <si>
    <t xml:space="preserve">Raw date_time ISNUMBER (first data cell)</t>
  </si>
  <si>
    <t xml:space="preserve">Should be FALSE</t>
  </si>
  <si>
    <t xml:space="preserve">Converted datetime ISNUMBER (first data cell)</t>
  </si>
  <si>
    <t xml:space="preserve">Should be TRUE</t>
  </si>
  <si>
    <t xml:space="preserve">Distance-pattern title count</t>
  </si>
  <si>
    <t xml:space="preserve">Pattern count</t>
  </si>
  <si>
    <t xml:space="preserve">Named-region title count</t>
  </si>
  <si>
    <t xml:space="preserve">Duplicated rows</t>
  </si>
  <si>
    <t xml:space="preserve">Rows with duplicate title+timestamp</t>
  </si>
  <si>
    <t xml:space="preserve">Unique rows</t>
  </si>
  <si>
    <t xml:space="preserve">Rows not duplicated</t>
  </si>
  <si>
    <t xml:space="preserve">MagType casing check</t>
  </si>
  <si>
    <t xml:space="preserve">Distinct before normalization</t>
  </si>
  <si>
    <t xml:space="preserve">Distinct after normalization</t>
  </si>
  <si>
    <t xml:space="preserve">PIVOT TABLE SUMMARIES (formula-driven, refresh automatically)</t>
  </si>
  <si>
    <t xml:space="preserve">magType (raw)</t>
  </si>
  <si>
    <t xml:space="preserve">magType (normalized)</t>
  </si>
  <si>
    <t xml:space="preserve">mi</t>
  </si>
  <si>
    <t xml:space="preserve">Title Pattern</t>
  </si>
  <si>
    <t xml:space="preserve">Duplicate Status</t>
  </si>
  <si>
    <t xml:space="preserve">Distance + direction + city</t>
  </si>
  <si>
    <t xml:space="preserve">Unique</t>
  </si>
  <si>
    <t xml:space="preserve">Named-region</t>
  </si>
  <si>
    <t xml:space="preserve">Duplicate</t>
  </si>
  <si>
    <t xml:space="preserve">Note: These tables are formula-driven PivotTable-style summaries and recalculate automatically with the dataset.</t>
  </si>
  <si>
    <t xml:space="preserve">EARTHQUAKE DATA EXPLORATION — INTERACTIVE DASHBOARD</t>
  </si>
  <si>
    <t xml:space="preserve">KPI</t>
  </si>
  <si>
    <t xml:space="preserve">Value</t>
  </si>
  <si>
    <t xml:space="preserve">Alert</t>
  </si>
  <si>
    <t xml:space="preserve">Records</t>
  </si>
  <si>
    <t xml:space="preserve">Avg Magnitude</t>
  </si>
  <si>
    <t xml:space="preserve">Max Magnitude</t>
  </si>
  <si>
    <t xml:space="preserve">Min Depth</t>
  </si>
  <si>
    <t xml:space="preserve">Max Depth</t>
  </si>
  <si>
    <t xml:space="preserve">Blank Alert %</t>
  </si>
  <si>
    <t xml:space="preserve">Blank Continent %</t>
  </si>
  <si>
    <t xml:space="preserve">Blank Country %</t>
  </si>
  <si>
    <t xml:space="preserve">Blank Location %</t>
  </si>
  <si>
    <t xml:space="preserve">Duplicate Rows</t>
  </si>
  <si>
    <t xml:space="preserve">Dashboard note</t>
  </si>
  <si>
    <t xml:space="preserve">Use the Working_Data filters and formula summaries for interactive exploration. All KPI/count outputs are live formulas.</t>
  </si>
  <si>
    <t xml:space="preserve">19-COLUMN DATA TYPE CLASSIFICATION</t>
  </si>
  <si>
    <t xml:space="preserve">Why / Role</t>
  </si>
  <si>
    <t xml:space="preserve">Quality Note</t>
  </si>
  <si>
    <t xml:space="preserve">Earthquake title/location string</t>
  </si>
  <si>
    <t xml:space="preserve">Mixed title formats</t>
  </si>
  <si>
    <t xml:space="preserve">Magnitude value</t>
  </si>
  <si>
    <t xml:space="preserve">Range/profile</t>
  </si>
  <si>
    <t xml:space="preserve">datetime (raw is text)</t>
  </si>
  <si>
    <t xml:space="preserve">Event date and time</t>
  </si>
  <si>
    <t xml:space="preserve">Convert using helper</t>
  </si>
  <si>
    <t xml:space="preserve">Community intensity measure</t>
  </si>
  <si>
    <t xml:space="preserve">May be blank</t>
  </si>
  <si>
    <t xml:space="preserve">Modified Mercalli intensity</t>
  </si>
  <si>
    <t xml:space="preserve">Hazard alert level</t>
  </si>
  <si>
    <t xml:space="preserve">Many blanks</t>
  </si>
  <si>
    <t xml:space="preserve">Binary tsunami indicator</t>
  </si>
  <si>
    <t xml:space="preserve">0/1</t>
  </si>
  <si>
    <t xml:space="preserve">Significance score</t>
  </si>
  <si>
    <t xml:space="preserve">Numeric</t>
  </si>
  <si>
    <t xml:space="preserve">Network/source code</t>
  </si>
  <si>
    <t xml:space="preserve">Categorical code</t>
  </si>
  <si>
    <t xml:space="preserve">Number of stations</t>
  </si>
  <si>
    <t xml:space="preserve">Minimum distance</t>
  </si>
  <si>
    <t xml:space="preserve">Azimuthal gap</t>
  </si>
  <si>
    <t xml:space="preserve">Magnitude calculation method</t>
  </si>
  <si>
    <t xml:space="preserve">Normalize case</t>
  </si>
  <si>
    <t xml:space="preserve">Depth</t>
  </si>
  <si>
    <t xml:space="preserve">Latitude</t>
  </si>
  <si>
    <t xml:space="preserve">Longitude</t>
  </si>
  <si>
    <t xml:space="preserve">Location text</t>
  </si>
  <si>
    <t xml:space="preserve">Some missing</t>
  </si>
  <si>
    <t xml:space="preserve">Continent</t>
  </si>
  <si>
    <t xml:space="preserve">Many missing</t>
  </si>
  <si>
    <t xml:space="preserve">Country</t>
  </si>
  <si>
    <t xml:space="preserve">DATA QUALITY SUMMARY — ISSUE → LAB 4 FIX</t>
  </si>
  <si>
    <t xml:space="preserve">Issue Found</t>
  </si>
  <si>
    <t xml:space="preserve">Evidence / Formula</t>
  </si>
  <si>
    <t xml:space="preserve">Impact</t>
  </si>
  <si>
    <t xml:space="preserve">Fix to Apply in Lab 4</t>
  </si>
  <si>
    <t xml:space="preserve">Alert unassigned for many events</t>
  </si>
  <si>
    <t xml:space="preserve">Keep missing as NA/unknown unless a defensible imputation rule is defined.</t>
  </si>
  <si>
    <t xml:space="preserve">Missing continent</t>
  </si>
  <si>
    <t xml:space="preserve">Geographic grouping incomplete</t>
  </si>
  <si>
    <t xml:space="preserve">Retain missing category or derive from coordinates with a documented method.</t>
  </si>
  <si>
    <t xml:space="preserve">Missing country</t>
  </si>
  <si>
    <t xml:space="preserve">Country analysis incomplete</t>
  </si>
  <si>
    <t xml:space="preserve">Retain missing category or derive consistently from coordinates.</t>
  </si>
  <si>
    <t xml:space="preserve">Missing location</t>
  </si>
  <si>
    <t xml:space="preserve">Location text incomplete</t>
  </si>
  <si>
    <t xml:space="preserve">Preserve missing values; avoid unsupported manual filling.</t>
  </si>
  <si>
    <t xml:space="preserve">date_time stored as text</t>
  </si>
  <si>
    <t xml:space="preserve">Sorting/time analysis can fail</t>
  </si>
  <si>
    <t xml:space="preserve">Convert to true datetime (helper column T).</t>
  </si>
  <si>
    <t xml:space="preserve">Mixed magType casing</t>
  </si>
  <si>
    <t xml:space="preserve">Same method can split into categories</t>
  </si>
  <si>
    <t xml:space="preserve">Normalize magType with LOWER.</t>
  </si>
  <si>
    <t xml:space="preserve">Distance-based parsing may not work for all rows</t>
  </si>
  <si>
    <t xml:space="preserve">Use pattern flag; handle named regions separately.</t>
  </si>
  <si>
    <t xml:space="preserve">Near-duplicate events</t>
  </si>
  <si>
    <t xml:space="preserve">Can inflate counts</t>
  </si>
  <si>
    <t xml:space="preserve">Review title+timestamp duplicates and deduplicate with a documented rule.</t>
  </si>
  <si>
    <t xml:space="preserve">FORMULA / AUDIT GUIDE</t>
  </si>
  <si>
    <t xml:space="preserve">Requirement</t>
  </si>
  <si>
    <t xml:space="preserve">Implemented In</t>
  </si>
  <si>
    <t xml:space="preserve">Formula / Method</t>
  </si>
  <si>
    <t xml:space="preserve">COUNTA, COUNTBLANK, COUNTIF, COUNTIFS, ISNUMBER, MIN, MAX, AVERAGE</t>
  </si>
  <si>
    <t xml:space="preserve">Task1_Exploration / Task2_Quality_Audit / Working_Data</t>
  </si>
  <si>
    <t xml:space="preserve">Live Excel formulas across dataset ranges</t>
  </si>
  <si>
    <t xml:space="preserve">PivotTable requirement</t>
  </si>
  <si>
    <t xml:space="preserve">PivotTables</t>
  </si>
  <si>
    <t xml:space="preserve">Formula-driven pivot-style summaries for alert, magType, magnitude band, title pattern and duplicates</t>
  </si>
  <si>
    <t xml:space="preserve">Date conversion</t>
  </si>
  <si>
    <t xml:space="preserve">Working_Data column T</t>
  </si>
  <si>
    <t xml:space="preserve">DATE + MID + TIME</t>
  </si>
  <si>
    <t xml:space="preserve">Title pattern flag</t>
  </si>
  <si>
    <t xml:space="preserve">Working_Data column U</t>
  </si>
  <si>
    <t xml:space="preserve">FIND + MID + VALUE + ISNUMBER</t>
  </si>
  <si>
    <t xml:space="preserve">magType normalization</t>
  </si>
  <si>
    <t xml:space="preserve">Working_Data column V</t>
  </si>
  <si>
    <t xml:space="preserve">LOWER</t>
  </si>
  <si>
    <t xml:space="preserve">Duplicate flag</t>
  </si>
  <si>
    <t xml:space="preserve">Working_Data columns W:X</t>
  </si>
  <si>
    <t xml:space="preserve">COUNTIFS on title and raw date_time</t>
  </si>
  <si>
    <t xml:space="preserve">Magnitude bands</t>
  </si>
  <si>
    <t xml:space="preserve">Working_Data column Y</t>
  </si>
  <si>
    <t xml:space="preserve">Nested IF</t>
  </si>
  <si>
    <t xml:space="preserve">Year helper</t>
  </si>
  <si>
    <t xml:space="preserve">Working_Data column Z</t>
  </si>
  <si>
    <t xml:space="preserve">YEAR of converted datetime</t>
  </si>
  <si>
    <t xml:space="preserve">Chart requirement</t>
  </si>
  <si>
    <t xml:space="preserve">Task1_Exploration / Dashboard</t>
  </si>
  <si>
    <t xml:space="preserve">Bar, line and pie charts linked to live summary formulas</t>
  </si>
  <si>
    <t xml:space="preserve">Interactive dashboard</t>
  </si>
  <si>
    <t xml:space="preserve">Dashboard</t>
  </si>
  <si>
    <t xml:space="preserve">KPI formulas, alert and magnitude-band charts, filterable Working_Data</t>
  </si>
  <si>
    <t xml:space="preserve">ACTUAL PIVOTTABLE — EVENT COUNT BY ALERT (blank included)</t>
  </si>
  <si>
    <t xml:space="preserve">Filter</t>
  </si>
  <si>
    <t xml:space="preserve">Count - title</t>
  </si>
  <si>
    <t xml:space="preserve">(empty)</t>
  </si>
  <si>
    <t xml:space="preserve">Total Result</t>
  </si>
  <si>
    <t xml:space="preserve">ACTUAL PIVOTTABLE — EVENT COUNT BY MAGNITUDE TYPE</t>
  </si>
  <si>
    <t xml:space="preserve">ACTUAL PIVOTTABLE — EVENT COUNT BY TITLE PATTERN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</si>
</sst>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@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mbria"/>
      <family val="0"/>
      <charset val="1"/>
    </font>
    <font>
      <b val="true"/>
      <sz val="16"/>
      <color theme="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theme="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Earthquake 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Task1_Exploration!$B$17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Task1_Exploration!$A$18:$A$26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Task1_Exploration!$B$18:$B$26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</c:ser>
        <c:gapWidth val="150"/>
        <c:overlap val="0"/>
        <c:axId val="96605446"/>
        <c:axId val="54960170"/>
      </c:barChart>
      <c:catAx>
        <c:axId val="966054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Magnitude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54960170"/>
        <c:crosses val="autoZero"/>
        <c:auto val="1"/>
        <c:lblAlgn val="ctr"/>
        <c:lblOffset val="100"/>
        <c:noMultiLvlLbl val="0"/>
      </c:catAx>
      <c:valAx>
        <c:axId val="54960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96605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Significant Earthquakes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Task1_Exploration!$B$29</c:f>
              <c:strCache>
                <c:ptCount val="1"/>
                <c:pt idx="0">
                  <c:v>Event 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Task1_Exploration!$A$30:$A$58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strCache>
            </c:strRef>
          </c:cat>
          <c:val>
            <c:numRef>
              <c:f>Task1_Exploration!$B$30:$B$58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240307"/>
        <c:axId val="45907591"/>
      </c:lineChart>
      <c:catAx>
        <c:axId val="48240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45907591"/>
        <c:crosses val="autoZero"/>
        <c:auto val="1"/>
        <c:lblAlgn val="ctr"/>
        <c:lblOffset val="100"/>
        <c:noMultiLvlLbl val="0"/>
      </c:catAx>
      <c:valAx>
        <c:axId val="45907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48240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Alert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Dashboard!$D$4:$D$8</c:f>
              <c:strCache>
                <c:ptCount val="5"/>
                <c:pt idx="0">
                  <c:v>(blank)</c:v>
                </c:pt>
                <c:pt idx="1">
                  <c:v>green</c:v>
                </c:pt>
                <c:pt idx="2">
                  <c:v>yellow</c:v>
                </c:pt>
                <c:pt idx="3">
                  <c:v>orange</c:v>
                </c:pt>
                <c:pt idx="4">
                  <c:v>red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551</c:v>
                </c:pt>
                <c:pt idx="1">
                  <c:v>353</c:v>
                </c:pt>
                <c:pt idx="2">
                  <c:v>59</c:v>
                </c:pt>
                <c:pt idx="3">
                  <c:v>24</c:v>
                </c:pt>
                <c:pt idx="4">
                  <c:v>13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Magnitude Band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Dashboard!$E$12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Dashboard!$D$13:$D$17</c:f>
              <c:strCache>
                <c:ptCount val="5"/>
                <c:pt idx="0">
                  <c:v>&lt;6.5</c:v>
                </c:pt>
                <c:pt idx="1">
                  <c:v>6.5–6.9</c:v>
                </c:pt>
                <c:pt idx="2">
                  <c:v>7.0–7.4</c:v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Dashboard!$E$13:$E$17</c:f>
              <c:numCache>
                <c:formatCode>General</c:formatCode>
                <c:ptCount val="5"/>
                <c:pt idx="0">
                  <c:v>0</c:v>
                </c:pt>
                <c:pt idx="1">
                  <c:v>627</c:v>
                </c:pt>
                <c:pt idx="2">
                  <c:v>229</c:v>
                </c:pt>
              </c:numCache>
            </c:numRef>
          </c:val>
        </c:ser>
        <c:gapWidth val="150"/>
        <c:overlap val="0"/>
        <c:axId val="25952006"/>
        <c:axId val="52578380"/>
      </c:barChart>
      <c:catAx>
        <c:axId val="259520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52578380"/>
        <c:crosses val="autoZero"/>
        <c:auto val="1"/>
        <c:lblAlgn val="ctr"/>
        <c:lblOffset val="100"/>
        <c:noMultiLvlLbl val="0"/>
      </c:catAx>
      <c:valAx>
        <c:axId val="52578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5952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16</xdr:col>
      <xdr:colOff>397800</xdr:colOff>
      <xdr:row>18</xdr:row>
      <xdr:rowOff>74160</xdr:rowOff>
    </xdr:to>
    <xdr:graphicFrame>
      <xdr:nvGraphicFramePr>
        <xdr:cNvPr id="0" name="Chart 1"/>
        <xdr:cNvGraphicFramePr/>
      </xdr:nvGraphicFramePr>
      <xdr:xfrm>
        <a:off x="13439880" y="425520"/>
        <a:ext cx="467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16</xdr:col>
      <xdr:colOff>397800</xdr:colOff>
      <xdr:row>35</xdr:row>
      <xdr:rowOff>74160</xdr:rowOff>
    </xdr:to>
    <xdr:graphicFrame>
      <xdr:nvGraphicFramePr>
        <xdr:cNvPr id="1" name="Chart 2"/>
        <xdr:cNvGraphicFramePr/>
      </xdr:nvGraphicFramePr>
      <xdr:xfrm>
        <a:off x="13439880" y="3404880"/>
        <a:ext cx="467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11</xdr:col>
      <xdr:colOff>540720</xdr:colOff>
      <xdr:row>18</xdr:row>
      <xdr:rowOff>74160</xdr:rowOff>
    </xdr:to>
    <xdr:graphicFrame>
      <xdr:nvGraphicFramePr>
        <xdr:cNvPr id="2" name="Chart 1"/>
        <xdr:cNvGraphicFramePr/>
      </xdr:nvGraphicFramePr>
      <xdr:xfrm>
        <a:off x="6907680" y="455400"/>
        <a:ext cx="359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37800</xdr:colOff>
      <xdr:row>36</xdr:row>
      <xdr:rowOff>101880</xdr:rowOff>
    </xdr:to>
    <xdr:graphicFrame>
      <xdr:nvGraphicFramePr>
        <xdr:cNvPr id="3" name="Chart 2"/>
        <xdr:cNvGraphicFramePr/>
      </xdr:nvGraphicFramePr>
      <xdr:xfrm>
        <a:off x="6907680" y="3434760"/>
        <a:ext cx="431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Z1001" sheet="Working_Data"/>
  </cacheSource>
  <cacheFields count="26">
    <cacheField name="title" numFmtId="0">
      <sharedItems count="984">
        <s v="M 6.5 - 10 km NE of San Simeon, California"/>
        <s v="M 6.5 - 10 km SW of Juradó, Colombia"/>
        <s v="M 6.5 - 105 km ESE of Kokopo, Papua New Guinea"/>
        <s v="M 6.5 - 106 km SW of Padang, Indonesia"/>
        <s v="M 6.5 - 107 km NE of Calama, Chile"/>
        <s v="M 6.5 - 107 km SSW of Tarauacá, Brazil"/>
        <s v="M 6.5 - 107 km WSW of Vernon, Canada"/>
        <s v="M 6.5 - 108 km NW of Kimbe, Papua New Guinea"/>
        <s v="M 6.5 - 108 km WNW of Manokwari, Indonesia"/>
        <s v="M 6.5 - 108 km WSW of Adak, Alaska"/>
        <s v="M 6.5 - 109 km NW of Nago, Japan"/>
        <s v="M 6.5 - 11 km N of Mabua, Philippines"/>
        <s v="M 6.5 - 110 km SE of Punta de Burica, Panama"/>
        <s v="M 6.5 - 111 km E of Kimbe, Papua New Guinea"/>
        <s v="M 6.5 - 114 km SSE of San Jose Village, Northern Mariana Islands"/>
        <s v="M 6.5 - 117 km WNW of Manokwari, Indonesia"/>
        <s v="M 6.5 - 118 km ESE of Kokopo, Papua New Guinea"/>
        <s v="M 6.5 - 118 km ESE of Madang, Papua New Guinea"/>
        <s v="M 6.5 - 11km S of Kairatu, Indonesia"/>
        <s v="M 6.5 - 12 km ENE of Selfoss, Iceland"/>
        <s v="M 6.5 - 12 km SSW of Kawalu, Indonesia"/>
        <s v="M 6.5 - 123 km WNW of Tobelo, Indonesia"/>
        <s v="M 6.5 - 124 km N of Labuan Bajo, Indonesia"/>
        <s v="M 6.5 - 128 km NE of Bathsheba, Barbados"/>
        <s v="M 6.5 - 13 km NNE of San Sebastián, El Salvador"/>
        <s v="M 6.5 - 130 km NNW of Lautoka, Fiji"/>
        <s v="M 6.5 - 130 km SSW of Abepura, Indonesia"/>
        <s v="M 6.5 - 131 km W of Iwanai, Japan"/>
        <s v="M 6.5 - 132 km WSW of Moijabana, Botswana"/>
        <s v="M 6.5 - 139 km ESE of Namie, Japan"/>
        <s v="M 6.5 - 14 km SE of Punta de Burica, Panama"/>
        <s v="M 6.5 - 14 km WNW of Reuleuet, Indonesia"/>
        <s v="M 6.5 - 15 km W of Nkove, Tanzania"/>
        <s v="M 6.5 - 152 km NNE of Bamboo Flat, India"/>
        <s v="M 6.5 - 154 km S of Severo-Kuril’sk, Russia"/>
        <s v="M 6.5 - 166 km WSW of Sungai Penuh, Indonesia"/>
        <s v="M 6.5 - 166km SSW of Ndoi Island, Fiji"/>
        <s v="M 6.5 - 168 km SW of Mawu, China"/>
        <s v="M 6.5 - 171 km E of Tadine, New Caledonia"/>
        <s v="M 6.5 - 171 km NNE of Greenland, Barbados"/>
        <s v="M 6.5 - 177 km SE of Gizo, Solomon Islands"/>
        <s v="M 6.5 - 18 km E of Talisay, Philippines"/>
        <s v="M 6.5 - 18 km W of Parrita, Costa Rica"/>
        <s v="M 6.5 - 180 km NE of Lospalos, Timor Leste"/>
        <s v="M 6.5 - 181 km SSW of Alo, Wallis and Futuna"/>
        <s v="M 6.5 - 19 km SSW of Lefkáda, Greece"/>
        <s v="M 6.5 - 2 km S of Lim-oo, Philippines"/>
        <s v="M 6.5 - 207 km WSW of Haveluloto, Tonga"/>
        <s v="M 6.5 - 217 km SSE of Kokopo, Papua New Guinea"/>
        <s v="M 6.5 - 223 km SW of Port McNeill, Canada"/>
        <s v="M 6.5 - 225 km WNW of Pangai, Tonga"/>
        <s v="M 6.5 - 227 km SE of Sarangani, Philippines"/>
        <s v="M 6.5 - 23 km SSE of Badamdar, Azerbaijan"/>
        <s v="M 6.5 - 236 km S of Punta de Burica, Panama"/>
        <s v="M 6.5 - 237 km SW of Port McNeill, Canada"/>
        <s v="M 6.5 - 24 km NNW of El Habillal, Mexico"/>
        <s v="M 6.5 - 24 km SSW of Larsen Bay, Alaska"/>
        <s v="M 6.5 - 247 km ESE of Attu Station, Alaska"/>
        <s v="M 6.5 - 25 km E of Selfoss, Iceland"/>
        <s v="M 6.5 - 265 km SSE of Alo, Wallis and Futuna"/>
        <s v="M 6.5 - 28 km NNW of Dompu, Indonesia"/>
        <s v="M 6.5 - 29 km SE of Blenheim, New Zealand"/>
        <s v="M 6.5 - 2km ESE of Kisante, Philippines"/>
        <s v="M 6.5 - 3 km NW of Hanamaki, Japan"/>
        <s v="M 6.5 - 3 km SSE of Progreso, Panama"/>
        <s v="M 6.5 - 31 km SE of Puli, Taiwan"/>
        <s v="M 6.5 - 31 km SW of Ashk?sham, Afghanistan"/>
        <s v="M 6.5 - 31 km WSW of Malango, Solomon Islands"/>
        <s v="M 6.5 - 32 km E of Port-Olry, Vanuatu"/>
        <s v="M 6.5 - 32 km NNE of Biak, Indonesia"/>
        <s v="M 6.5 - 32 km SW of Champerico, Guatemala"/>
        <s v="M 6.5 - 32 km W of Sola, Vanuatu"/>
        <s v="M 6.5 - 32 km WNW of Skýros, Greece"/>
        <s v="M 6.5 - 33 km N of Rabaul, Papua New Guinea"/>
        <s v="M 6.5 - 33 km S of Puerto San José, Guatemala"/>
        <s v="M 6.5 - 34 km N of Dompu, Indonesia"/>
        <s v="M 6.5 - 36 km E of Finschhafen, Papua New Guinea"/>
        <s v="M 6.5 - 37 km WNW of Ferndale, California"/>
        <s v="M 6.5 - 38 km ESE of Blenheim, New Zealand"/>
        <s v="M 6.5 - 4 km ESE of Finschhafen, Papua New Guinea"/>
        <s v="M 6.5 - 4 km NW of Can-Avid, Philippines"/>
        <s v="M 6.5 - 40 km SSE of Jurm, Afghanistan"/>
        <s v="M 6.5 - 41 km E of Padilla, Bolivia"/>
        <s v="M 6.5 - 41 km N of Rabaul, Papua New Guinea"/>
        <s v="M 6.5 - 41 km NW of El Habillal, Mexico"/>
        <s v="M 6.5 - 41 km SSW of Ambon, Indonesia"/>
        <s v="M 6.5 - 42 km W of Sola, Vanuatu"/>
        <s v="M 6.5 - 43 km S of Intipucá, El Salvador"/>
        <s v="M 6.5 - 44 km W of Masachapa, Nicaragua"/>
        <s v="M 6.5 - 45 km WSW of Iquique, Chile"/>
        <s v="M 6.5 - 46 km NE of Ruteng, Indonesia"/>
        <s v="M 6.5 - 47 km NW of Maubara, Timor Leste"/>
        <s v="M 6.5 - 48 km NW of Sola, Vanuatu"/>
        <s v="M 6.5 - 49 km N of Yigo Village, Guam"/>
        <s v="M 6.5 - 49 km NW of Barranca, Peru"/>
        <s v="M 6.5 - 49 km W of Finschhafen, Papua New Guinea"/>
        <s v="M 6.5 - 5 km ENE of Churumuco de Morelos, Mexico"/>
        <s v="M 6.5 - 5 km NE of Sultanda??, Turkey"/>
        <s v="M 6.5 - 50 km S of Koróni, Greece"/>
        <s v="M 6.5 - 50 km SE of Sucúa, Ecuador"/>
        <s v="M 6.5 - 51 km S of Jurm, Afghanistan"/>
        <s v="M 6.5 - 52 km ENE of Kokopo, Papua New Guinea"/>
        <s v="M 6.5 - 53 km SW of Ashk?sham, Afghanistan"/>
        <s v="M 6.5 - 54 km WNW of Illapel, Chile"/>
        <s v="M 6.5 - 57 km SE of Sinabang, Indonesia"/>
        <s v="M 6.5 - 58 km S of Kushiro, Japan"/>
        <s v="M 6.5 - 59 km ENE of Namie, Japan"/>
        <s v="M 6.5 - 59 km SSW of Abhar, Iran"/>
        <s v="M 6.5 - 59 km SSW of Labuan, Indonesia"/>
        <s v="M 6.5 - 6 km SSW of Nuevo Balsas, Mexico"/>
        <s v="M 6.5 - 65 km SSW of Port-Vila, Vanuatu"/>
        <s v="M 6.5 - 65 km W of Kirakira, Solomon Islands"/>
        <s v="M 6.5 - 66 km NW of Kirakira, Solomon Islands"/>
        <s v="M 6.5 - 67 km ESE of Teno, Chile"/>
        <s v="M 6.5 - 67 km NNW of Insrom, Indonesia"/>
        <s v="M 6.5 - 67 km WSW of Angoram, Papua New Guinea"/>
        <s v="M 6.5 - 71 km SE of Nikolski, Alaska"/>
        <s v="M 6.5 - 73 km WNW of Copiapó, Chile"/>
        <s v="M 6.5 - 74 km NE of Amberley, New Zealand"/>
        <s v="M 6.5 - 78 km E of Lakatoro, Vanuatu"/>
        <s v="M 6.5 - 78 km SW of Panguna, Papua New Guinea"/>
        <s v="M 6.5 - 79 km WSW of Kirakira, Solomon Islands"/>
        <s v="M 6.5 - 8 km WNW of Galaxídhion, Greece"/>
        <s v="M 6.5 - 80 km ESE of Ishinomaki, Japan"/>
        <s v="M 6.5 - 80 km SW of Jiquilillo, Nicaragua"/>
        <s v="M 6.5 - 81 km ESE of Ozernovskiy, Russia"/>
        <s v="M 6.5 - 81 km NE of Hasaki, Japan"/>
        <s v="M 6.5 - 81 km SSW of Atka, Alaska"/>
        <s v="M 6.5 - 81 km SSW of Katabu, Indonesia"/>
        <s v="M 6.5 - 81 km W of Paramonga, Peru"/>
        <s v="M 6.5 - 83km ENE of Bristol Island, South Sandwich Islands"/>
        <s v="M 6.5 - 84 km NNW of San Antonio de los Cobres, Argentina"/>
        <s v="M 6.5 - 86 km NNW of Sola, Vanuatu"/>
        <s v="M 6.5 - 86 km WSW of Port-Olry, Vanuatu"/>
        <s v="M 6.5 - 87 km SE of Ozernovskiy, Russia"/>
        <s v="M 6.5 - 9 km SSW of General Pascual Fentes, Mexico"/>
        <s v="M 6.5 - 9 km W of Talisay, Philippines"/>
        <s v="M 6.5 - 91 km S of Néa Anatolí, Greece"/>
        <s v="M 6.5 - 92 km N of Iquique, Chile"/>
        <s v="M 6.5 - 92 km SSW of Blenheim, New Zealand"/>
        <s v="M 6.5 - 94 km NW of Vallenar, Chile"/>
        <s v="M 6.5 - 94 km SSE of Shimoda, Japan"/>
        <s v="M 6.5 - 96 km ENE of Hihifo, Tonga"/>
        <s v="M 6.5 - 96 km SE of Lugu, Taiwan"/>
        <s v="M 6.5 - Bonin Islands, Japan region"/>
        <s v="M 6.5 - Bouvet Island region"/>
        <s v="M 6.5 - central Mid-Atlantic Ridge"/>
        <s v="M 6.5 - Costa Rica"/>
        <s v="M 6.5 - Fiji region"/>
        <s v="M 6.5 - Izu Islands, Japan region"/>
        <s v="M 6.5 - Kepulauan Mentawai region, Indonesia"/>
        <s v="M 6.5 - Kermadec Islands region"/>
        <s v="M 6.5 - Kermadec Islands, New Zealand"/>
        <s v="M 6.5 - Monte Cristo Range, NV Earthquake"/>
        <s v="M 6.5 - near the east coast of the Kamchatka Peninsula, Russia"/>
        <s v="M 6.5 - Pulau-Pulau Talaud, Indonesia"/>
        <s v="M 6.5 - south of the Fiji Islands"/>
        <s v="M 6.5 - south of the Kermadec Islands"/>
        <s v="M 6.5 - South Sandwich Islands region"/>
        <s v="M 6.5 - Stanley, Idaho"/>
        <s v="M 6.5 - Turkmenistan-Iran border region"/>
        <s v="M 6.6 - "/>
        <s v="M 6.6 - 0 km ESE of Isangel, Vanuatu"/>
        <s v="M 6.6 - 10 km NE of Columbio, Philippines"/>
        <s v="M 6.6 - 10 km SSW of San José El Ídolo, Guatemala"/>
        <s v="M 6.6 - 10 km W of Aianí, Greece"/>
        <s v="M 6.6 - 101 km E of Tadine, New Caledonia"/>
        <s v="M 6.6 - 103 km NE of Angoram, Papua New Guinea"/>
        <s v="M 6.6 - 106 km NE of Yelizovo, Russia"/>
        <s v="M 6.6 - 106 km WSW of Sangay, Philippines"/>
        <s v="M 6.6 - 108 km SW of Kokopo, Papua New Guinea"/>
        <s v="M 6.6 - 11 km ENE of Kainantu, Papua New Guinea"/>
        <s v="M 6.6 - 11 km ENE of Kos, Greece"/>
        <s v="M 6.6 - 11 km N of Cañete, Chile"/>
        <s v="M 6.6 - 110 km SSE of K?h Sef?d, Iran"/>
        <s v="M 6.6 - 113 km SE of Kokopo, Papua New Guinea"/>
        <s v="M 6.6 - 115 km W of Panguna, Papua New Guinea"/>
        <s v="M 6.6 - 122 km N of Murghob, Tajikistan"/>
        <s v="M 6.6 - 124 km SW of Bamboo Flat, India"/>
        <s v="M 6.6 - 125 km E of Kimbe, Papua New Guinea"/>
        <s v="M 6.6 - 127 km ESE of Arica, Chile"/>
        <s v="M 6.6 - 129 km ESE of Shing?, Japan"/>
        <s v="M 6.6 - 129 km SSW of Kokopo, Papua New Guinea"/>
        <s v="M 6.6 - 13 km E of San Pedro, Philippines"/>
        <s v="M 6.6 - 13 km SSW of Bam, Iran"/>
        <s v="M 6.6 - 130 km WNW of Naze, Japan"/>
        <s v="M 6.6 - 131 km SE of Kokopo, Papua New Guinea"/>
        <s v="M 6.6 - 131km S of Bristol Island, South Sandwich Islands"/>
        <s v="M 6.6 - 135 km SSE of Biak, Indonesia"/>
        <s v="M 6.6 - 136 km W of Neiafu, Tonga"/>
        <s v="M 6.6 - 140 km WNW of Tobelo, Indonesia"/>
        <s v="M 6.6 - 15 km N of Belén, Nicaragua"/>
        <s v="M 6.6 - 155 km SE of Kimbe, Papua New Guinea"/>
        <s v="M 6.6 - 16 km SE of Taungdwingyi, Myanmar"/>
        <s v="M 6.6 - 161 km NNE of Pamanukan, Indonesia"/>
        <s v="M 6.6 - 161 km SE of Katsuura, Japan"/>
        <s v="M 6.6 - 161 km SSE of Lata, Solomon Islands"/>
        <s v="M 6.6 - 161 km SSW of Padang, Indonesia"/>
        <s v="M 6.6 - 163 km ENE of Tual, Indonesia"/>
        <s v="M 6.6 - 164 km W of Ferndale, California"/>
        <s v="M 6.6 - 17 km SSW of Ishikawa, Japan"/>
        <s v="M 6.6 - 171 km SSE of Ust’-Kamchatsk Staryy, Russia"/>
        <s v="M 6.6 - 175 km SSE of Lata, Solomon Islands"/>
        <s v="M 6.6 - 177 km SE of Hirara, Japan"/>
        <s v="M 6.6 - 18 km WSW of Nikolski, Alaska"/>
        <s v="M 6.6 - 183 km SW of Belaya Gora, Russia"/>
        <s v="M 6.6 - 186 km WNW of Malango, Solomon Islands"/>
        <s v="M 6.6 - 199 km ESE of Tadine, New Caledonia"/>
        <s v="M 6.6 - 20 km NNW of Kashiwazaki, Japan"/>
        <s v="M 6.6 - 20 km SSE of Nishinoomote, Japan"/>
        <s v="M 6.6 - 20 km SW of Monte Patria, Chile"/>
        <s v="M 6.6 - 200km W of Broome, Australia"/>
        <s v="M 6.6 - 203 km SW of La Cruz de Loreto, Mexico"/>
        <s v="M 6.6 - 205 km SE of Kokopo, Papua New Guinea"/>
        <s v="M 6.6 - 217 km N of Bamboo Flat, India"/>
        <s v="M 6.6 - 217 km NNE of Palu, Indonesia"/>
        <s v="M 6.6 - 22 km ESE of Punta de Burica, Panama"/>
        <s v="M 6.6 - 22 km NNE of Cortes, Philippines"/>
        <s v="M 6.6 - 22 km SW of Lithakiá, Greece"/>
        <s v="M 6.6 - 22 km WSW of Illapel, Chile"/>
        <s v="M 6.6 - 227 km SE of Kandrian, Papua New Guinea"/>
        <s v="M 6.6 - 23 km ESE of Aitape, Papua New Guinea"/>
        <s v="M 6.6 - 23 km WNW of Talcahuano, Chile"/>
        <s v="M 6.6 - 239 km SSE of Isangel, Vanuatu"/>
        <s v="M 6.6 - 24 km E of Rust?q, Afghanistan"/>
        <s v="M 6.6 - 24 km NE of Cortes, Philippines"/>
        <s v="M 6.6 - 244 km SSE of Tateyama, Japan"/>
        <s v="M 6.6 - 25 km ESE of Loncopué, Argentina"/>
        <s v="M 6.6 - 25 km NNW of Mizque, Bolivia"/>
        <s v="M 6.6 - 26 km NE of Kandrian, Papua New Guinea"/>
        <s v="M 6.6 - 27 km ESE of Chitose, Japan"/>
        <s v="M 6.6 - 277 km NNE of Codrington, Antigua and Barbuda"/>
        <s v="M 6.6 - 28 km N of Sorong, Indonesia"/>
        <s v="M 6.6 - 28 km NNW of Maebaru-ch??, Japan"/>
        <s v="M 6.6 - 29 km NNW of Bima, Indonesia"/>
        <s v="M 6.6 - 30 km SSE of Cañete, Chile"/>
        <s v="M 6.6 - 30 km SSW of Lata, Solomon Islands"/>
        <s v="M 6.6 - 31 km S of Achanizo, Peru"/>
        <s v="M 6.6 - 32 km S of La Libertad, El Salvador"/>
        <s v="M 6.6 - 32 km W of San Juan del Sur, Nicaragua"/>
        <s v="M 6.6 - 33 km WNW of Port-Vila, Vanuatu"/>
        <s v="M 6.6 - 34km NNE of Ndoi Island, Fiji"/>
        <s v="M 6.6 - 36 km W of Kíssamos, Greece"/>
        <s v="M 6.6 - 37 km WNW of Poso, Indonesia"/>
        <s v="M 6.6 - 39 km WSW of Masachapa, Nicaragua"/>
        <s v="M 6.6 - 4 km W of Manuel Ávila Camacho (Ponte Duro), Mexico"/>
        <s v="M 6.6 - 41 km SSW of Coquimbo, Chile"/>
        <s v="M 6.6 - 42 km NNW of Tilichiki, Russia"/>
        <s v="M 6.6 - 42 km WSW of Ashk?sham, Afghanistan"/>
        <s v="M 6.6 - 43 km NE of San Fernando, Peru"/>
        <s v="M 6.6 - 44 km SE of Antofagasta, Chile"/>
        <s v="M 6.6 - 44 km SE of Kangding, China"/>
        <s v="M 6.6 - 45 km NNE of Saryg-Sep, Russia"/>
        <s v="M 6.6 - 46 km SSE of Gisborne, New Zealand"/>
        <s v="M 6.6 - 47 km N of Lijiang, China"/>
        <s v="M 6.6 - 47 km SSW of Ovalle, Chile"/>
        <s v="M 6.6 - 48 km WNW of Pólis, Cyprus"/>
        <s v="M 6.6 - 49 km SSE of Sungai Penuh, Indonesia"/>
        <s v="M 6.6 - 5 km ESE of Preci, Italy"/>
        <s v="M 6.6 - 5 km S of Cojutepeque, El Salvador"/>
        <s v="M 6.6 - 50 km ESE of ?tsuchi, Japan"/>
        <s v="M 6.6 - 50 km S of Jurm, Afghanistan"/>
        <s v="M 6.6 - 51 km NW of Isangel, Vanuatu"/>
        <s v="M 6.6 - 52 km ENE of Kandrian, Papua New Guinea"/>
        <s v="M 6.6 - 52 km ESE of Kerman, Iran"/>
        <s v="M 6.6 - 53 km ENE of Cantwell, Alaska"/>
        <s v="M 6.6 - 53 km SE of Nikolski, Alaska"/>
        <s v="M 6.6 - 55 km WSW of Masachapa, Nicaragua"/>
        <s v="M 6.6 - 56 km WSW of Linqiong, China"/>
        <s v="M 6.6 - 57 km SW of Panguna, Papua New Guinea"/>
        <s v="M 6.6 - 60 km SSE of Kirakira, Solomon Islands"/>
        <s v="M 6.6 - 62 km SSW of Ialibu, Papua New Guinea"/>
        <s v="M 6.6 - 62km E of Lakatoro, Vanuatu"/>
        <s v="M 6.6 - 64 km NNE of Angoram, Papua New Guinea"/>
        <s v="M 6.6 - 66 km E of Lakatoro, Vanuatu"/>
        <s v="M 6.6 - 66 km NNW of Coquimbo, Chile"/>
        <s v="M 6.6 - 7 km SW of Helio García Alfaro, Mexico"/>
        <s v="M 6.6 - 7 km WSW of Neira, Colombia"/>
        <s v="M 6.6 - 71 km NNE of Bharatpur, Nepal"/>
        <s v="M 6.6 - 73 km WNW of Tobelo, Indonesia"/>
        <s v="M 6.6 - 74 km E of Tadine, New Caledonia"/>
        <s v="M 6.6 - 74 km S of Kokhanok, Alaska"/>
        <s v="M 6.6 - 75 km S of Kirakira, Solomon Islands"/>
        <s v="M 6.6 - 75 km SSW of Bahía de Kino, Mexico"/>
        <s v="M 6.6 - 76 km NE of Finschhafen, Papua New Guinea"/>
        <s v="M 6.6 - 76 km W of Neiafu, Tonga"/>
        <s v="M 6.6 - 8 km SSW of Ojiya, Japan"/>
        <s v="M 6.6 - 8 km WSW of Sumberpucung, Indonesia"/>
        <s v="M 6.6 - 80 km E of Tilichiki, Russia"/>
        <s v="M 6.6 - 80 km SW of Labuan, Indonesia"/>
        <s v="M 6.6 - 80 km W of Sungai Penuh, Indonesia"/>
        <s v="M 6.6 - 81 km NNE of Ust’-Kamchatsk Staryy, Russia"/>
        <s v="M 6.6 - 82 km E of Kimbe, Papua New Guinea"/>
        <s v="M 6.6 - 87 km ESE of Kimbe, Papua New Guinea"/>
        <s v="M 6.6 - 87 km SSE of Kokopo, Papua New Guinea"/>
        <s v="M 6.6 - 9 km NNW of P?palkoti, India"/>
        <s v="M 6.6 - 94 km NW of Sola, Vanuatu"/>
        <s v="M 6.6 - 95 km SW of Etchoropo, Mexico"/>
        <s v="M 6.6 - 97 km N of Batang, Indonesia"/>
        <s v="M 6.6 - 98 km SE of Gizo, Solomon Islands"/>
        <s v="M 6.6 - 98 km SW of Etchoropo, Mexico"/>
        <s v="M 6.6 - 98 km W of Panguna, Papua New Guinea"/>
        <s v="M 6.6 - 99 km SSE of Panguna, Papua New Guinea"/>
        <s v="M 6.6 - Afghanistan-Tajikistan-Pakistan region"/>
        <s v="M 6.6 - Auckland Islands, New Zealand region"/>
        <s v="M 6.6 - Kermadec Islands, New Zealand"/>
        <s v="M 6.6 - Molucca Sea"/>
        <s v="M 6.6 - Nicobar Islands, India region"/>
        <s v="M 6.6 - northern Mid-Atlantic Ridge"/>
        <s v="M 6.6 - northern Qinghai, China"/>
        <s v="M 6.6 - Panama-Colombia border region"/>
        <s v="M 6.6 - south of the Fiji Islands"/>
        <s v="M 6.6 - south of the Kermadec Islands"/>
        <s v="M 6.6 - South Sandwich Islands region"/>
        <s v="M 6.7 - 10 km SSW of Coquimbo, Chile"/>
        <s v="M 6.7 - 100 km ESE of Kimbe, Papua New Guinea"/>
        <s v="M 6.7 - 101 km WSW of Bahía Solano, Colombia"/>
        <s v="M 6.7 - 102 km WSW of Sola, Vanuatu"/>
        <s v="M 6.7 - 103 km W of El Aguilar, Argentina"/>
        <s v="M 6.7 - 104 km W of Sola, Vanuatu"/>
        <s v="M 6.7 - 105 km WNW of Naisano Dua, Indonesia"/>
        <s v="M 6.7 - 107 km NW of Ambon, Indonesia"/>
        <s v="M 6.7 - 108 km W of Ambon, Indonesia"/>
        <s v="M 6.7 - 11 km SE of Aitape, Papua New Guinea"/>
        <s v="M 6.7 - 111 km SE of Bam, Iran"/>
        <s v="M 6.7 - 112 km WSW of Padang, Indonesia"/>
        <s v="M 6.7 - 113 km SW of Padang, Indonesia"/>
        <s v="M 6.7 - 118 km SSW of Padang, Indonesia"/>
        <s v="M 6.7 - 120 km NW of Olonkinbyen, Svalbard and Jan Mayen"/>
        <s v="M 6.7 - 123 km E of Namie, Japan"/>
        <s v="M 6.7 - 125 km SSW of Tarauacá, Brazil"/>
        <s v="M 6.7 - 125 km SW of Padangsidempuan, Indonesia"/>
        <s v="M 6.7 - 126 km SSW of Kokopo, Papua New Guinea"/>
        <s v="M 6.7 - 127 km NNW of Palu, Indonesia"/>
        <s v="M 6.7 - 128 km SSE of Panguna, Papua New Guinea"/>
        <s v="M 6.7 - 13 km N of Do?anyol, Turkey"/>
        <s v="M 6.7 - 131 km SE of Nookat, Kyrgyzstan"/>
        <s v="M 6.7 - 132 km E of Tadine, New Caledonia"/>
        <s v="M 6.7 - 14 km SW of Puako, Hawaii"/>
        <s v="M 6.7 - 140 km E of Kimbe, Papua New Guinea"/>
        <s v="M 6.7 - 140 km WSW of Makurazaki, Japan"/>
        <s v="M 6.7 - 146 km WNW of Corral, Chile"/>
        <s v="M 6.7 - 149 km ENE of Labasa, Fiji"/>
        <s v="M 6.7 - 15 km S of Hukay, Philippines"/>
        <s v="M 6.7 - 150 km WNW of Malango, Solomon Islands"/>
        <s v="M 6.7 - 151 km NE of Lospalos, Timor Leste"/>
        <s v="M 6.7 - 155 km SSW of Padang, Indonesia"/>
        <s v="M 6.7 - 16 km N of Potrerillos, Honduras"/>
        <s v="M 6.7 - 166 km W of Pariaman, Indonesia"/>
        <s v="M 6.7 - 17 km SW of Miyazaki, Japan"/>
        <s v="M 6.7 - 18 km ESE of Nurdağı, Turkey"/>
        <s v="M 6.7 - 18 km WSW of Scarborough, Trinidad and Tobago"/>
        <s v="M 6.7 - 181 km NNE of Maumere, Indonesia"/>
        <s v="M 6.7 - 183 km NE of Gisborne, New Zealand"/>
        <s v="M 6.7 - 189 km SW of Port McNeill, Canada"/>
        <s v="M 6.7 - 19 km SW of Brisas Barra de Suchiate, Mexico"/>
        <s v="M 6.7 - 190 km ESE of Kokopo, Papua New Guinea"/>
        <s v="M 6.7 - 190 km NW of Sola, Vanuatu"/>
        <s v="M 6.7 - 191 km SE of Kokopo, Papua New Guinea"/>
        <s v="M 6.7 - 192 km W of Abepura, Indonesia"/>
        <s v="M 6.7 - 2 km NNE of Jimalalud, Philippines"/>
        <s v="M 6.7 - 201 km SSE of Mata-Utu, Wallis and Futuna"/>
        <s v="M 6.7 - 206 km SSW of Sofifi, Indonesia"/>
        <s v="M 6.7 - 21 km SSE of Kod?ri??, Nepal"/>
        <s v="M 6.7 - 22 km NW of Hacienda La Calera, Chile"/>
        <s v="M 6.7 - 221 km NE of Jumla, Nepal"/>
        <s v="M 6.7 - 26 km NE of Kýthira, Greece"/>
        <s v="M 6.7 - 260 km S of Sinabang, Indonesia"/>
        <s v="M 6.7 - 269 km WNW of Ozernovskiy, Russia"/>
        <s v="M 6.7 - 279 km E of Levuka, Fiji"/>
        <s v="M 6.7 - 282 km NE of Lospalos, Timor Leste"/>
        <s v="M 6.7 - 29 km SSW of Turt, Mongolia"/>
        <s v="M 6.7 - 29 km W of Imph?l, India"/>
        <s v="M 6.7 - 30 km WSW of Villa El Carmen, Nicaragua"/>
        <s v="M 6.7 - 31 km SW of Copiapó, Chile"/>
        <s v="M 6.7 - 31 km WNW of Yonakuni, Japan"/>
        <s v="M 6.7 - 32 km SE of Muisne, Ecuador"/>
        <s v="M 6.7 - 33 km SSW of Lata, Solomon Islands"/>
        <s v="M 6.7 - 34 km WSW of Pacocha, Peru"/>
        <s v="M 6.7 - 38 km NE of Saryg-Sep, Russia"/>
        <s v="M 6.7 - 38 km SSW of Nabire, Indonesia"/>
        <s v="M 6.7 - 38 km W of Constitución, Chile"/>
        <s v="M 6.7 - 39 km SSE of Kushiro, Japan"/>
        <s v="M 6.7 - 41 km NNE of Miyako, Japan"/>
        <s v="M 6.7 - 43 km NW of Piti Village, Guam"/>
        <s v="M 6.7 - 43 km SSE of Iztapa, Guatemala"/>
        <s v="M 6.7 - 44 km NNE of Port-Olry, Vanuatu"/>
        <s v="M 6.7 - 46 km NW of Nanao, Japan"/>
        <s v="M 6.7 - 5 km SE of Miyazaki, Japan"/>
        <s v="M 6.7 - 5 km SW of Puerto Madero, Mexico"/>
        <s v="M 6.7 - 52 km NNW of Tomé, Chile"/>
        <s v="M 6.7 - 52 km SE of Shizunai-furukawach?, Japan"/>
        <s v="M 6.7 - 52 km SW of San Vicente de Cañete, Peru"/>
        <s v="M 6.7 - 52 km SW of Sola, Vanuatu"/>
        <s v="M 6.7 - 55 km WSW of Kirakira, Solomon Islands"/>
        <s v="M 6.7 - 59 km SSW of Sola, Vanuatu"/>
        <s v="M 6.7 - 60 km SSW of Boca Chica, Panama"/>
        <s v="M 6.7 - 61 km WNW of Illapel, Chile"/>
        <s v="M 6.7 - 62 km SW of Tari, Papua New Guinea"/>
        <s v="M 6.7 - 63 km NW of Sola, Vanuatu"/>
        <s v="M 6.7 - 63 km WNW of Iquique, Chile"/>
        <s v="M 6.7 - 65 km S of Hualien City, Taiwan"/>
        <s v="M 6.7 - 68 km WSW of Kabanjahe, Indonesia"/>
        <s v="M 6.7 - 70 km WSW of Constitución, Chile"/>
        <s v="M 6.7 - 71 km S of Burica, Panama"/>
        <s v="M 6.7 - 72 km S of Manokwari, Indonesia"/>
        <s v="M 6.7 - 73 km WSW of Vallenar, Chile"/>
        <s v="M 6.7 - 78 km WNW of Copiapó, Chile"/>
        <s v="M 6.7 - 8 km ESE of Matsue, Japan"/>
        <s v="M 6.7 - 80 km NNE of Antofagasta, Chile"/>
        <s v="M 6.7 - 80 km SSE of Kirakira, Solomon Islands"/>
        <s v="M 6.7 - 83 km ENE of Miyako, Japan"/>
        <s v="M 6.7 - 86 km SSE of Manokwari, Indonesia"/>
        <s v="M 6.7 - 9 km S of Aktash, Russia"/>
        <s v="M 6.7 - 91 km SE of Nikolski, Alaska"/>
        <s v="M 6.7 - 94 km WSW of Singkil, Indonesia"/>
        <s v="M 6.7 - 95 km S of Bengkulu, Indonesia"/>
        <s v="M 6.7 - 95 km SW of Topolobampo, Mexico"/>
        <s v="M 6.7 - 97 km SSW of El Huitusi, Mexico"/>
        <s v="M 6.7 - 98 km SSW of Bengkulu, Indonesia"/>
        <s v="M 6.7 - 99 km NE of Miyako, Japan"/>
        <s v="M 6.7 - 99 km WSW of Kokopo, Papua New Guinea"/>
        <s v="M 6.7 - Kermadec Islands, New Zealand"/>
        <s v="M 6.7 - Mauritius - Reunion region"/>
        <s v="M 6.7 - New Ireland region, Papua New Guinea"/>
        <s v="M 6.7 - Prince Edward Islands region"/>
        <s v="M 6.7 - Sea of Okhotsk"/>
        <s v="M 6.7 - south of Java, Indonesia"/>
        <s v="M 6.7 - south of the Fiji Islands"/>
        <s v="M 6.8 - "/>
        <s v="M 6.8 - 100 km SE of Nikolski, Alaska"/>
        <s v="M 6.8 - 103 km E of Kokopo, Papua New Guinea"/>
        <s v="M 6.8 - 107 km N of Lae, Papua New Guinea"/>
        <s v="M 6.8 - 109 km NE of Hihifo, Tonga"/>
        <s v="M 6.8 - 109 km SSW of Kokopo, Papua New Guinea"/>
        <s v="M 6.8 - 112 km SSW of Kokopo, Papua New Guinea"/>
        <s v="M 6.8 - 114 km ESE of Kokopo, Papua New Guinea"/>
        <s v="M 6.8 - 117 km SSE of Ugashik, Alaska"/>
        <s v="M 6.8 - 122 km SSE of Obihiro, Japan"/>
        <s v="M 6.8 - 123 km SSE of Pondaguitan, Philippines"/>
        <s v="M 6.8 - 124 km NE of Wé, New Caledonia"/>
        <s v="M 6.8 - 127 km SE of Gizo, Solomon Islands"/>
        <s v="M 6.8 - 129 km WSW of Khuzdar, Pakistan"/>
        <s v="M 6.8 - 131 km WSW of Haveluloto, Tonga"/>
        <s v="M 6.8 - 132 km WSW of Haveluloto, Tonga"/>
        <s v="M 6.8 - 133 km WNW of Mikuni, Japan"/>
        <s v="M 6.8 - 138 km W of Bengkulu, Indonesia"/>
        <s v="M 6.8 - 138 km WSW of Bengkulu, Indonesia"/>
        <s v="M 6.8 - 140 km N of Lae, Papua New Guinea"/>
        <s v="M 6.8 - 141 km W of Bengkulu, Indonesia"/>
        <s v="M 6.8 - 15 km SSE of Baku, Azerbaijan"/>
        <s v="M 6.8 - 153 km WSW of Buala, Solomon Islands"/>
        <s v="M 6.8 - 154 km ESE of Kokopo, Papua New Guinea"/>
        <s v="M 6.8 - 157 km NW of Ternate, Indonesia"/>
        <s v="M 6.8 - 158 km W of Jinghong, China"/>
        <s v="M 6.8 - 159 km ESE of Kirakira, Solomon Islands"/>
        <s v="M 6.8 - 16 km SSW of Kure, Japan"/>
        <s v="M 6.8 - 178 km W of Lata, Solomon Islands"/>
        <s v="M 6.8 - 187 km E of Levuka, Fiji"/>
        <s v="M 6.8 - 188 km WNW of Sola, Vanuatu"/>
        <s v="M 6.8 - 200 km NW of Attu Station, Alaska"/>
        <s v="M 6.8 - 210 km SW of Port McNeill, Canada"/>
        <s v="M 6.8 - 22 km ESE of Lata, Solomon Islands"/>
        <s v="M 6.8 - 22 km WNW of Malango, Solomon Islands"/>
        <s v="M 6.8 - 24 km SW of Roncesvalles, Colombia"/>
        <s v="M 6.8 - 25 km WNW of Dellys, Algeria"/>
        <s v="M 6.8 - 256 km SSW of Singkil, Indonesia"/>
        <s v="M 6.8 - 26 km NNE of Coyuquilla Norte, Mexico"/>
        <s v="M 6.8 - 26 km W of Chauk, Myanmar"/>
        <s v="M 6.8 - 27 km SSW of Nuxco, Mexico"/>
        <s v="M 6.8 - 28 km SW of Puerto San José, Guatemala"/>
        <s v="M 6.8 - 29 km ENE of Morioka, Japan"/>
        <s v="M 6.8 - 29 km SW of Labuan, Indonesia"/>
        <s v="M 6.8 - 30 km E of Macas, Ecuador"/>
        <s v="M 6.8 - 32 km SE of ?funato, Japan"/>
        <s v="M 6.8 - 32 km SW of Lithakiá, Greece"/>
        <s v="M 6.8 - 35 km SSE of Uglegorsk, Russia"/>
        <s v="M 6.8 - 36 km S of George Town, Cayman Islands"/>
        <s v="M 6.8 - 36 km SW of Paphos, Cyprus"/>
        <s v="M 6.8 - 38 km NW of Aniso, Peru"/>
        <s v="M 6.8 - 38 km SE of Boyuibe, Bolivia"/>
        <s v="M 6.8 - 39 km SW of Ovalle, Chile"/>
        <s v="M 6.8 - 39 km WNW of Timbiquí, Colombia"/>
        <s v="M 6.8 - 42 km W of Ovalle, Chile"/>
        <s v="M 6.8 - 48 km SW of San Pedro de Atacama, Chile"/>
        <s v="M 6.8 - 49 km S of Panguna, Papua New Guinea"/>
        <s v="M 6.8 - 5 km ENE of Sungai Penuh, Indonesia"/>
        <s v="M 6.8 - 51 km NE of Norsup, Vanuatu"/>
        <s v="M 6.8 - 51 km NNE of Shwebo, Myanmar"/>
        <s v="M 6.8 - 52 km WSW of Coquimbo, Chile"/>
        <s v="M 6.8 - 54 km N of Vallenar, Chile"/>
        <s v="M 6.8 - 54 km SSW of Nemuro, Japan"/>
        <s v="M 6.8 - 55 km SSW of Aguililla, Mexico"/>
        <s v="M 6.8 - 59 km NNE of Port-Olry, Vanuatu"/>
        <s v="M 6.8 - 6 km SE of Camaná, Peru"/>
        <s v="M 6.8 - 60 km SSE of Kirakira, Solomon Islands"/>
        <s v="M 6.8 - 62 km SSW of Yonakuni, Japan"/>
        <s v="M 6.8 - 62 km WSW of Panguna, Papua New Guinea"/>
        <s v="M 6.8 - 67 km W of Murghob, Tajikistan"/>
        <s v="M 6.8 - 68 km NNE of San Pedro de Atacama, Chile"/>
        <s v="M 6.8 - 7 km S of Magsaysay, Philippines"/>
        <s v="M 6.8 - 7 km SSE of Longbranch, Washington"/>
        <s v="M 6.8 - 70 km N of Te Anau, New Zealand"/>
        <s v="M 6.8 - 71 km ESE of Naze, Japan"/>
        <s v="M 6.8 - 76 km ESE of Kalemie, Democratic Republic of the Congo"/>
        <s v="M 6.8 - 76 km WNW of Kandrian, Papua New Guinea"/>
        <s v="M 6.8 - 77 km WNW of Indianola, California"/>
        <s v="M 6.8 - 78 km E of Hengchun, Taiwan"/>
        <s v="M 6.8 - 79 km W of Kirakira, Solomon Islands"/>
        <s v="M 6.8 - 81 km NNE of Port-Vila, Vanuatu"/>
        <s v="M 6.8 - 82 km NNE of Antofagasta, Chile"/>
        <s v="M 6.8 - 84 km S of Shikotan, Russia"/>
        <s v="M 6.8 - 86 km NNW of San Antonio de los Cobres, Argentina"/>
        <s v="M 6.8 - 86 km NW of Vallenar, Chile"/>
        <s v="M 6.8 - 90 km NE of Rabaul, Papua New Guinea"/>
        <s v="M 6.8 - 90 km S of Panguna, Papua New Guinea"/>
        <s v="M 6.8 - 90km W of Tarauaca, Brazil"/>
        <s v="M 6.8 - 92 km E of Yujing, Taiwan"/>
        <s v="M 6.8 - 96 km SW of San Antonio, Chile"/>
        <s v="M 6.8 - 97 km NE of Hihifo, Tonga"/>
        <s v="M 6.8 - 98 km NNE of Naze, Japan"/>
        <s v="M 6.8 - 98 km WSW of Ambon, Indonesia"/>
        <s v="M 6.8 - 98km SSW of Luwuk, Indonesia"/>
        <s v="M 6.8 - 99 km S of Isangel, Vanuatu"/>
        <s v="M 6.8 - 99 km WNW of Sinabang, Indonesia"/>
        <s v="M 6.8 - Banda Sea"/>
        <s v="M 6.8 - Mindanao, Philippines"/>
        <s v="M 6.8 - near the coast of Ecuador"/>
        <s v="M 6.8 - Pagan region, Northern Mariana Islands"/>
        <s v="M 6.8 - south of the Fiji Islands"/>
        <s v="M 6.9 - "/>
        <s v="M 6.9 - 107 km SE of Amahai, Indonesia"/>
        <s v="M 6.9 - 112 km E of Chignik, Alaska"/>
        <s v="M 6.9 - 113 km SSE of Panguna, Papua New Guinea"/>
        <s v="M 6.9 - 121 km E of Kinablangan, Philippines"/>
        <s v="M 6.9 - 122 km WSW of Bengkulu, Indonesia"/>
        <s v="M 6.9 - 123 km SE of Vilyuchinsk, Russia"/>
        <s v="M 6.9 - 125 km SE of Perryville, Alaska"/>
        <s v="M 6.9 - 130 km ENE of Thang, India"/>
        <s v="M 6.9 - 134km WSW of Kota Ternate, Indonesia"/>
        <s v="M 6.9 - 136 km SE of Perryville, Alaska"/>
        <s v="M 6.9 - 140 km NNW of Tobelo, Indonesia"/>
        <s v="M 6.9 - 150 km E of Kimbe, Papua New Guinea"/>
        <s v="M 6.9 - 151 km E of Namie, Japan"/>
        <s v="M 6.9 - 152 km SW of Labuan, Indonesia"/>
        <s v="M 6.9 - 156 km SSW of Puerto El Triunfo, El Salvador"/>
        <s v="M 6.9 - 17 km N of Port-Olry, Vanuatu"/>
        <s v="M 6.9 - 18 km SSW of Leilani Estates, Hawaii"/>
        <s v="M 6.9 - 18 km SSW of Obihiro, Japan"/>
        <s v="M 6.9 - 2 km NNE of Yacuanquer, Colombia"/>
        <s v="M 6.9 - 2 km SSW of San Pablo, Guatemala"/>
        <s v="M 6.9 - 20 km NNW of Labuan Lombok, Indonesia"/>
        <s v="M 6.9 - 201 km ESE of Hihifo, Tonga"/>
        <s v="M 6.9 - 204 km SW of Bengkulu, Indonesia"/>
        <s v="M 6.9 - 205 km ESE of Kirakira, Solomon Islands"/>
        <s v="M 6.9 - 21 km N of Tomé, Chile"/>
        <s v="M 6.9 - 21 km SSW of Kamariótissa, Greece"/>
        <s v="M 6.9 - 222 km SSE of Katabu, Indonesia"/>
        <s v="M 6.9 - 225 km SW of Nadi, Fiji"/>
        <s v="M 6.9 - 233 km NNW of Qamdo, China"/>
        <s v="M 6.9 - 24 km ENE of Atlasovo, Russia"/>
        <s v="M 6.9 - 24 km NW of Rosa Zarate, Ecuador"/>
        <s v="M 6.9 - 24 km WSW of Mizusawa, Japan"/>
        <s v="M 6.9 - 25 km ESE of Atlasovo, Russia"/>
        <s v="M 6.9 - 26 km W of Hengchun, Taiwan"/>
        <s v="M 6.9 - 268 km WSW of Tual, Indonesia"/>
        <s v="M 6.9 - 27 km NNW of Maubara, Timor Leste"/>
        <s v="M 6.9 - 27 km NNW of Tachilek, Myanmar"/>
        <s v="M 6.9 - 272 km ESE of Hotan, China"/>
        <s v="M 6.9 - 284 km ESE of Tadine, New Caledonia"/>
        <s v="M 6.9 - 31 km SW of Burias, Philippines"/>
        <s v="M 6.9 - 35 km ESE of Namie, Japan"/>
        <s v="M 6.9 - 35 km S of Methóni, Greece"/>
        <s v="M 6.9 - 36 km NW of Labuan Lombok, Indonesia"/>
        <s v="M 6.9 - 39 km SW of Santiago, Peru"/>
        <s v="M 6.9 - 4 km ENE of El Ciruelo, Mexico"/>
        <s v="M 6.9 - 4 km W of Puerto Madero, Mexico"/>
        <s v="M 6.9 - 40 km W of Valparaíso, Chile"/>
        <s v="M 6.9 - 42 km S of Quepos, Costa Rica"/>
        <s v="M 6.9 - 43 km NW of Mangan, India"/>
        <s v="M 6.9 - 47 km S of Old Harbor, Alaska"/>
        <s v="M 6.9 - 50 km WSW of Lata, Solomon Islands"/>
        <s v="M 6.9 - 56 km SE of Kimbe, Papua New Guinea"/>
        <s v="M 6.9 - 59 km WSW of Bengkulu, Indonesia"/>
        <s v="M 6.9 - 61 km NW of Santa Cruz, Chile"/>
        <s v="M 6.9 - 62 km WSW of Kirakira, Solomon Islands"/>
        <s v="M 6.9 - 75 km WNW of Sola, Vanuatu"/>
        <s v="M 6.9 - 76 km SE of Mawlaik, Myanmar"/>
        <s v="M 6.9 - 78 km NE of Hasaki, Japan"/>
        <s v="M 6.9 - 78 km WSW of Adak, Alaska"/>
        <s v="M 6.9 - 81 km NW of Coquimbo, Chile"/>
        <s v="M 6.9 - 81 km SE of Ozernovskiy, Russia"/>
        <s v="M 6.9 - 82 km NNW of Port-Olry, Vanuatu"/>
        <s v="M 6.9 - 84 km WNW of Kandrian, Papua New Guinea"/>
        <s v="M 6.9 - 85 km NW of Coquimbo, Chile"/>
        <s v="M 6.9 - 89 km WSW of Singkil, Indonesia"/>
        <s v="M 6.9 - 90 km E of Yujing, Taiwan"/>
        <s v="M 6.9 - 90 km WNW of Iquique, Chile"/>
        <s v="M 6.9 - 92 km WSW of Kirakira, Solomon Islands"/>
        <s v="M 6.9 - 96 km WNW of Bahía de Kino, Mexico"/>
        <s v="M 6.9 - 99 km WSW of Kirakira, Solomon Islands"/>
        <s v="M 6.9 - central Mid-Atlantic Ridge"/>
        <s v="M 6.9 - Federated States of Micronesia region"/>
        <s v="M 6.9 - Fiji region"/>
        <s v="M 6.9 - Fox Islands, Aleutian Islands, Alaska"/>
        <s v="M 6.9 - Kermadec Islands region"/>
        <s v="M 6.9 - Kermadec Islands, New Zealand"/>
        <s v="M 6.9 - Philippine Islands region"/>
        <s v="M 6.9 - Scotia Sea"/>
        <s v="M 6.9 - south of the Fiji Islands"/>
        <s v="M 6.9 - South Sandwich Islands region"/>
        <s v="M 6.9 - South Shetland Islands"/>
        <s v="M 6.9 - Tonga"/>
        <s v="M 6.9 - Vanuatu region"/>
        <s v="M 7.0 - "/>
        <s v="M 7.0 - 1 km SE of Texcala, Mexico"/>
        <s v="M 7.0 - 10 km SE of Léogâne, Haiti"/>
        <s v="M 7.0 - 101 km SW of Atka, Alaska"/>
        <s v="M 7.0 - 107 km E of Namie, Japan"/>
        <s v="M 7.0 - 11 km NE of Bantay, Philippines"/>
        <s v="M 7.0 - 110 km ESE of Kokopo, Papua New Guinea"/>
        <s v="M 7.0 - 114 km NNW of Popondetta, Papua New Guinea"/>
        <s v="M 7.0 - 116 km NE of Tobelo, Indonesia"/>
        <s v="M 7.0 - 118 km NNE of Tadine, New Caledonia"/>
        <s v="M 7.0 - 119 km E of Kimbe, Papua New Guinea"/>
        <s v="M 7.0 - 121 km SSE of Biak, Indonesia"/>
        <s v="M 7.0 - 13 km NNE of Néon Karlovásion, Greece"/>
        <s v="M 7.0 - 133 km ESE of Ishinomaki, Japan"/>
        <s v="M 7.0 - 133 km SSE of Isangel, Vanuatu"/>
        <s v="M 7.0 - 150 km NNE of Maumere, Indonesia"/>
        <s v="M 7.0 - 153 km NW of Tobelo, Indonesia"/>
        <s v="M 7.0 - 153 km SSW of Padang, Indonesia"/>
        <s v="M 7.0 - 160 km SE of Chipinge, Zimbabwe"/>
        <s v="M 7.0 - 175 km NE of Gisborne, New Zealand"/>
        <s v="M 7.0 - 18 km SW of Malango, Solomon Islands"/>
        <s v="M 7.0 - 19 km NE of Methven, New Zealand"/>
        <s v="M 7.0 - 191 km ESE of Kokopo, Papua New Guinea"/>
        <s v="M 7.0 - 209 km SSE of Isangel, Vanuatu"/>
        <s v="M 7.0 - 211 km SE of Pondaguitan, Philippines"/>
        <s v="M 7.0 - 22 km NNE of Azángaro, Peru"/>
        <s v="M 7.0 - 220 km NNE of Palu, Indonesia"/>
        <s v="M 7.0 - 234 km W of Abepura, Indonesia"/>
        <s v="M 7.0 - 25 km WNW of Illapel, Chile"/>
        <s v="M 7.0 - 26 km SSE of Karluk, Alaska"/>
        <s v="M 7.0 - 26 km WSW of Carúpano, Venezuela"/>
        <s v="M 7.0 - 260 km WSW of Abepura, Indonesia"/>
        <s v="M 7.0 - 27 km SSW of ?funato, Japan"/>
        <s v="M 7.0 - 278 km NE of Lospalos, Timor Leste"/>
        <s v="M 7.0 - 28 km S of Nabire, Indonesia"/>
        <s v="M 7.0 - 29 km WNW of Luganville, Vanuatu"/>
        <s v="M 7.0 - 3 km NW of Norsup, Vanuatu"/>
        <s v="M 7.0 - 30 km E of Ishinomaki, Japan"/>
        <s v="M 7.0 - 33 km NW of Lata, Solomon Islands"/>
        <s v="M 7.0 - 34 km ESE of Port-Olry, Vanuatu"/>
        <s v="M 7.0 - 37 km E of Balkanabat, Turkmenistan"/>
        <s v="M 7.0 - 40 km S of Kimbe, Papua New Guinea"/>
        <s v="M 7.0 - 43 km SSW of Masachapa, Nicaragua"/>
        <s v="M 7.0 - 45 km SE of Sucúa, Ecuador"/>
        <s v="M 7.0 - 50 km WNW of Aitape, Papua New Guinea"/>
        <s v="M 7.0 - 51 km SW of Nemuro, Japan"/>
        <s v="M 7.0 - 52 km NW of Santa Cruz, Chile"/>
        <s v="M 7.0 - 52 km SE of Lata, Solomon Islands"/>
        <s v="M 7.0 - 6 km ESE of Kumamoto, Japan"/>
        <s v="M 7.0 - 64 km ESE of Contamana, Peru"/>
        <s v="M 7.0 - 66 km SSW of Banjar, Indonesia"/>
        <s v="M 7.0 - 69 km ENE of San Luis, Mexico"/>
        <s v="M 7.0 - 69 km SSE of Inarajan Village, Guam"/>
        <s v="M 7.0 - 70 km SE of Katsuren-haebaru, Japan"/>
        <s v="M 7.0 - 72 km ESE of Kimbe, Papua New Guinea"/>
        <s v="M 7.0 - 80 km WNW of Lata, Solomon Islands"/>
        <s v="M 7.0 - 85 km ENE of Tadine, New Caledonia"/>
        <s v="M 7.0 - 88 km W of Kandrian, Papua New Guinea"/>
        <s v="M 7.0 - 95 km ENE of Kuril’sk, Russia"/>
        <s v="M 7.0 - 95 km W of Pariaman, Indonesia"/>
        <s v="M 7.0 - 96 km ESE of Pondaguitan, Philippines"/>
        <s v="M 7.0 - 96 km N of Tuban, Indonesia"/>
        <s v="M 7.0 - 97 km NW of Gorontalo, Indonesia"/>
        <s v="M 7.0 - Acapulco, Mexico"/>
        <s v="M 7.0 - Kermadec Islands region"/>
        <s v="M 7.0 - Near the south coast of Papua, Indonesia"/>
        <s v="M 7.0 - New Guinea, Papua New Guinea"/>
        <s v="M 7.0 - south of the Fiji Islands"/>
        <s v="M 7.0 - southeast of the Loyalty Islands"/>
        <s v="M 7.0 - Vanuatu"/>
        <s v="M 7.1 - 1 km S of Matzaco, Mexico"/>
        <s v="M 7.1 - 1 km SE of Point MacKenzie, Alaska"/>
        <s v="M 7.1 - 112 km WSW of Lata, Solomon Islands"/>
        <s v="M 7.1 - 119 km S of Isangel, Vanuatu"/>
        <s v="M 7.1 - 125 km W of Port-Vila, Vanuatu"/>
        <s v="M 7.1 - 136 km W of Iñapari, Peru"/>
        <s v="M 7.1 - 137 km WNW of Ternate, Indonesia"/>
        <s v="M 7.1 - 138 km SW of Palimbang, Philippines"/>
        <s v="M 7.1 - 138km E of Bitung, Indonesia"/>
        <s v="M 7.1 - 14 km NE of Cabatuan, Philippines"/>
        <s v="M 7.1 - 143 km SW of Panguna, Papua New Guinea"/>
        <s v="M 7.1 - 155 km NW of Ternate, Indonesia"/>
        <s v="M 7.1 - 16 km NE of Port-Olry, Vanuatu"/>
        <s v="M 7.1 - 16 km WSW of Atiquipa, Peru"/>
        <s v="M 7.1 - 161 km S of ?yama, Japan"/>
        <s v="M 7.1 - 170 km SSE of Teluk Dalam, Indonesia"/>
        <s v="M 7.1 - 18km W of Searles Valley, CA"/>
        <s v="M 7.1 - 20 km SSW of Merizo Village, Guam"/>
        <s v="M 7.1 - 23 km NE of Constitución, Chile"/>
        <s v="M 7.1 - 238 km ESE of Tadine, New Caledonia"/>
        <s v="M 7.1 - 24 km SSW of Santa María Chico Ometepec, Mexico"/>
        <s v="M 7.1 - 25 km SSE of Wau, Papua New Guinea"/>
        <s v="M 7.1 - 255 km W of Riverton, New Zealand"/>
        <s v="M 7.1 - 27 km NNE of Van, Turkey"/>
        <s v="M 7.1 - 29 km ESE of Harnai, Pakistan"/>
        <s v="M 7.1 - 29 km ESE of Ishinomaki, Japan"/>
        <s v="M 7.1 - 29 km SSW of Nabire, Indonesia"/>
        <s v="M 7.1 - 297 km NE of Lospalos, Timor Leste"/>
        <s v="M 7.1 - 30 km SW of Hengchun, Taiwan"/>
        <s v="M 7.1 - 31 km NE of Port-Olry, Vanuatu"/>
        <s v="M 7.1 - 32 km SE of Lata, Solomon Islands"/>
        <s v="M 7.1 - 33km NW of Bulolo, Papua New Guinea"/>
        <s v="M 7.1 - 34 km SSE of Antofagasta, Chile"/>
        <s v="M 7.1 - 36 km SW of Monte Patria, Chile"/>
        <s v="M 7.1 - 37 km W of Atiquipa, Peru"/>
        <s v="M 7.1 - 4 km SE of Sagbayan, Philippines"/>
        <s v="M 7.1 - 47 km ESE of Pedro Bay, Alaska"/>
        <s v="M 7.1 - 51 km SSE of Kokopo, Papua New Guinea"/>
        <s v="M 7.1 - 56 km WSW of Panguna, Papua New Guinea"/>
        <s v="M 7.1 - 60 km ENE of Pondaguitan, Philippines"/>
        <s v="M 7.1 - 64 km S of Port-Vila, Vanuatu"/>
        <s v="M 7.1 - 67 km ENE of Hualien City, Taiwan"/>
        <s v="M 7.1 - 69 km S of Tabiauan, Philippines"/>
        <s v="M 7.1 - 73 km ENE of Namie, Japan"/>
        <s v="M 7.1 - 8 km NNE of Palapag, Philippines"/>
        <s v="M 7.1 - 83 km SE of Naze, Japan"/>
        <s v="M 7.1 - 85 km S of Tungor, Russia"/>
        <s v="M 7.1 - 92 km ENE of Kimbe, Papua New Guinea"/>
        <s v="M 7.1 - 94 km SE of Gizo, Solomon Islands"/>
        <s v="M 7.1 - Banda Sea"/>
        <s v="M 7.1 - Ecuador"/>
        <s v="M 7.1 - Fiji region"/>
        <s v="M 7.1 - Hector Mine, CA Earthquake"/>
        <s v="M 7.1 - Kermadec Islands, New Zealand"/>
        <s v="M 7.1 - off the east coast of Honshu, Japan"/>
        <s v="M 7.1 - South Sandwich Islands region"/>
        <s v="M 7.1 - southeast of the Loyalty Islands"/>
        <s v="M 7.2 - 10 km W of Azángaro, Peru"/>
        <s v="M 7.2 - 100 km WNW of Sola, Vanuatu"/>
        <s v="M 7.2 - 104 km W of Murghob, Tajikistan"/>
        <s v="M 7.2 - 117 km N of Finschhafen, Papua New Guinea"/>
        <s v="M 7.2 - 117 km SSW of Hihifo, Tonga"/>
        <s v="M 7.2 - 12km SW of Delta, B.C., MX"/>
        <s v="M 7.2 - 13 km NW of Ocozocoautla de Espinosa, Mexico"/>
        <s v="M 7.2 - 139 km WNW of Panguna, Papua New Guinea"/>
        <s v="M 7.2 - 153 km W of Big Lagoon, California"/>
        <s v="M 7.2 - 158 km E of Kuril’sk, Russia"/>
        <s v="M 7.2 - 164 km WSW of Sungai Penuh, Indonesia"/>
        <s v="M 7.2 - 196 km SSE of Sarangani, Philippines"/>
        <s v="M 7.2 - 226 km SE of Hotan, China"/>
        <s v="M 7.2 - 252 km ENE of Kuril’sk, Russia"/>
        <s v="M 7.2 - 27 km SSE of Nuwaybi‘a, Egypt"/>
        <s v="M 7.2 - 284 km WNW of Sabang, Indonesia"/>
        <s v="M 7.2 - 3 km E of Bahía de Caráquez, Ecuador"/>
        <s v="M 7.2 - 32 km SSW of Pizarro, Colombia"/>
        <s v="M 7.2 - 4 km S of Pinotepa de Don Luis, Mexico"/>
        <s v="M 7.2 - 42 km NNW of Carahue, Chile"/>
        <s v="M 7.2 - 45 km SSW of Meulaboh, Indonesia"/>
        <s v="M 7.2 - 46 km WNW of El Habillal, Mexico"/>
        <s v="M 7.2 - 46 km WSW of Dalbandin, Pakistan"/>
        <s v="M 7.2 - 50 km WNW of Port-Vila, Vanuatu"/>
        <s v="M 7.2 - 51 km N of Barranca, Peru"/>
        <s v="M 7.2 - 56 km E of Luganville, Vanuatu"/>
        <s v="M 7.2 - 56 km NW of Te Anau, New Zealand"/>
        <s v="M 7.2 - 58 km WSW of Panguna, Papua New Guinea"/>
        <s v="M 7.2 - 66 km ESE of Ishinomaki, Japan"/>
        <s v="M 7.2 - 71 km SSW of Port-Vila, Vanuatu"/>
        <s v="M 7.2 - 75 km N of San Antonio de los Cobres, Argentina"/>
        <s v="M 7.2 - 8 km S of Düzce, Turkey"/>
        <s v="M 7.2 - 80 km S of Mil’kovo, Russia"/>
        <s v="M 7.2 - 9 km ENE of Coyuquilla Norte, Mexico"/>
        <s v="M 7.2 - 93km NNE of Laiwui, Indonesia"/>
        <s v="M 7.2 - 94 km SE of Shing?, Japan"/>
        <s v="M 7.2 - 97 km S of Lata, Solomon Islands"/>
        <s v="M 7.2 - 98 km S of Sand Point, Alaska"/>
        <s v="M 7.2 - Nicobar Islands, India region"/>
        <s v="M 7.2 - Nippes, Haiti"/>
        <s v="M 7.2 - off the west coast of northern Sumatra"/>
        <s v="M 7.2 - south of the Fiji Islands"/>
        <s v="M 7.2 - South Sandwich Islands region"/>
        <s v="M 7.2 - southeast of the Loyalty Islands"/>
        <s v="M 7.3 - 11 km WNW of San Agustín, Colombia"/>
        <s v="M 7.3 - 116km NE of L'Esperance Rock, New Zealand"/>
        <s v="M 7.3 - 120 km SE of ?funato, Japan"/>
        <s v="M 7.3 - 125 km NNE of Lospalos, Timor Leste"/>
        <s v="M 7.3 - 126 km S of Puerto El Triunfo, El Salvador"/>
        <s v="M 7.3 - 126 km W of Kirakira, Solomon Islands"/>
        <s v="M 7.3 - 14 km WNW of Bolitoc, Philippines"/>
        <s v="M 7.3 - 141 km W of Isangel, Vanuatu"/>
        <s v="M 7.3 - 146 km NW of Sola, Vanuatu"/>
        <s v="M 7.3 - 182 km NE of Gisborne, New Zealand"/>
        <s v="M 7.3 - 187 km SE of Ust’-Kamchatsk Staryy, Russia"/>
        <s v="M 7.3 - 189 km SSE of Tabiauan, Philippines"/>
        <s v="M 7.3 - 190 km ENE of Kokopo, Papua New Guinea"/>
        <s v="M 7.3 - 201 km ESE of Tadine, New Caledonia"/>
        <s v="M 7.3 - 205 km ESE of Neiafu, Tonga"/>
        <s v="M 7.3 - 234 km SE of ?funato, Japan"/>
        <s v="M 7.3 - 29 km S of ?alabja, Iraq"/>
        <s v="M 7.3 - 29 km S of Aktash, Russia"/>
        <s v="M 7.3 - 292km NW of Saumlaki, Indonesia"/>
        <s v="M 7.3 - 33 km NW of Port-Vila, Vanuatu"/>
        <s v="M 7.3 - 40 km ENE of Carúpano, Venezuela"/>
        <s v="M 7.3 - 46 km NW of Guanaja, Honduras"/>
        <s v="M 7.3 - 46 km SSW of Adak, Alaska"/>
        <s v="M 7.3 - 57 km ENE of Namie, Japan"/>
        <s v="M 7.3 - 58 km E of Q?’en, Iran"/>
        <s v="M 7.3 - 71 km SW of Isangel, Vanuatu"/>
        <s v="M 7.3 - 74 km S of Intipucá, El Salvador"/>
        <s v="M 7.3 - 77 km ENE of Ba, Fiji"/>
        <s v="M 7.3 - Alaska Peninsula"/>
        <s v="M 7.3 - Flores Sea"/>
        <s v="M 7.3 - Near the south coast of Papua, Indonesia"/>
        <s v="M 7.3 - Nepal"/>
        <s v="M 7.3 - New Britain region, Papua New Guinea"/>
        <s v="M 7.3 - South Sandwich Islands region"/>
        <s v="M 7.3 - Southern Qinghai, China"/>
        <s v="M 7.3 - Vanuatu region"/>
        <s v="M 7.4 - 102 km SSE of Bengkulu, Indonesia"/>
        <s v="M 7.4 - 112 km S of Kirakira, Solomon Islands"/>
        <s v="M 7.4 - 118 km ESE of Shing?, Japan"/>
        <s v="M 7.4 - 119 km ESE of Shizunai-furukawach?, Japan"/>
        <s v="M 7.4 - 124 km W of Lebu, Chile"/>
        <s v="M 7.4 - 135 km NW of Gorontalo, Indonesia"/>
        <s v="M 7.4 - 143 km NW of Sola, Vanuatu"/>
        <s v="M 7.4 - 18 km WNW of Basse-Pointe, Martinique"/>
        <s v="M 7.4 - 292 km SW of Vaini, Tonga"/>
        <s v="M 7.4 - 33 km S of Champerico, Guatemala"/>
        <s v="M 7.4 - 5 km N of Azoyú, Mexico"/>
        <s v="M 7.4 - 50 km NW of Sinabang, Indonesia"/>
        <s v="M 7.4 - 51 km SW of Jurm, Afghanistan"/>
        <s v="M 7.4 - 56 km NW of Sinabang, Indonesia"/>
        <s v="M 7.4 - 6 km E of Santiago Llano Grande, Mexico"/>
        <s v="M 7.4 - 63 km W of Kimbe, Papua New Guinea"/>
        <s v="M 7.4 - 86 km WNW of Manokwari, Indonesia"/>
        <s v="M 7.4 - 9 km SE of Santa María Xadani, Mexico"/>
        <s v="M 7.4 - Kermadec Islands, New Zealand"/>
        <s v="M 7.4 - south of the Kermadec Islands"/>
        <s v="M 7.5 - 110 km SW of Edna Bay, Alaska"/>
        <s v="M 7.5 - 111km ESE of Palora, Ecuador"/>
        <s v="M 7.5 - 123 km WSW of Puerto Santa, Peru"/>
        <s v="M 7.5 - 126 km WNW of Ternate, Indonesia"/>
        <s v="M 7.5 - 131 km SSW of Kokopo, Papua New Guinea"/>
        <s v="M 7.5 - 15 km W of San Baltazar Loxicha, Mexico"/>
        <s v="M 7.5 - 155 km E of Kendari, Indonesia"/>
        <s v="M 7.5 - 166 km ESE of Tadine, New Caledonia"/>
        <s v="M 7.5 - 203 km NNE of Barra Patuca, Honduras"/>
        <s v="M 7.5 - 21 km SE of Lukatan, Philippines"/>
        <s v="M 7.5 - 221 km SSE of Severo-Kuril’sk, Russia"/>
        <s v="M 7.5 - 254 km SSE of Ishigaki, Japan"/>
        <s v="M 7.5 - 266 km N of Bamboo Flat, India"/>
        <s v="M 7.5 - 32 km SW of Tari, Papua New Guinea"/>
        <s v="M 7.5 - 35 km NNE of Rengasdengklok, Indonesia"/>
        <s v="M 7.5 - 39 km NW of Yurimaguas, Peru"/>
        <s v="M 7.5 - 4 km SSE of Ekinözü, Turkey"/>
        <s v="M 7.5 - 43 km NNW of Barranca, Peru"/>
        <s v="M 7.5 - 53 km SE of Kokopo, Papua New Guinea"/>
        <s v="M 7.5 - 63 km NW of Maubara, Timor Leste"/>
        <s v="M 7.5 - 70 km SW of Panguna, Papua New Guinea"/>
        <s v="M 7.5 - 72 km N of Palu, Indonesia"/>
        <s v="M 7.5 - 92 km ESE of Lakatoro, Vanuatu"/>
        <s v="M 7.5 - Hindu Kush region, Afghanistan"/>
        <s v="M 7.5 - Mindanao, Philippines"/>
        <s v="M 7.5 - Nicobar Islands, India region"/>
        <s v="M 7.5 - South Sandwich Islands region"/>
        <s v="M 7.5 - western Xizang"/>
        <s v="M 7.6 - 102 km SSE of Manokwari, Indonesia"/>
        <s v="M 7.6 - 11 km ENE of Hojancha, Costa Rica"/>
        <s v="M 7.6 - 135 km E of Kokopo, Papua New Guinea"/>
        <s v="M 7.6 - 155 km WNW of Iñapari, Peru"/>
        <s v="M 7.6 - 16 km SSW of Cuyutlán, Mexico"/>
        <s v="M 7.6 - 185 km WNW of Iñapari, Peru"/>
        <s v="M 7.6 - 191 km S of ‘Ohonua, Tonga"/>
        <s v="M 7.6 - 21 km NNE of Muzaffar?b?d, Pakistan"/>
        <s v="M 7.6 - 30 km WSW of Pariaman, Indonesia"/>
        <s v="M 7.6 - 35 km SSW of Aguililla, Mexico"/>
        <s v="M 7.6 - 4 km ESE of Derince, Turkey"/>
        <s v="M 7.6 - 41 km SW of Quellón, Chile"/>
        <s v="M 7.6 - 46km SSE of Namatanai, Papua New Guinea"/>
        <s v="M 7.6 - 51 km SW of Punta de Bombón, Peru"/>
        <s v="M 7.6 - 61 km W of Bantogon, Philippines"/>
        <s v="M 7.6 - 68 km ESE of Aitape, Papua New Guinea"/>
        <s v="M 7.6 - 70 km E of Kainantu, Papua New Guinea"/>
        <s v="M 7.6 - 80 km NE of Tilichiki, Russia"/>
        <s v="M 7.6 - 89 km E of Luwuk, Indonesia"/>
        <s v="M 7.6 - 89 km E of Sulangan, Philippines"/>
        <s v="M 7.6 - 93 km SSE of Kirakira, Solomon Islands"/>
        <s v="M 7.6 - 95 km WNW of Hihifo, Tonga"/>
        <s v="M 7.6 - 99 km SE of Sand Point, Alaska"/>
        <s v="M 7.6 - Kermadec Islands region"/>
        <s v="M 7.6 - Pulau Pulau Tanimbar, Indonesia"/>
        <s v="M 7.6 - Scotia Sea"/>
        <s v="M 7.7 - 113 km NW of Bela, Pakistan"/>
        <s v="M 7.7 - 123 km NNW of Lucea, Jamaica"/>
        <s v="M 7.7 - 140 km WNW of Manokwari, Indonesia"/>
        <s v="M 7.7 - 148 km NW of Sola, Vanuatu"/>
        <s v="M 7.7 - 155 km WNW of Panguna, Papua New Guinea"/>
        <s v="M 7.7 - 156 km ENE of Poronaysk, Russia"/>
        <s v="M 7.7 - 17 km NW of Bhach?u, India"/>
        <s v="M 7.7 - 171 km NNW of Sola, Vanuatu"/>
        <s v="M 7.7 - 21 km S of Puli, Taiwan"/>
        <s v="M 7.7 - 226 km SSW of Singaparna, Indonesia"/>
        <s v="M 7.7 - 249 km E of Vao, New Caledonia"/>
        <s v="M 7.7 - 264 km ESE of Luwuk, Indonesia"/>
        <s v="M 7.7 - 272 km ESE of Kamaishi, Japan"/>
        <s v="M 7.7 - 28 km SSW of Puerto El Triunfo, El Salvador"/>
        <s v="M 7.7 - 36 km ESE of Tocopilla, Chile"/>
        <s v="M 7.7 - 53 km SW of Iquique, Chile"/>
        <s v="M 7.7 - 60 km SW of Changuillo, Peru"/>
        <s v="M 7.7 - 79 km ESE of Kh?sh, Iran"/>
        <s v="M 7.7 - Komandorskiye Ostrova, Russia region"/>
        <s v="M 7.7 - Pagan region, Northern Mariana Islands"/>
        <s v="M 7.7 - Scotia Sea"/>
        <s v="M 7.7 - southeast of the Loyalty Islands"/>
        <s v="M 7.8 - 102 km ENE of Iquique, Chile"/>
        <s v="M 7.8 - 135 km SE of Kokopo, Papua New Guinea"/>
        <s v="M 7.8 - 138 km SSW of Kokopo, Papua New Guinea"/>
        <s v="M 7.8 - 148 km WSW of Sungai Penuh, Indonesia"/>
        <s v="M 7.8 - 156 km S of Ust’-Kamchatsk Staryy, Russia"/>
        <s v="M 7.8 - 192 km WSW of Haveluloto, Tonga"/>
        <s v="M 7.8 - 196 km NW of Sola, Vanuatu"/>
        <s v="M 7.8 - 206 km SW of Prince Rupert, Canada"/>
        <s v="M 7.8 - 215 km SW of Sungai Penuh, Indonesia"/>
        <s v="M 7.8 - 27 km SSE of Muisne, Ecuador"/>
        <s v="M 7.8 - 53 km NNE of Amberley, New Zealand"/>
        <s v="M 7.8 - 67 km NNE of Bharatpur, Nepal"/>
        <s v="M 7.8 - 69 km WSW of Kirakira, Solomon Islands"/>
        <s v="M 7.8 - 75 km E of Sinabang, Indonesia"/>
        <s v="M 7.8 - 97 km WSW of Te Anau, New Zealand"/>
        <s v="M 7.8 - 99 km SSE of Perryville, Alaska"/>
        <s v="M 7.8 - Bonin Islands, Japan region"/>
        <s v="M 7.8 - Central Turkey"/>
        <s v="M 7.8 - Southern Qinghai, China"/>
        <s v="M 7.8 - southwest of Sumatra, Indonesia"/>
        <s v="M 7.9 - 103 km S of Bengkulu, Indonesia"/>
        <s v="M 7.9 - 128 km ESE of Kuril’sk, Russia"/>
        <s v="M 7.9 - 140 km E of Kokopo, Papua New Guinea"/>
        <s v="M 7.9 - 169 km NNE of Maumere, Indonesia"/>
        <s v="M 7.9 - 181 km N of Palu, Indonesia"/>
        <s v="M 7.9 - 261 km SE of Chiniak, Alaska"/>
        <s v="M 7.9 - 35 km WNW of Panguna, Papua New Guinea"/>
        <s v="M 7.9 - 45 km S of Levuka, Fiji"/>
        <s v="M 7.9 - 47 km E of ?arai, Japan"/>
        <s v="M 7.9 - 58 km W of Tianpeng, China"/>
        <s v="M 7.9 - 75 km E of Cantwell, Alaska"/>
        <s v="M 7.9 - 77 km WSW of Adak, Alaska"/>
        <s v="M 7.9 - 87 km SW of Sungai Penuh, Indonesia"/>
        <s v="M 7.9 - Rat Islands, Aleutian Islands, Alaska"/>
        <s v="M 7.9 - South Indian Ocean"/>
        <s v="M 8.0 - 24 km N of Rabaul, Papua New Guinea"/>
        <s v="M 8.0 - 36 km NNE of Antofagasta, Chile"/>
        <s v="M 8.0 - 41 km SW of San Vicente de Cañete, Peru"/>
        <s v="M 8.0 - 47 km SSE of Pangai, Tonga"/>
        <s v="M 8.0 - 5 km E of El Colomo, Mexico"/>
        <s v="M 8.0 - 50 km ESE of Pangai, Tonga"/>
        <s v="M 8.0 - 75 km W of Lata, Solomon Islands"/>
        <s v="M 8.0 - 78 km NE of Navarro, Peru"/>
        <s v="M 8.1 - 101 km ENE of Biak, Indonesia"/>
        <s v="M 8.1 - 168 km SSW of Matavai, Samoa"/>
        <s v="M 8.1 - 45 km SSE of Gizo, Solomon Islands"/>
        <s v="M 8.1 - east of the Kuril Islands"/>
        <s v="M 8.1 - Kermadec Islands, New Zealand"/>
        <s v="M 8.1 - north of Macquarie Island"/>
        <s v="M 8.1 - South Sandwich Islands region"/>
        <s v="M 8.2 - 134 km SSW of Kushiro, Japan"/>
        <s v="M 8.2 - 267 km E of Levuka, Fiji"/>
        <s v="M 8.2 - 91 km ESE of Perryville, Alaska"/>
        <s v="M 8.2 - 93 km NW of Iquique, Chile"/>
        <s v="M 8.2 - 99 km SE of Perryville, Alaska"/>
        <s v="M 8.2 - near the coast of Chiapas, Mexico"/>
        <s v="M 8.2 - off the west coast of northern Sumatra"/>
        <s v="M 8.3 - 48 km W of Illapel, Chile"/>
        <s v="M 8.3 - Kuril Islands"/>
        <s v="M 8.3 - Sea of Okhotsk"/>
        <s v="M 8.4 - 122 km SW of Bengkulu, Indonesia"/>
        <s v="M 8.4 - 6 km SSW of Atico, Peru"/>
        <s v="M 8.6 - 78 km WSW of Singkil, Indonesia"/>
        <s v="M 8.6 - off the west coast of northern Sumatra"/>
        <s v="M 8.8 - 36 km WNW of Quirihue, Chile"/>
        <s v="M 9.1 - 2004 Sumatra - Andaman Islands Earthquake"/>
        <s v="M 9.1 - 2011 Great Tohoku Earthquake, Japan"/>
      </sharedItems>
    </cacheField>
    <cacheField name="magnitude" numFmtId="0">
      <sharedItems containsSemiMixedTypes="0" containsString="0" containsNumber="1" minValue="6.5" maxValue="9.1" count="25"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09"/>
        <n v="8.1"/>
        <n v="8.16"/>
        <n v="8.2"/>
        <n v="8.3"/>
        <n v="8.4"/>
        <n v="8.6"/>
        <n v="8.8"/>
        <n v="9.1"/>
      </sharedItems>
    </cacheField>
    <cacheField name="date_time" numFmtId="0">
      <sharedItems count="990">
        <s v="01/01/1996 08:05"/>
        <s v="01/01/1996 09:57"/>
        <s v="01/01/2001 06:57"/>
        <s v="01/01/2001 08:54"/>
        <s v="01/01/2014 16:03"/>
        <s v="01/02/2019 16:14"/>
        <s v="01/03/2013 13:20"/>
        <s v="01/03/2019 08:50"/>
        <s v="01/03/2023 05:36"/>
        <s v="01/04/1998 17:56"/>
        <s v="01/04/2007 20:39"/>
        <s v="01/04/2007 20:47"/>
        <s v="01/04/2007 21:11"/>
        <s v="01/04/2014 23:46"/>
        <s v="01/04/2014 23:57"/>
        <s v="01/05/2014 06:36"/>
        <s v="01/05/2015 08:06"/>
        <s v="01/05/2021 01:27"/>
        <s v="01/06/2016 22:56"/>
        <s v="01/08/2007 17:08"/>
        <s v="01/08/2019 18:28"/>
        <s v="01/09/2006 10:18"/>
        <s v="01/09/2013 11:52"/>
        <s v="01/09/2016 16:37"/>
        <s v="01/09/2019 15:54"/>
        <s v="01/09/2020 04:09"/>
        <s v="01/09/2020 21:09"/>
        <s v="01/10/2003 01:03"/>
        <s v="01/10/2009 01:52"/>
        <s v="01/10/2013 03:38"/>
        <s v="01/11/1995 00:35"/>
        <s v="01/11/2014 18:57"/>
        <s v="01/11/2017 02:23"/>
        <s v="02/01/2002 17:22"/>
        <s v="02/01/2011 20:20"/>
        <s v="02/02/2012 13:34"/>
        <s v="02/02/2013 14:17"/>
        <s v="02/02/2014 09:26"/>
        <s v="02/03/2005 10:42"/>
        <s v="02/03/2014 20:11"/>
        <s v="02/03/2016 12:49"/>
        <s v="02/03/2022 12:52"/>
        <s v="02/03/2023 18:04"/>
        <s v="02/04/2018 13:40"/>
        <s v="02/04/2023 18:04"/>
        <s v="02/05/2020 12:51"/>
        <s v="02/06/2017 22:24"/>
        <s v="02/07/2005 02:16"/>
        <s v="02/07/2023 10:27"/>
        <s v="02/08/1996 12:55"/>
        <s v="02/08/2019 12:03"/>
        <s v="02/09/1997 12:13"/>
        <s v="02/09/1998 08:37"/>
        <s v="02/09/2007 01:05"/>
        <s v="02/09/2009 07:55"/>
        <s v="02/10/2000 02:25"/>
        <s v="02/10/2021 06:29"/>
        <s v="02/11/2002 01:26"/>
        <s v="02/11/2004 10:02"/>
        <s v="02/12/1996 22:17"/>
        <s v="02/12/2001 13:01"/>
        <s v="02/12/2005 13:13"/>
        <s v="02/12/2010 03:12"/>
        <s v="02/12/2014 05:11"/>
        <s v="03/01/2002 10:17"/>
        <s v="03/01/2009 19:43"/>
        <s v="03/01/2009 20:23"/>
        <s v="03/01/2009 22:33"/>
        <s v="03/01/2010 21:48"/>
        <s v="03/01/2010 22:36"/>
        <s v="03/01/2016 23:05"/>
        <s v="03/01/2017 21:52"/>
        <s v="03/02/1996 11:14"/>
        <s v="03/02/2002 07:11"/>
        <s v="03/02/2022 15:58"/>
        <s v="03/03/1996 14:55"/>
        <s v="03/03/1996 16:37"/>
        <s v="03/03/2000 22:22"/>
        <s v="03/03/2002 12:08"/>
        <s v="03/03/2008 14:11"/>
        <s v="03/04/1998 22:01"/>
        <s v="03/04/1999 06:17"/>
        <s v="03/04/2014 01:58"/>
        <s v="03/04/2014 02:43"/>
        <s v="03/04/2016 08:23"/>
        <s v="03/04/2017 17:40"/>
        <s v="03/04/2023 03:06"/>
        <s v="03/05/1998 23:30"/>
        <s v="03/05/2004 04:36"/>
        <s v="03/05/2006 15:26"/>
        <s v="03/06/2020 07:35"/>
        <s v="03/08/2000 01:09"/>
        <s v="03/08/2009 17:59"/>
        <s v="03/08/2014 00:22"/>
        <s v="03/09/1998 17:37"/>
        <s v="03/09/2010 16:35"/>
        <s v="03/09/2011 22:55"/>
        <s v="03/10/1995 01:51"/>
        <s v="03/10/1995 12:44"/>
        <s v="03/11/2002 22:12"/>
        <s v="03/12/1995 18:01"/>
        <s v="04/01/2006 08:32"/>
        <s v="04/02/1997 10:37"/>
        <s v="04/03/1999 05:38"/>
        <s v="04/03/1999 08:52"/>
        <s v="04/03/2010 14:02"/>
        <s v="04/03/2021 13:27"/>
        <s v="04/03/2021 17:41"/>
        <s v="04/03/2021 19:28"/>
        <s v="04/03/2021 23:12"/>
        <s v="04/03/2023 06:41"/>
        <s v="04/04/2010 22:40"/>
        <s v="04/05/2000 04:21"/>
        <s v="04/05/2018 22:32"/>
        <s v="04/06/2000 16:28"/>
        <s v="04/06/2000 16:39"/>
        <s v="04/07/2014 15:00"/>
        <s v="04/08/1998 18:59"/>
        <s v="04/08/2000 21:13"/>
        <s v="04/08/2003 04:37"/>
        <s v="04/08/2010 07:15"/>
        <s v="04/08/2010 22:01"/>
        <s v="04/09/2013 00:18"/>
        <s v="04/09/2013 02:32"/>
        <s v="04/10/2000 16:58"/>
        <s v="04/11/2015 03:44"/>
        <s v="04/11/2017 09:00"/>
        <s v="04/11/2019 22:43"/>
        <s v="04/12/2022 19:24"/>
        <s v="05/01/2010 12:15"/>
        <s v="05/01/2013 08:58"/>
        <s v="05/01/2019 19:25"/>
        <s v="05/02/2002 13:27"/>
        <s v="05/02/2004 21:05"/>
        <s v="05/02/2005 12:23"/>
        <s v="05/03/2002 21:16"/>
        <s v="05/03/2010 11:47"/>
        <s v="05/03/2010 16:07"/>
        <s v="05/04/1997 12:23"/>
        <s v="05/04/1999 11:08"/>
        <s v="05/04/2004 21:24"/>
        <s v="05/05/1995 03:53"/>
        <s v="05/05/2015 01:44"/>
        <s v="05/07/2001 13:53"/>
        <s v="05/07/2005 01:52"/>
        <s v="05/08/2018 11:46"/>
        <s v="05/09/1996 23:42"/>
        <s v="05/09/2004 10:07"/>
        <s v="05/09/2004 14:57"/>
        <s v="05/09/2011 17:55"/>
        <s v="05/09/2012 14:42"/>
        <s v="05/09/2018 18:07"/>
        <s v="05/09/2022 04:52"/>
        <s v="05/10/2008 15:52"/>
        <s v="05/12/1997 11:26"/>
        <s v="05/12/2005 12:19"/>
        <s v="05/12/2018 04:18"/>
        <s v="05/12/2018 06:43"/>
        <s v="06/01/2019 17:27"/>
        <s v="06/02/1999 21:47"/>
        <s v="06/02/2000 11:33"/>
        <s v="06/02/2012 03:49"/>
        <s v="06/02/2013 01:12"/>
        <s v="06/02/2013 01:23"/>
        <s v="06/02/2013 01:54"/>
        <s v="06/02/2023 01:17"/>
        <s v="06/02/2023 01:28"/>
        <s v="06/02/2023 10:24"/>
        <s v="06/03/2018 14:13"/>
        <s v="06/04/2010 22:15"/>
        <s v="06/04/2013 04:42"/>
        <s v="06/04/2016 06:58"/>
        <s v="06/05/2019 21:19"/>
        <s v="06/05/2020 13:53"/>
        <s v="06/07/1997 09:54"/>
        <s v="06/07/2011 19:03"/>
        <s v="06/07/2017 08:03"/>
        <s v="06/07/2019 03:19"/>
        <s v="06/07/2020 22:54"/>
        <s v="06/09/2004 23:29"/>
        <s v="06/09/2018 15:49"/>
        <s v="06/10/1995 18:09"/>
        <s v="06/10/1997 12:30"/>
        <s v="06/10/2000 04:30"/>
        <s v="06/11/2003 10:38"/>
        <s v="06/12/1999 23:12"/>
        <s v="06/12/2000 17:11"/>
        <s v="06/12/2000 22:57"/>
        <s v="06/12/2004 14:15"/>
        <s v="06/12/2016 22:03"/>
        <s v="07/01/2015 05:07"/>
        <s v="07/01/2022 17:45"/>
        <s v="07/02/1996 21:36"/>
        <s v="07/02/2004 02:42"/>
        <s v="07/02/2013 18:59"/>
        <s v="07/02/2014 08:40"/>
        <s v="07/04/2006 08:30"/>
        <s v="07/04/2011 13:11"/>
        <s v="07/04/2011 14:32"/>
        <s v="07/04/2016 03:32"/>
        <s v="07/05/2008 16:45"/>
        <s v="07/05/2015 07:10"/>
        <s v="07/06/2000 23:45"/>
        <s v="07/06/2003 00:32"/>
        <s v="07/07/2001 09:38"/>
        <s v="07/07/2013 18:35"/>
        <s v="07/07/2013 20:30"/>
        <s v="07/07/2014 11:23"/>
        <s v="07/07/2019 15:08"/>
        <s v="07/08/2006 22:18"/>
        <s v="07/10/2009 22:03"/>
        <s v="07/10/2009 22:18"/>
        <s v="07/10/2009 23:13"/>
        <s v="07/11/2006 17:38"/>
        <s v="07/11/2012 16:35"/>
        <s v="07/11/2014 03:33"/>
        <s v="07/11/2015 07:31"/>
        <s v="07/11/2017 21:26"/>
        <s v="07/12/2012 08:18"/>
        <s v="07/12/2014 01:22"/>
        <s v="07/12/2015 07:50"/>
        <s v="08/01/2000 16:47"/>
        <s v="08/01/2006 11:34"/>
        <s v="08/01/2023 12:32"/>
        <s v="08/02/2004 08:58"/>
        <s v="08/02/2005 14:48"/>
        <s v="08/02/2013 11:12"/>
        <s v="08/02/2013 15:26"/>
        <s v="08/03/1999 12:25"/>
        <s v="08/03/2018 17:39"/>
        <s v="08/06/2022 00:55"/>
        <s v="08/08/2007 17:05"/>
        <s v="08/08/2017 13:19"/>
        <s v="08/09/2002 18:44"/>
        <s v="08/09/2008 18:52"/>
        <s v="08/09/2017 04:49"/>
        <s v="08/09/2021 01:47"/>
        <s v="08/10/2003 09:06"/>
        <s v="08/10/2004 08:27"/>
        <s v="08/10/2004 14:36"/>
        <s v="08/10/2005 03:50"/>
        <s v="08/10/2009 08:28"/>
        <s v="08/10/2017 22:34"/>
        <s v="08/11/1997 10:02"/>
        <s v="08/11/1999 16:45"/>
        <s v="08/11/2000 06:59"/>
        <s v="08/11/2009 19:41"/>
        <s v="08/11/2015 16:47"/>
        <s v="08/11/2019 10:44"/>
        <s v="08/12/2014 08:54"/>
        <s v="08/12/2016 14:49"/>
        <s v="08/12/2016 17:38"/>
        <s v="08/12/2016 21:56"/>
        <s v="09/01/2001 16:49"/>
        <s v="09/01/2023 17:47"/>
        <s v="09/02/2013 14:16"/>
        <s v="09/02/2013 21:02"/>
        <s v="09/03/2011 02:45"/>
        <s v="09/04/2004 15:23"/>
        <s v="09/04/2008 12:46"/>
        <s v="09/04/2019 17:53"/>
        <s v="09/05/2010 05:59"/>
        <s v="09/05/2017 13:52"/>
        <s v="09/07/1997 19:24"/>
        <s v="09/08/2000 11:41"/>
        <s v="09/08/2009 10:55"/>
        <s v="09/09/2005 07:26"/>
        <s v="09/09/2018 19:31"/>
        <s v="09/10/1995 15:35"/>
        <s v="09/10/1996 13:10"/>
        <s v="09/10/2004 21:26"/>
        <s v="09/10/2021 10:58"/>
        <s v="09/11/1997 22:56"/>
        <s v="09/11/1998 05:30"/>
        <s v="09/11/1998 05:38"/>
        <s v="09/11/2009 10:44"/>
        <s v="09/11/2018 01:49"/>
        <s v="09/11/2022 09:38"/>
        <s v="09/11/2022 09:51"/>
        <s v="09/11/2022 10:14"/>
        <s v="09/12/2015 10:21"/>
        <s v="09/12/2016 19:10"/>
        <s v="10/01/1998 08:20"/>
        <s v="10/01/2001 16:02"/>
        <s v="10/01/2002 11:14"/>
        <s v="10/01/2003 13:11"/>
        <s v="10/01/2010 00:27"/>
        <s v="10/01/2012 18:36"/>
        <s v="10/01/2017 06:13"/>
        <s v="10/01/2018 02:51"/>
        <s v="10/02/2017 14:03"/>
        <s v="10/02/2021 13:19"/>
        <s v="10/03/2013 22:51"/>
        <s v="10/03/2014 05:18"/>
        <s v="10/04/2005 10:29"/>
        <s v="10/04/2005 11:14"/>
        <s v="10/04/2016 10:28"/>
        <s v="10/05/1997 07:57"/>
        <s v="10/05/1999 20:33"/>
        <s v="10/05/2011 08:55"/>
        <s v="10/05/2017 23:23"/>
        <s v="10/05/2022 23:06"/>
        <s v="10/05/2023 16:02"/>
        <s v="10/06/1996 01:04"/>
        <s v="10/06/1996 04:03"/>
        <s v="10/06/1996 15:24"/>
        <s v="10/06/2004 15:19"/>
        <s v="10/07/2015 04:12"/>
        <s v="10/07/2023 20:28"/>
        <s v="10/08/2009 19:55"/>
        <s v="10/08/2010 05:23"/>
        <s v="10/08/2015 04:12"/>
        <s v="10/09/2007 01:49"/>
        <s v="10/09/2018 04:19"/>
        <s v="10/09/2022 23:47"/>
        <s v="10/10/2002 10:50"/>
        <s v="10/10/2002 12:28"/>
        <s v="10/10/2018 20:48"/>
        <s v="10/10/2018 23:16"/>
        <s v="10/11/2021 15:45"/>
        <s v="10/12/2003 04:38"/>
        <s v="10/12/2012 16:53"/>
        <s v="11/01/1997 20:28"/>
        <s v="11/01/2016 16:38"/>
        <s v="11/01/2021 21:32"/>
        <s v="11/01/2022 01:07"/>
        <s v="11/01/2022 11:35"/>
        <s v="11/01/2022 12:39"/>
        <s v="11/02/2009 17:34"/>
        <s v="11/02/2011 20:05"/>
        <s v="11/02/2015 18:57"/>
        <s v="11/03/1997 19:22"/>
        <s v="11/03/2003 07:27"/>
        <s v="11/03/2010 14:39"/>
        <s v="11/03/2010 14:55"/>
        <s v="11/03/2011 05:46"/>
        <s v="11/03/2011 06:15"/>
        <s v="11/03/2011 06:25"/>
        <s v="11/03/2011 08:19"/>
        <s v="11/03/2011 11:36"/>
        <s v="11/04/2010 09:40"/>
        <s v="11/04/2011 08:16"/>
        <s v="11/04/2012 08:38"/>
        <s v="11/04/2012 10:43"/>
        <s v="11/04/2012 22:55"/>
        <s v="11/04/2014 07:07"/>
        <s v="11/04/2014 08:16"/>
        <s v="11/04/2014 20:29"/>
        <s v="11/06/1996 18:22"/>
        <s v="11/07/1995 21:46"/>
        <s v="11/07/1999 14:14"/>
        <s v="11/07/2000 01:32"/>
        <s v="11/07/2014 19:22"/>
        <s v="11/07/2017 07:00"/>
        <s v="11/08/2021 17:46"/>
        <s v="11/09/2001 14:56"/>
        <s v="11/09/2008 00:00"/>
        <s v="11/09/2008 00:20"/>
        <s v="11/10/2021 09:10"/>
        <s v="11/11/2004 17:34"/>
        <s v="11/11/2004 21:26"/>
        <s v="11/11/2012 01:12"/>
        <s v="11/11/2012 22:14"/>
        <s v="11/11/2015 01:54"/>
        <s v="11/11/2015 02:46"/>
        <s v="11/11/2022 10:48"/>
        <s v="11/12/1999 18:03"/>
        <s v="11/12/2011 01:47"/>
        <s v="11/12/2018 02:26"/>
        <s v="12/01/1998 10:14"/>
        <s v="12/01/1998 16:36"/>
        <s v="12/01/2010 21:53"/>
        <s v="12/02/2008 12:50"/>
        <s v="12/02/2014 09:19"/>
        <s v="12/04/2012 07:15"/>
        <s v="12/04/2014 20:14"/>
        <s v="12/04/2019 11:40"/>
        <s v="12/05/2000 18:43"/>
        <s v="12/05/2008 06:28"/>
        <s v="12/05/2015 07:05"/>
        <s v="12/05/2015 21:12"/>
        <s v="12/05/2020 22:41"/>
        <s v="12/05/2021 14:05"/>
        <s v="12/06/2010 19:26"/>
        <s v="12/08/2009 22:48"/>
        <s v="12/08/2010 11:54"/>
        <s v="12/08/2015 18:49"/>
        <s v="12/08/2016 01:26"/>
        <s v="12/08/2021 18:32"/>
        <s v="12/08/2021 18:35"/>
        <s v="12/09/2007 11:10"/>
        <s v="12/09/2007 23:49"/>
        <s v="12/10/2001 15:02"/>
        <s v="12/10/2012 00:31"/>
        <s v="12/10/2013 13:11"/>
        <s v="12/11/1996 16:59"/>
        <s v="12/11/1999 16:57"/>
        <s v="12/11/2017 18:18"/>
        <s v="12/11/2022 07:09"/>
        <s v="12/12/2002 08:30"/>
        <s v="12/12/2005 21:47"/>
        <s v="13/01/2001 17:33"/>
        <s v="13/01/2007 04:23"/>
        <s v="13/01/2011 16:16"/>
        <s v="13/02/2001 14:22"/>
        <s v="13/02/2001 19:28"/>
        <s v="13/02/2020 10:33"/>
        <s v="13/02/2021 14:07"/>
        <s v="13/03/2022 21:09"/>
        <s v="13/04/1999 10:38"/>
        <s v="13/04/2010 23:49"/>
        <s v="13/04/2014 12:36"/>
        <s v="13/04/2014 13:24"/>
        <s v="13/04/2016 13:55"/>
        <s v="13/05/1995 08:47"/>
        <s v="13/05/1997 14:13"/>
        <s v="13/05/1998 23:02"/>
        <s v="13/05/2014 06:35"/>
        <s v="13/06/2005 22:44"/>
        <s v="13/06/2007 19:29"/>
        <s v="13/06/2008 23:43"/>
        <s v="13/06/2013 16:47"/>
        <s v="13/06/2020 15:51"/>
        <s v="13/08/2013 15:43"/>
        <s v="13/09/2002 22:28"/>
        <s v="13/09/2007 02:30"/>
        <s v="13/09/2007 03:35"/>
        <s v="13/09/2015 08:14"/>
        <s v="13/10/2018 11:10"/>
        <s v="13/11/2009 03:05"/>
        <s v="13/11/2015 20:51"/>
        <s v="13/11/2016 11:02"/>
        <s v="13/11/2016 11:32"/>
        <s v="13/11/2017 02:28"/>
        <s v="13/12/2017 18:03"/>
        <s v="14/01/2016 03:25"/>
        <s v="14/01/2018 09:18"/>
        <s v="14/01/2022 09:05"/>
        <s v="14/02/2008 10:09"/>
        <s v="14/02/2008 12:08"/>
        <s v="14/02/2011 03:40"/>
        <s v="14/02/2013 13:13"/>
        <s v="14/03/1998 19:40"/>
        <s v="14/03/2006 06:57"/>
        <s v="14/03/2010 08:08"/>
        <s v="14/04/2013 01:32"/>
        <s v="14/04/2023 09:55"/>
        <s v="14/05/1995 11:33"/>
        <s v="14/05/2005 05:05"/>
        <s v="14/05/2013 00:32"/>
        <s v="14/05/2019 12:58"/>
        <s v="14/05/2021 06:33"/>
        <s v="14/06/2017 07:29"/>
        <s v="14/07/2010 08:32"/>
        <s v="14/07/2019 05:39"/>
        <s v="14/07/2019 09:10"/>
        <s v="14/08/1995 04:37"/>
        <s v="14/08/2002 13:57"/>
        <s v="14/08/2012 02:59"/>
        <s v="14/08/2021 11:57"/>
        <s v="14/08/2021 12:29"/>
        <s v="14/08/2022 13:44"/>
        <s v="14/09/1995 14:04"/>
        <s v="14/09/2022 11:04"/>
        <s v="14/10/1996 23:26"/>
        <s v="14/10/1997 09:53"/>
        <s v="14/10/2011 03:35"/>
        <s v="14/10/2014 03:51"/>
        <s v="14/11/2001 09:26"/>
        <s v="14/11/2007 15:40"/>
        <s v="14/11/2016 00:34"/>
        <s v="14/11/2019 16:17"/>
        <s v="14/12/2004 23:20"/>
        <s v="14/12/2011 05:04"/>
        <s v="14/12/2021 03:20"/>
        <s v="15/01/2019 18:06"/>
        <s v="15/02/2005 14:42"/>
        <s v="15/04/2016 16:25"/>
        <s v="15/05/2020 11:03"/>
        <s v="15/06/1995 00:15"/>
        <s v="15/06/1999 20:42"/>
        <s v="15/06/2005 02:50"/>
        <s v="15/06/2013 17:34"/>
        <s v="15/06/2019 22:55"/>
        <s v="15/06/2023 18:06"/>
        <s v="15/07/1996 21:23"/>
        <s v="15/07/2003 18:46"/>
        <s v="15/07/2009 09:22"/>
        <s v="15/07/2013 14:03"/>
        <s v="15/08/2007 23:40"/>
        <s v="15/08/2018 21:56"/>
        <s v="15/10/1997 01:03"/>
        <s v="15/10/2004 04:08"/>
        <s v="15/10/2006 17:07"/>
        <s v="15/10/2007 12:29"/>
        <s v="15/10/2013 00:12"/>
        <s v="15/11/1997 18:59"/>
        <s v="15/11/2004 09:06"/>
        <s v="15/11/2006 11:14"/>
        <s v="15/11/2007 15:05"/>
        <s v="15/11/2014 02:31"/>
        <s v="15/12/2017 16:47"/>
        <s v="15/12/2019 06:11"/>
        <s v="16/01/2001 13:25"/>
        <s v="16/02/1996 15:22"/>
        <s v="16/02/2015 23:06"/>
        <s v="16/02/2018 23:39"/>
        <s v="16/02/2022 20:21"/>
        <s v="16/03/2010 02:21"/>
        <s v="16/03/2014 21:16"/>
        <s v="16/03/2021 18:38"/>
        <s v="16/03/2022 14:36"/>
        <s v="16/03/2023 00:56"/>
        <s v="16/04/2013 10:44"/>
        <s v="16/04/2013 22:55"/>
        <s v="16/04/2016 23:58"/>
        <s v="16/05/1995 20:12"/>
        <s v="16/05/1999 00:51"/>
        <s v="16/05/2006 15:28"/>
        <s v="16/06/2003 22:08"/>
        <s v="16/06/2010 03:16"/>
        <s v="16/06/2010 03:58"/>
        <s v="16/07/1996 10:07"/>
        <s v="16/07/1998 11:56"/>
        <s v="16/07/2000 03:57"/>
        <s v="16/07/2007 01:13"/>
        <s v="16/07/2007 14:17"/>
        <s v="16/07/2015 15:16"/>
        <s v="16/07/2023 06:48"/>
        <s v="16/08/1995 10:27"/>
        <s v="16/08/1995 16:24"/>
        <s v="16/08/1995 23:10"/>
        <s v="16/08/2005 02:46"/>
        <s v="16/08/2007 08:39"/>
        <s v="16/08/2009 07:38"/>
        <s v="16/08/2013 02:31"/>
        <s v="16/08/2021 11:10"/>
        <s v="16/08/2023 12:47"/>
        <s v="16/09/2011 19:26"/>
        <s v="16/09/2015 22:54"/>
        <s v="16/09/2015 23:18"/>
        <s v="16/09/2018 21:11"/>
        <s v="16/10/1999 09:46"/>
        <s v="16/10/2008 19:41"/>
        <s v="16/10/2013 10:30"/>
        <s v="16/10/2018 01:03"/>
        <s v="16/11/2000 04:54"/>
        <s v="16/11/2000 07:42"/>
        <s v="16/11/2000 07:45"/>
        <s v="16/11/2007 03:13"/>
        <s v="16/11/2008 17:02"/>
        <s v="16/11/2013 03:34"/>
        <s v="16/11/2014 22:33"/>
        <s v="16/12/2007 08:09"/>
        <s v="17/02/1996 05:59"/>
        <s v="17/02/1996 14:21"/>
        <s v="17/02/1996 20:18"/>
        <s v="17/03/1996 14:48"/>
        <s v="17/04/2012 03:50"/>
        <s v="17/04/2012 07:13"/>
        <s v="17/04/2015 15:52"/>
        <s v="17/05/1999 10:07"/>
        <s v="17/06/1996 11:22"/>
        <s v="17/06/2000 15:40"/>
        <s v="17/06/2002 21:26"/>
        <s v="17/07/1998 08:49"/>
        <s v="17/07/2006 08:19"/>
        <s v="17/07/2017 23:34"/>
        <s v="17/07/2020 02:50"/>
        <s v="17/07/2023 03:05"/>
        <s v="17/08/1999 00:01"/>
        <s v="17/08/2018 15:35"/>
        <s v="17/09/2014 06:14"/>
        <s v="17/09/2015 03:55"/>
        <s v="17/09/2015 04:10"/>
        <s v="17/09/2022 13:41"/>
        <s v="17/10/2006 01:25"/>
        <s v="17/10/2016 06:14"/>
        <s v="17/11/1999 03:27"/>
        <s v="17/11/2000 21:01"/>
        <s v="17/11/2005 19:26"/>
        <s v="17/11/2013 09:04"/>
        <s v="17/11/2015 07:10"/>
        <s v="17/12/2015 19:49"/>
        <s v="17/12/2016 10:51"/>
        <s v="18/01/2011 20:23"/>
        <s v="18/01/2023 06:06"/>
        <s v="18/02/2014 09:27"/>
        <s v="18/03/2023 17:12"/>
        <s v="18/04/2002 05:02"/>
        <s v="18/04/2002 16:08"/>
        <s v="18/04/2014 14:27"/>
        <s v="18/04/2023 04:31"/>
        <s v="18/05/2016 07:57"/>
        <s v="18/05/2016 16:46"/>
        <s v="18/06/2000 14:44"/>
        <s v="18/06/2002 13:56"/>
        <s v="18/06/2020 12:49"/>
        <s v="18/07/2010 13:04"/>
        <s v="18/07/2010 13:34"/>
        <s v="18/07/2015 02:27"/>
        <s v="18/08/2020 00:03"/>
        <s v="18/08/2020 22:23"/>
        <s v="18/08/2020 22:29"/>
        <s v="18/08/2021 10:10"/>
        <s v="18/09/2011 12:40"/>
        <s v="18/09/2020 21:43"/>
        <s v="18/09/2022 06:44"/>
        <s v="18/10/1995 10:37"/>
        <s v="18/10/1996 10:50"/>
        <s v="18/11/1997 13:07"/>
        <s v="18/11/2000 02:05"/>
        <s v="18/11/2000 06:54"/>
        <s v="18/11/2003 17:14"/>
        <s v="18/11/2015 18:31"/>
        <s v="18/11/2018 20:25"/>
        <s v="18/11/2022 13:37"/>
        <s v="18/12/2001 04:02"/>
        <s v="19/01/1999 03:35"/>
        <s v="19/01/2005 06:11"/>
        <s v="19/01/2017 23:04"/>
        <s v="19/02/2005 00:04"/>
        <s v="19/03/2001 05:52"/>
        <s v="19/03/2009 18:17"/>
        <s v="19/04/1996 00:19"/>
        <s v="19/04/2001 21:43"/>
        <s v="19/04/2013 03:05"/>
        <s v="19/04/2014 01:04"/>
        <s v="19/04/2014 13:28"/>
        <s v="19/05/2005 01:54"/>
        <s v="19/05/2022 10:13"/>
        <s v="19/05/2023 02:57"/>
        <s v="19/07/1997 14:22"/>
        <s v="19/07/2008 02:39"/>
        <s v="19/07/2023 00:22"/>
        <s v="19/08/1995 21:43"/>
        <s v="19/08/2018 00:19"/>
        <s v="19/08/2018 14:56"/>
        <s v="19/09/2017 18:14"/>
        <s v="19/09/2022 18:05"/>
        <s v="19/10/1995 02:41"/>
        <s v="19/10/1996 14:44"/>
        <s v="19/10/2001 03:28"/>
        <s v="19/10/2013 17:54"/>
        <s v="19/10/2016 00:26"/>
        <s v="19/10/2020 20:54"/>
        <s v="19/11/1996 10:44"/>
        <s v="19/11/1999 13:56"/>
        <s v="19/11/2005 14:10"/>
        <s v="19/11/2017 15:09"/>
        <s v="19/11/2017 22:43"/>
        <s v="19/12/1995 23:28"/>
        <s v="20/01/2003 08:43"/>
        <s v="20/01/2019 01:32"/>
        <s v="20/01/2023 22:09"/>
        <s v="20/02/2007 08:04"/>
        <s v="20/02/2008 08:08"/>
        <s v="20/03/1999 10:47"/>
        <s v="20/03/2005 01:53"/>
        <s v="20/03/2008 22:32"/>
        <s v="20/03/2012 18:02"/>
        <s v="20/03/2021 09:09"/>
        <s v="20/04/2006 23:25"/>
        <s v="20/04/2013 00:02"/>
        <s v="20/05/2015 22:48"/>
        <s v="20/05/2023 01:51"/>
        <s v="20/06/2003 13:30"/>
        <s v="20/06/2021 17:05"/>
        <s v="20/07/2017 22:31"/>
        <s v="20/08/1999 10:02"/>
        <s v="20/08/2011 16:55"/>
        <s v="20/08/2011 17:13"/>
        <s v="20/08/2011 18:19"/>
        <s v="20/09/1996 04:10"/>
        <s v="20/09/1996 04:11"/>
        <s v="20/09/1999 17:47"/>
        <s v="20/09/2007 08:31"/>
        <s v="20/10/2006 10:48"/>
        <s v="20/10/2015 21:52"/>
        <s v="20/10/2022 11:57"/>
        <s v="20/12/2007 07:55"/>
        <s v="20/12/2010 18:41"/>
        <s v="20/12/2018 17:01"/>
        <s v="21/01/2003 02:46"/>
        <s v="21/01/2007 11:27"/>
        <s v="21/01/2016 18:06"/>
        <s v="21/01/2021 12:23"/>
        <s v="21/02/1996 12:51"/>
        <s v="21/02/2017 14:09"/>
        <s v="21/03/2012 22:15"/>
        <s v="21/03/2023 16:47"/>
        <s v="21/04/1997 12:02"/>
        <s v="21/04/2012 01:16"/>
        <s v="21/04/2022 07:42"/>
        <s v="21/05/1997 14:10"/>
        <s v="21/05/1998 05:34"/>
        <s v="21/05/2003 18:44"/>
        <s v="21/05/2021 18:04"/>
        <s v="21/05/2021 22:13"/>
        <s v="21/06/2000 00:51"/>
        <s v="21/07/2013 05:09"/>
        <s v="21/07/2014 14:54"/>
        <s v="21/07/2021 21:15"/>
        <s v="21/08/2003 12:12"/>
        <s v="21/08/2018 21:31"/>
        <s v="21/08/2018 22:32"/>
        <s v="21/08/2020 04:09"/>
        <s v="21/09/2003 18:16"/>
        <s v="21/09/2015 17:40"/>
        <s v="21/10/1995 02:38"/>
        <s v="21/10/2010 17:53"/>
        <s v="21/11/2014 10:10"/>
        <s v="21/11/2016 20:59"/>
        <s v="21/12/1999 14:14"/>
        <s v="21/12/2012 22:28"/>
        <s v="21/12/2016 00:17"/>
        <s v="22/01/2003 02:06"/>
        <s v="22/01/2017 04:30"/>
        <s v="22/01/2019 19:01"/>
        <s v="22/02/2006 22:19"/>
        <s v="22/02/2019 10:17"/>
        <s v="22/03/2022 17:41"/>
        <s v="22/03/2023 16:00"/>
        <s v="22/04/1997 09:31"/>
        <s v="22/05/1997 07:50"/>
        <s v="22/05/1998 04:48"/>
        <s v="22/05/2006 11:12"/>
        <s v="22/05/2015 21:45"/>
        <s v="22/05/2015 23:59"/>
        <s v="22/06/2002 02:58"/>
        <s v="22/06/2011 21:50"/>
        <s v="22/06/2017 12:31"/>
        <s v="22/07/1996 14:19"/>
        <s v="22/07/2020 06:12"/>
        <s v="22/08/1999 12:40"/>
        <s v="22/08/2021 00:45"/>
        <s v="22/08/2021 21:33"/>
        <s v="22/09/2021 09:57"/>
        <s v="22/09/2022 06:16"/>
        <s v="22/10/2018 05:39"/>
        <s v="22/10/2018 06:16"/>
        <s v="22/10/2018 06:22"/>
        <s v="22/11/1995 04:15"/>
        <s v="22/11/2004 20:26"/>
        <s v="22/11/2007 08:48"/>
        <s v="22/11/2022 02:03"/>
        <s v="22/12/1996 14:53"/>
        <s v="22/12/1997 02:05"/>
        <s v="22/12/2003 19:15"/>
        <s v="23/01/2015 03:47"/>
        <s v="23/01/2018 09:31"/>
        <s v="23/01/2021 23:36"/>
        <s v="23/02/2023 00:37"/>
        <s v="23/04/1997 19:44"/>
        <s v="23/04/2004 01:50"/>
        <s v="23/04/2011 04:16"/>
        <s v="23/04/2013 23:14"/>
        <s v="23/05/2013 17:19"/>
        <s v="23/06/2001 20:33"/>
        <s v="23/06/2009 14:19"/>
        <s v="23/06/2014 19:19"/>
        <s v="23/06/2014 19:21"/>
        <s v="23/06/2014 20:06"/>
        <s v="23/06/2014 20:53"/>
        <s v="23/06/2015 12:18"/>
        <s v="23/06/2020 15:29"/>
        <s v="23/07/2008 15:26"/>
        <s v="23/07/2010 22:51"/>
        <s v="23/07/2021 20:48"/>
        <s v="23/09/1995 22:31"/>
        <s v="23/10/2002 11:27"/>
        <s v="23/10/2004 08:56"/>
        <s v="23/10/2011 10:41"/>
        <s v="23/11/2013 07:48"/>
        <s v="23/12/2001 22:52"/>
        <s v="23/12/2004 14:59"/>
        <s v="24/01/2016 10:30"/>
        <s v="24/01/2020 17:55"/>
        <s v="24/02/2001 07:23"/>
        <s v="24/02/2008 14:46"/>
        <s v="24/02/2017 17:28"/>
        <s v="24/03/2001 06:27"/>
        <s v="24/03/2011 13:55"/>
        <s v="24/04/2014 03:10"/>
        <s v="24/04/2017 21:38"/>
        <s v="24/04/2021 00:23"/>
        <s v="24/04/2023 00:41"/>
        <s v="24/04/2023 20:00"/>
        <s v="24/05/2013 05:44"/>
        <s v="24/05/2013 14:56"/>
        <s v="24/05/2014 09:25"/>
        <s v="24/06/2013 22:04"/>
        <s v="24/06/2019 02:53"/>
        <s v="24/07/2005 15:42"/>
        <s v="24/08/2006 21:50"/>
        <s v="24/08/2011 17:46"/>
        <s v="24/08/2014 23:21"/>
        <s v="24/08/2016 10:34"/>
        <s v="24/08/2018 09:04"/>
        <s v="24/09/2013 11:29"/>
        <s v="24/09/2015 15:53"/>
        <s v="24/09/2016 21:28"/>
        <s v="24/10/2007 21:02"/>
        <s v="24/10/2009 14:40"/>
        <s v="24/10/2012 00:45"/>
        <s v="24/10/2017 10:47"/>
        <s v="24/11/2015 22:45"/>
        <s v="24/11/2015 22:50"/>
        <s v="24/11/2016 18:43"/>
        <s v="25/02/1996 03:08"/>
        <s v="25/02/2008 08:36"/>
        <s v="25/02/2008 18:06"/>
        <s v="25/02/2008 21:02"/>
        <s v="25/02/2018 17:44"/>
        <s v="25/03/2003 02:53"/>
        <s v="25/03/2007 00:40"/>
        <s v="25/03/2007 00:41"/>
        <s v="25/03/2012 22:37"/>
        <s v="25/03/2020 02:49"/>
        <s v="25/04/2015 06:11"/>
        <s v="25/04/2015 06:45"/>
        <s v="25/04/2021 22:28"/>
        <s v="25/05/2023 03:05"/>
        <s v="25/08/2008 13:21"/>
        <s v="25/09/1999 23:52"/>
        <s v="25/09/2003 19:50"/>
        <s v="25/09/2003 21:08"/>
        <s v="25/09/2013 16:42"/>
        <s v="25/09/2019 23:46"/>
        <s v="25/10/2000 09:32"/>
        <s v="25/10/2010 14:42"/>
        <s v="25/10/2013 17:10"/>
        <s v="25/10/2018 22:54"/>
        <s v="25/11/1997 12:14"/>
        <s v="25/11/2000 18:09"/>
        <s v="25/11/2000 18:10"/>
        <s v="25/11/2003 20:19"/>
        <s v="25/11/2007 16:02"/>
        <s v="25/11/2007 19:53"/>
        <s v="25/11/2016 14:24"/>
        <s v="25/12/1995 04:43"/>
        <s v="25/12/2003 07:11"/>
        <s v="25/12/2010 13:16"/>
        <s v="25/12/2016 14:22"/>
        <s v="26/01/2001 03:16"/>
        <s v="26/02/2005 12:56"/>
        <s v="26/02/2010 20:31"/>
        <s v="26/02/2012 06:17"/>
        <s v="26/03/2018 09:51"/>
        <s v="26/04/2002 16:06"/>
        <s v="26/04/2015 07:09"/>
        <s v="26/05/2003 09:24"/>
        <s v="26/05/2003 19:23"/>
        <s v="26/05/2019 07:41"/>
        <s v="26/05/2022 12:02"/>
        <s v="26/06/2001 04:18"/>
        <s v="26/06/2010 05:30"/>
        <s v="26/07/2001 00:21"/>
        <s v="26/07/2007 05:40"/>
        <s v="26/08/2012 15:05"/>
        <s v="26/09/2005 01:55"/>
        <s v="26/09/2007 12:36"/>
        <s v="26/10/2015 09:09"/>
        <s v="26/11/1999 13:21"/>
        <s v="26/11/2004 02:25"/>
        <s v="26/11/2014 14:33"/>
        <s v="26/11/2015 05:45"/>
        <s v="26/12/2003 01:56"/>
        <s v="26/12/2004 00:58"/>
        <s v="26/12/2004 04:21"/>
        <s v="26/12/2004 09:20"/>
        <s v="26/12/2006 12:26"/>
        <s v="26/12/2006 12:34"/>
        <s v="27/02/1997 21:08"/>
        <s v="27/02/2010 06:34"/>
        <s v="27/02/2010 08:01"/>
        <s v="27/02/2015 13:45"/>
        <s v="27/05/1995 13:03"/>
        <s v="27/05/2010 17:14"/>
        <s v="27/06/2008 11:40"/>
        <s v="27/07/2015 04:49"/>
        <s v="27/07/2015 21:41"/>
        <s v="27/07/2022 00:43"/>
        <s v="27/08/2012 04:37"/>
        <s v="27/08/2019 23:55"/>
        <s v="27/09/2003 11:33"/>
        <s v="27/11/2007 11:49"/>
        <s v="27/12/1998 00:38"/>
        <s v="27/12/2003 16:00"/>
        <s v="27/12/2011 15:21"/>
        <s v="27/12/2020 21:39"/>
        <s v="28/01/1999 08:10"/>
        <s v="28/01/2000 14:21"/>
        <s v="28/01/2004 22:15"/>
        <s v="28/01/2020 19:10"/>
        <s v="28/02/2001 18:54"/>
        <s v="28/02/2013 14:05"/>
        <s v="28/03/1999 19:05"/>
        <s v="28/03/2002 04:56"/>
        <s v="28/03/2005 16:09"/>
        <s v="28/04/2012 10:08"/>
        <s v="28/04/2016 19:33"/>
        <s v="28/04/2017 20:23"/>
        <s v="28/04/2023 03:13"/>
        <s v="28/05/2006 03:12"/>
        <s v="28/05/2009 08:24"/>
        <s v="28/05/2016 05:38"/>
        <s v="28/05/2016 09:46"/>
        <s v="28/07/2001 07:32"/>
        <s v="28/07/2004 03:56"/>
        <s v="28/07/2012 20:03"/>
        <s v="28/08/1995 10:46"/>
        <s v="28/08/2000 15:05"/>
        <s v="28/08/2004 13:41"/>
        <s v="28/09/1998 13:34"/>
        <s v="28/09/2006 06:22"/>
        <s v="28/09/2013 07:34"/>
        <s v="28/09/2018 10:02"/>
        <s v="28/10/1997 06:15"/>
        <s v="28/10/2011 18:54"/>
        <s v="28/10/2012 03:04"/>
        <s v="28/11/2004 18:32"/>
        <s v="28/11/2021 10:52"/>
        <s v="29/01/2022 02:46"/>
        <s v="29/03/2015 23:48"/>
        <s v="29/03/2017 04:09"/>
        <s v="29/03/2018 21:25"/>
        <s v="29/04/1996 14:40"/>
        <s v="29/04/2006 16:58"/>
        <s v="29/05/2015 07:00"/>
        <s v="29/05/2017 14:35"/>
        <s v="29/06/1995 12:24"/>
        <s v="29/06/2014 07:52"/>
        <s v="29/06/2014 17:15"/>
        <s v="29/07/1998 18:00"/>
        <s v="29/07/2016 21:18"/>
        <s v="29/07/2021 06:15"/>
        <s v="29/08/1997 08:14"/>
        <s v="29/08/2018 03:51"/>
        <s v="29/09/2003 02:36"/>
        <s v="29/09/2005 15:50"/>
        <s v="29/09/2009 17:48"/>
        <s v="29/09/2010 17:11"/>
        <s v="29/09/2019 15:57"/>
        <s v="29/10/2000 08:37"/>
        <s v="29/10/2019 01:04"/>
        <s v="29/11/1998 14:10"/>
        <s v="29/11/2007 19:00"/>
        <s v="29/12/1999 13:29"/>
        <s v="29/12/2018 03:39"/>
        <s v="29/12/2021 18:25"/>
        <s v="30/01/1998 12:16"/>
        <s v="30/01/2013 20:15"/>
        <s v="30/01/2016 03:25"/>
        <s v="30/03/2010 16:54"/>
        <s v="30/03/2015 08:48"/>
        <s v="30/03/2022 20:56"/>
        <s v="30/04/2006 19:17"/>
        <s v="30/04/2006 21:40"/>
        <s v="30/04/2015 10:45"/>
        <s v="30/05/1998 06:22"/>
        <s v="30/05/2015 11:23"/>
        <s v="30/05/2019 09:03"/>
        <s v="30/07/1995 05:11"/>
        <s v="30/07/2000 12:25"/>
        <s v="30/08/2013 16:25"/>
        <s v="30/08/2020 21:20"/>
        <s v="30/09/1999 16:31"/>
        <s v="30/09/2009 10:16"/>
        <s v="30/09/2012 16:31"/>
        <s v="30/09/2013 05:55"/>
        <s v="30/09/2018 10:52"/>
        <s v="30/10/2009 07:03"/>
        <s v="30/10/2016 06:40"/>
        <s v="30/10/2020 11:51"/>
        <s v="30/11/1999 04:01"/>
        <s v="30/11/2018 17:29"/>
        <s v="31/03/2002 06:52"/>
        <s v="31/03/2020 23:52"/>
        <s v="31/03/2022 05:44"/>
        <s v="31/07/2002 00:16"/>
        <s v="31/07/2011 23:38"/>
        <s v="31/07/2019 15:02"/>
        <s v="31/08/2012 12:47"/>
        <s v="31/08/2016 03:11"/>
        <s v="31/10/2001 09:10"/>
        <s v="31/10/2003 01:06"/>
        <s v="31/10/2013 23:03"/>
        <s v="31/10/2017 00:42"/>
        <s v="31/10/2019 01:11"/>
      </sharedItems>
    </cacheField>
    <cacheField name="cdi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mmi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alert" numFmtId="0">
      <sharedItems containsBlank="1" count="5">
        <s v="green"/>
        <s v="orange"/>
        <s v="red"/>
        <s v="yellow"/>
        <m/>
      </sharedItems>
    </cacheField>
    <cacheField name="tsunami" numFmtId="0">
      <sharedItems containsSemiMixedTypes="0" containsString="0" containsNumber="1" containsInteger="1" minValue="0" maxValue="1" count="2">
        <n v="0"/>
        <n v="1"/>
      </sharedItems>
    </cacheField>
    <cacheField name="sig" numFmtId="0">
      <sharedItems containsSemiMixedTypes="0" containsString="0" containsNumber="1" containsInteger="1" minValue="650" maxValue="2910" count="356">
        <n v="650"/>
        <n v="651"/>
        <n v="652"/>
        <n v="653"/>
        <n v="654"/>
        <n v="655"/>
        <n v="656"/>
        <n v="657"/>
        <n v="659"/>
        <n v="661"/>
        <n v="664"/>
        <n v="665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3"/>
        <n v="684"/>
        <n v="686"/>
        <n v="688"/>
        <n v="690"/>
        <n v="691"/>
        <n v="692"/>
        <n v="693"/>
        <n v="694"/>
        <n v="696"/>
        <n v="697"/>
        <n v="698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6"/>
        <n v="727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7"/>
        <n v="749"/>
        <n v="753"/>
        <n v="754"/>
        <n v="755"/>
        <n v="756"/>
        <n v="757"/>
        <n v="758"/>
        <n v="759"/>
        <n v="760"/>
        <n v="761"/>
        <n v="762"/>
        <n v="763"/>
        <n v="765"/>
        <n v="768"/>
        <n v="770"/>
        <n v="771"/>
        <n v="772"/>
        <n v="773"/>
        <n v="775"/>
        <n v="776"/>
        <n v="777"/>
        <n v="779"/>
        <n v="780"/>
        <n v="781"/>
        <n v="782"/>
        <n v="784"/>
        <n v="785"/>
        <n v="787"/>
        <n v="790"/>
        <n v="791"/>
        <n v="793"/>
        <n v="795"/>
        <n v="797"/>
        <n v="798"/>
        <n v="799"/>
        <n v="800"/>
        <n v="802"/>
        <n v="803"/>
        <n v="804"/>
        <n v="805"/>
        <n v="806"/>
        <n v="808"/>
        <n v="809"/>
        <n v="810"/>
        <n v="813"/>
        <n v="814"/>
        <n v="818"/>
        <n v="820"/>
        <n v="822"/>
        <n v="824"/>
        <n v="825"/>
        <n v="826"/>
        <n v="827"/>
        <n v="830"/>
        <n v="831"/>
        <n v="832"/>
        <n v="833"/>
        <n v="834"/>
        <n v="835"/>
        <n v="838"/>
        <n v="840"/>
        <n v="841"/>
        <n v="842"/>
        <n v="843"/>
        <n v="844"/>
        <n v="846"/>
        <n v="847"/>
        <n v="848"/>
        <n v="849"/>
        <n v="850"/>
        <n v="854"/>
        <n v="855"/>
        <n v="856"/>
        <n v="858"/>
        <n v="860"/>
        <n v="865"/>
        <n v="868"/>
        <n v="869"/>
        <n v="870"/>
        <n v="871"/>
        <n v="872"/>
        <n v="873"/>
        <n v="874"/>
        <n v="875"/>
        <n v="876"/>
        <n v="879"/>
        <n v="886"/>
        <n v="887"/>
        <n v="888"/>
        <n v="889"/>
        <n v="891"/>
        <n v="893"/>
        <n v="896"/>
        <n v="897"/>
        <n v="899"/>
        <n v="902"/>
        <n v="903"/>
        <n v="904"/>
        <n v="907"/>
        <n v="909"/>
        <n v="910"/>
        <n v="912"/>
        <n v="913"/>
        <n v="914"/>
        <n v="915"/>
        <n v="916"/>
        <n v="918"/>
        <n v="919"/>
        <n v="921"/>
        <n v="927"/>
        <n v="929"/>
        <n v="931"/>
        <n v="932"/>
        <n v="934"/>
        <n v="935"/>
        <n v="936"/>
        <n v="941"/>
        <n v="943"/>
        <n v="945"/>
        <n v="946"/>
        <n v="947"/>
        <n v="948"/>
        <n v="951"/>
        <n v="952"/>
        <n v="954"/>
        <n v="957"/>
        <n v="960"/>
        <n v="961"/>
        <n v="963"/>
        <n v="965"/>
        <n v="971"/>
        <n v="972"/>
        <n v="976"/>
        <n v="979"/>
        <n v="981"/>
        <n v="982"/>
        <n v="985"/>
        <n v="987"/>
        <n v="988"/>
        <n v="993"/>
        <n v="994"/>
        <n v="995"/>
        <n v="998"/>
        <n v="1000"/>
        <n v="1005"/>
        <n v="1007"/>
        <n v="1009"/>
        <n v="1012"/>
        <n v="1013"/>
        <n v="1014"/>
        <n v="1016"/>
        <n v="1017"/>
        <n v="1018"/>
        <n v="1020"/>
        <n v="1021"/>
        <n v="1023"/>
        <n v="1024"/>
        <n v="1025"/>
        <n v="1026"/>
        <n v="1034"/>
        <n v="1043"/>
        <n v="1046"/>
        <n v="1050"/>
        <n v="1052"/>
        <n v="1054"/>
        <n v="1055"/>
        <n v="1057"/>
        <n v="1064"/>
        <n v="1075"/>
        <n v="1079"/>
        <n v="1086"/>
        <n v="1092"/>
        <n v="1094"/>
        <n v="1096"/>
        <n v="1104"/>
        <n v="1111"/>
        <n v="1114"/>
        <n v="1115"/>
        <n v="1120"/>
        <n v="1133"/>
        <n v="1138"/>
        <n v="1140"/>
        <n v="1144"/>
        <n v="1145"/>
        <n v="1151"/>
        <n v="1152"/>
        <n v="1153"/>
        <n v="1154"/>
        <n v="1159"/>
        <n v="1163"/>
        <n v="1165"/>
        <n v="1171"/>
        <n v="1175"/>
        <n v="1179"/>
        <n v="1180"/>
        <n v="1188"/>
        <n v="1202"/>
        <n v="1206"/>
        <n v="1211"/>
        <n v="1213"/>
        <n v="1221"/>
        <n v="1237"/>
        <n v="1245"/>
        <n v="1247"/>
        <n v="1248"/>
        <n v="1252"/>
        <n v="1267"/>
        <n v="1274"/>
        <n v="1280"/>
        <n v="1297"/>
        <n v="1318"/>
        <n v="1320"/>
        <n v="1332"/>
        <n v="1350"/>
        <n v="1351"/>
        <n v="1360"/>
        <n v="1384"/>
        <n v="1385"/>
        <n v="1390"/>
        <n v="1392"/>
        <n v="1400"/>
        <n v="1410"/>
        <n v="1411"/>
        <n v="1421"/>
        <n v="1425"/>
        <n v="1441"/>
        <n v="1448"/>
        <n v="1449"/>
        <n v="1455"/>
        <n v="1481"/>
        <n v="1494"/>
        <n v="1496"/>
        <n v="1515"/>
        <n v="1527"/>
        <n v="1542"/>
        <n v="1545"/>
        <n v="1551"/>
        <n v="1555"/>
        <n v="1560"/>
        <n v="1562"/>
        <n v="1563"/>
        <n v="1570"/>
        <n v="1576"/>
        <n v="1600"/>
        <n v="1612"/>
        <n v="1623"/>
        <n v="1639"/>
        <n v="1642"/>
        <n v="1646"/>
        <n v="1686"/>
        <n v="1704"/>
        <n v="1726"/>
        <n v="1750"/>
        <n v="1752"/>
        <n v="1790"/>
        <n v="1799"/>
        <n v="1812"/>
        <n v="1870"/>
        <n v="1890"/>
        <n v="1960"/>
        <n v="1991"/>
        <n v="2015"/>
        <n v="2026"/>
        <n v="2048"/>
        <n v="2074"/>
        <n v="2083"/>
        <n v="2184"/>
        <n v="2331"/>
        <n v="2397"/>
        <n v="2504"/>
        <n v="2790"/>
        <n v="2820"/>
        <n v="2840"/>
        <n v="2910"/>
      </sharedItems>
    </cacheField>
    <cacheField name="net" numFmtId="0">
      <sharedItems count="11">
        <s v="ak"/>
        <s v="at"/>
        <s v="ci"/>
        <s v="duputel"/>
        <s v="hv"/>
        <s v="nc"/>
        <s v="nn"/>
        <s v="official"/>
        <s v="pt"/>
        <s v="us"/>
        <s v="uw"/>
      </sharedItems>
    </cacheField>
    <cacheField name="nst" numFmtId="0">
      <sharedItems containsSemiMixedTypes="0" containsString="0" containsNumber="1" containsInteger="1" minValue="0" maxValue="934" count="345">
        <n v="0"/>
        <n v="10"/>
        <n v="20"/>
        <n v="23"/>
        <n v="27"/>
        <n v="43"/>
        <n v="50"/>
        <n v="51"/>
        <n v="52"/>
        <n v="60"/>
        <n v="63"/>
        <n v="64"/>
        <n v="65"/>
        <n v="66"/>
        <n v="67"/>
        <n v="68"/>
        <n v="70"/>
        <n v="71"/>
        <n v="73"/>
        <n v="77"/>
        <n v="79"/>
        <n v="85"/>
        <n v="92"/>
        <n v="95"/>
        <n v="97"/>
        <n v="98"/>
        <n v="99"/>
        <n v="104"/>
        <n v="105"/>
        <n v="108"/>
        <n v="111"/>
        <n v="112"/>
        <n v="114"/>
        <n v="115"/>
        <n v="116"/>
        <n v="117"/>
        <n v="118"/>
        <n v="126"/>
        <n v="127"/>
        <n v="128"/>
        <n v="130"/>
        <n v="131"/>
        <n v="134"/>
        <n v="135"/>
        <n v="136"/>
        <n v="138"/>
        <n v="139"/>
        <n v="141"/>
        <n v="142"/>
        <n v="144"/>
        <n v="145"/>
        <n v="147"/>
        <n v="149"/>
        <n v="152"/>
        <n v="156"/>
        <n v="162"/>
        <n v="163"/>
        <n v="166"/>
        <n v="173"/>
        <n v="174"/>
        <n v="175"/>
        <n v="178"/>
        <n v="192"/>
        <n v="195"/>
        <n v="206"/>
        <n v="215"/>
        <n v="217"/>
        <n v="218"/>
        <n v="221"/>
        <n v="225"/>
        <n v="228"/>
        <n v="229"/>
        <n v="233"/>
        <n v="234"/>
        <n v="235"/>
        <n v="236"/>
        <n v="243"/>
        <n v="247"/>
        <n v="250"/>
        <n v="251"/>
        <n v="253"/>
        <n v="254"/>
        <n v="255"/>
        <n v="256"/>
        <n v="257"/>
        <n v="260"/>
        <n v="264"/>
        <n v="267"/>
        <n v="268"/>
        <n v="269"/>
        <n v="271"/>
        <n v="272"/>
        <n v="273"/>
        <n v="277"/>
        <n v="279"/>
        <n v="280"/>
        <n v="282"/>
        <n v="283"/>
        <n v="285"/>
        <n v="286"/>
        <n v="288"/>
        <n v="291"/>
        <n v="292"/>
        <n v="294"/>
        <n v="295"/>
        <n v="301"/>
        <n v="303"/>
        <n v="305"/>
        <n v="306"/>
        <n v="307"/>
        <n v="309"/>
        <n v="312"/>
        <n v="314"/>
        <n v="315"/>
        <n v="316"/>
        <n v="317"/>
        <n v="321"/>
        <n v="322"/>
        <n v="323"/>
        <n v="324"/>
        <n v="325"/>
        <n v="327"/>
        <n v="331"/>
        <n v="333"/>
        <n v="334"/>
        <n v="335"/>
        <n v="336"/>
        <n v="338"/>
        <n v="340"/>
        <n v="341"/>
        <n v="344"/>
        <n v="346"/>
        <n v="348"/>
        <n v="349"/>
        <n v="351"/>
        <n v="352"/>
        <n v="353"/>
        <n v="357"/>
        <n v="358"/>
        <n v="365"/>
        <n v="367"/>
        <n v="368"/>
        <n v="369"/>
        <n v="370"/>
        <n v="371"/>
        <n v="372"/>
        <n v="374"/>
        <n v="375"/>
        <n v="377"/>
        <n v="379"/>
        <n v="382"/>
        <n v="383"/>
        <n v="384"/>
        <n v="385"/>
        <n v="386"/>
        <n v="387"/>
        <n v="390"/>
        <n v="391"/>
        <n v="392"/>
        <n v="396"/>
        <n v="397"/>
        <n v="398"/>
        <n v="399"/>
        <n v="400"/>
        <n v="401"/>
        <n v="402"/>
        <n v="403"/>
        <n v="405"/>
        <n v="406"/>
        <n v="409"/>
        <n v="410"/>
        <n v="411"/>
        <n v="412"/>
        <n v="413"/>
        <n v="415"/>
        <n v="417"/>
        <n v="418"/>
        <n v="419"/>
        <n v="420"/>
        <n v="421"/>
        <n v="422"/>
        <n v="423"/>
        <n v="424"/>
        <n v="426"/>
        <n v="427"/>
        <n v="428"/>
        <n v="429"/>
        <n v="430"/>
        <n v="431"/>
        <n v="432"/>
        <n v="434"/>
        <n v="439"/>
        <n v="441"/>
        <n v="443"/>
        <n v="444"/>
        <n v="445"/>
        <n v="446"/>
        <n v="447"/>
        <n v="453"/>
        <n v="454"/>
        <n v="456"/>
        <n v="457"/>
        <n v="459"/>
        <n v="460"/>
        <n v="461"/>
        <n v="462"/>
        <n v="463"/>
        <n v="464"/>
        <n v="466"/>
        <n v="468"/>
        <n v="471"/>
        <n v="472"/>
        <n v="473"/>
        <n v="474"/>
        <n v="475"/>
        <n v="477"/>
        <n v="478"/>
        <n v="480"/>
        <n v="481"/>
        <n v="482"/>
        <n v="483"/>
        <n v="485"/>
        <n v="486"/>
        <n v="487"/>
        <n v="491"/>
        <n v="493"/>
        <n v="494"/>
        <n v="495"/>
        <n v="497"/>
        <n v="498"/>
        <n v="499"/>
        <n v="500"/>
        <n v="502"/>
        <n v="503"/>
        <n v="504"/>
        <n v="505"/>
        <n v="506"/>
        <n v="507"/>
        <n v="509"/>
        <n v="510"/>
        <n v="514"/>
        <n v="515"/>
        <n v="517"/>
        <n v="518"/>
        <n v="519"/>
        <n v="520"/>
        <n v="521"/>
        <n v="526"/>
        <n v="529"/>
        <n v="531"/>
        <n v="532"/>
        <n v="533"/>
        <n v="534"/>
        <n v="537"/>
        <n v="541"/>
        <n v="543"/>
        <n v="544"/>
        <n v="545"/>
        <n v="548"/>
        <n v="550"/>
        <n v="551"/>
        <n v="552"/>
        <n v="553"/>
        <n v="555"/>
        <n v="556"/>
        <n v="561"/>
        <n v="562"/>
        <n v="564"/>
        <n v="567"/>
        <n v="568"/>
        <n v="569"/>
        <n v="570"/>
        <n v="572"/>
        <n v="573"/>
        <n v="576"/>
        <n v="577"/>
        <n v="578"/>
        <n v="579"/>
        <n v="585"/>
        <n v="586"/>
        <n v="592"/>
        <n v="593"/>
        <n v="594"/>
        <n v="596"/>
        <n v="597"/>
        <n v="598"/>
        <n v="599"/>
        <n v="601"/>
        <n v="605"/>
        <n v="606"/>
        <n v="607"/>
        <n v="610"/>
        <n v="611"/>
        <n v="625"/>
        <n v="626"/>
        <n v="630"/>
        <n v="633"/>
        <n v="635"/>
        <n v="636"/>
        <n v="639"/>
        <n v="640"/>
        <n v="643"/>
        <n v="645"/>
        <n v="646"/>
        <n v="649"/>
        <n v="650"/>
        <n v="653"/>
        <n v="654"/>
        <n v="656"/>
        <n v="663"/>
        <n v="664"/>
        <n v="667"/>
        <n v="668"/>
        <n v="672"/>
        <n v="682"/>
        <n v="686"/>
        <n v="690"/>
        <n v="691"/>
        <n v="693"/>
        <n v="695"/>
        <n v="696"/>
        <n v="697"/>
        <n v="698"/>
        <n v="700"/>
        <n v="701"/>
        <n v="702"/>
        <n v="703"/>
        <n v="708"/>
        <n v="714"/>
        <n v="724"/>
        <n v="728"/>
        <n v="733"/>
        <n v="744"/>
        <n v="751"/>
        <n v="759"/>
        <n v="769"/>
        <n v="770"/>
        <n v="774"/>
        <n v="782"/>
        <n v="798"/>
        <n v="807"/>
        <n v="862"/>
        <n v="918"/>
        <n v="929"/>
        <n v="934"/>
      </sharedItems>
    </cacheField>
    <cacheField name="dmin" numFmtId="0">
      <sharedItems containsSemiMixedTypes="0" containsString="0" containsNumber="1" minValue="0" maxValue="17.654" count="402">
        <n v="0"/>
        <n v="0.04616"/>
        <n v="0.04685"/>
        <n v="0.07"/>
        <n v="0.11"/>
        <n v="0.133"/>
        <n v="0.135"/>
        <n v="0.142"/>
        <n v="0.151"/>
        <n v="0.173"/>
        <n v="0.174"/>
        <n v="0.218"/>
        <n v="0.225"/>
        <n v="0.23"/>
        <n v="0.247"/>
        <n v="0.258"/>
        <n v="0.263"/>
        <n v="0.266"/>
        <n v="0.281"/>
        <n v="0.283"/>
        <n v="0.284"/>
        <n v="0.289"/>
        <n v="0.312"/>
        <n v="0.3225"/>
        <n v="0.349"/>
        <n v="0.355"/>
        <n v="0.356"/>
        <n v="0.357"/>
        <n v="0.371"/>
        <n v="0.388"/>
        <n v="0.401"/>
        <n v="0.402"/>
        <n v="0.409"/>
        <n v="0.41"/>
        <n v="0.428"/>
        <n v="0.43"/>
        <n v="0.437"/>
        <n v="0.444"/>
        <n v="0.453"/>
        <n v="0.46"/>
        <n v="0.481"/>
        <n v="0.507"/>
        <n v="0.509"/>
        <n v="0.5137"/>
        <n v="0.529"/>
        <n v="0.546"/>
        <n v="0.576"/>
        <n v="0.579"/>
        <n v="0.592"/>
        <n v="0.609"/>
        <n v="0.616"/>
        <n v="0.617"/>
        <n v="0.621"/>
        <n v="0.622"/>
        <n v="0.624"/>
        <n v="0.636"/>
        <n v="0.646"/>
        <n v="0.6568"/>
        <n v="0.666"/>
        <n v="0.671"/>
        <n v="0.677"/>
        <n v="0.679"/>
        <n v="0.684"/>
        <n v="0.698"/>
        <n v="0.708"/>
        <n v="0.709"/>
        <n v="0.727"/>
        <n v="0.735"/>
        <n v="0.739"/>
        <n v="0.748"/>
        <n v="0.749"/>
        <n v="0.751"/>
        <n v="0.761"/>
        <n v="0.778"/>
        <n v="0.784"/>
        <n v="0.788"/>
        <n v="0.789"/>
        <n v="0.791"/>
        <n v="0.803"/>
        <n v="0.817"/>
        <n v="0.821"/>
        <n v="0.827"/>
        <n v="0.828"/>
        <n v="0.85"/>
        <n v="0.853"/>
        <n v="0.87"/>
        <n v="0.875"/>
        <n v="0.879451"/>
        <n v="0.885"/>
        <n v="0.903"/>
        <n v="0.907"/>
        <n v="0.913"/>
        <n v="0.914"/>
        <n v="0.918"/>
        <n v="0.92"/>
        <n v="0.936943"/>
        <n v="0.944"/>
        <n v="0.958"/>
        <n v="0.984"/>
        <n v="0.993"/>
        <n v="1.001"/>
        <n v="1.008"/>
        <n v="1.025"/>
        <n v="1.029"/>
        <n v="1.049"/>
        <n v="1.062"/>
        <n v="1.064"/>
        <n v="1.065"/>
        <n v="1.074"/>
        <n v="1.078"/>
        <n v="1.079"/>
        <n v="1.088"/>
        <n v="1.116"/>
        <n v="1.13"/>
        <n v="1.151"/>
        <n v="1.153"/>
        <n v="1.154"/>
        <n v="1.164"/>
        <n v="1.166"/>
        <n v="1.168"/>
        <n v="1.173"/>
        <n v="1.178"/>
        <n v="1.179"/>
        <n v="1.181"/>
        <n v="1.192"/>
        <n v="1.193"/>
        <n v="1.205"/>
        <n v="1.218"/>
        <n v="1.239"/>
        <n v="1.256"/>
        <n v="1.269"/>
        <n v="1.271"/>
        <n v="1.273"/>
        <n v="1.293"/>
        <n v="1.295"/>
        <n v="1.319"/>
        <n v="1.352"/>
        <n v="1.362"/>
        <n v="1.389"/>
        <n v="1.395"/>
        <n v="1.397"/>
        <n v="1.402"/>
        <n v="1.405"/>
        <n v="1.421"/>
        <n v="1.422"/>
        <n v="1.431"/>
        <n v="1.44"/>
        <n v="1.444"/>
        <n v="1.458"/>
        <n v="1.487"/>
        <n v="1.504"/>
        <n v="1.505"/>
        <n v="1.507"/>
        <n v="1.518"/>
        <n v="1.529"/>
        <n v="1.53"/>
        <n v="1.549"/>
        <n v="1.55"/>
        <n v="1.575"/>
        <n v="1.596"/>
        <n v="1.599"/>
        <n v="1.611"/>
        <n v="1.61607"/>
        <n v="1.622"/>
        <n v="1.634"/>
        <n v="1.635"/>
        <n v="1.636"/>
        <n v="1.638"/>
        <n v="1.64"/>
        <n v="1.649"/>
        <n v="1.657"/>
        <n v="1.671"/>
        <n v="1.675"/>
        <n v="1.692"/>
        <n v="1.697"/>
        <n v="1.709"/>
        <n v="1.716"/>
        <n v="1.747"/>
        <n v="1.769"/>
        <n v="1.778"/>
        <n v="1.783"/>
        <n v="1.789"/>
        <n v="1.794"/>
        <n v="1.796"/>
        <n v="1.802"/>
        <n v="1.816"/>
        <n v="1.822"/>
        <n v="1.836"/>
        <n v="1.857"/>
        <n v="1.865"/>
        <n v="1.872"/>
        <n v="1.881"/>
        <n v="1.919"/>
        <n v="1.921"/>
        <n v="1.925"/>
        <n v="1.937"/>
        <n v="1.974"/>
        <n v="1.98"/>
        <n v="1.984"/>
        <n v="1.999"/>
        <n v="2.015"/>
        <n v="2.019"/>
        <n v="2.022"/>
        <n v="2.033"/>
        <n v="2.043"/>
        <n v="2.045"/>
        <n v="2.109"/>
        <n v="2.11"/>
        <n v="2.124"/>
        <n v="2.137"/>
        <n v="2.163"/>
        <n v="2.188"/>
        <n v="2.229"/>
        <n v="2.25"/>
        <n v="2.267"/>
        <n v="2.268"/>
        <n v="2.271"/>
        <n v="2.277"/>
        <n v="2.282"/>
        <n v="2.308"/>
        <n v="2.353"/>
        <n v="2.36"/>
        <n v="2.365"/>
        <n v="2.378"/>
        <n v="2.405"/>
        <n v="2.413"/>
        <n v="2.418"/>
        <n v="2.421"/>
        <n v="2.435"/>
        <n v="2.453"/>
        <n v="2.454"/>
        <n v="2.485"/>
        <n v="2.486"/>
        <n v="2.494"/>
        <n v="2.495"/>
        <n v="2.501"/>
        <n v="2.514"/>
        <n v="2.53"/>
        <n v="2.548"/>
        <n v="2.585"/>
        <n v="2.587"/>
        <n v="2.59"/>
        <n v="2.6"/>
        <n v="2.619"/>
        <n v="2.629"/>
        <n v="2.666"/>
        <n v="2.679"/>
        <n v="2.685"/>
        <n v="2.697"/>
        <n v="2.705"/>
        <n v="2.719"/>
        <n v="2.739"/>
        <n v="2.785"/>
        <n v="2.792"/>
        <n v="2.812"/>
        <n v="2.821"/>
        <n v="2.822"/>
        <n v="2.828"/>
        <n v="2.839"/>
        <n v="2.852"/>
        <n v="2.879"/>
        <n v="2.885"/>
        <n v="2.936"/>
        <n v="2.958"/>
        <n v="2.977"/>
        <n v="2.978"/>
        <n v="2.979"/>
        <n v="3.001"/>
        <n v="3.026"/>
        <n v="3.085"/>
        <n v="3.097"/>
        <n v="3.111"/>
        <n v="3.121"/>
        <n v="3.125"/>
        <n v="3.144"/>
        <n v="3.158"/>
        <n v="3.18"/>
        <n v="3.183"/>
        <n v="3.246"/>
        <n v="3.259"/>
        <n v="3.276"/>
        <n v="3.287"/>
        <n v="3.294"/>
        <n v="3.34"/>
        <n v="3.38"/>
        <n v="3.403"/>
        <n v="3.557"/>
        <n v="3.564"/>
        <n v="3.619"/>
        <n v="3.625"/>
        <n v="3.63"/>
        <n v="3.631"/>
        <n v="3.651"/>
        <n v="3.702"/>
        <n v="3.713"/>
        <n v="3.727"/>
        <n v="3.729"/>
        <n v="3.741"/>
        <n v="3.745"/>
        <n v="3.77"/>
        <n v="3.773"/>
        <n v="3.787"/>
        <n v="3.803"/>
        <n v="3.813"/>
        <n v="3.82"/>
        <n v="3.835"/>
        <n v="3.909"/>
        <n v="3.923"/>
        <n v="3.934"/>
        <n v="3.968"/>
        <n v="3.997"/>
        <n v="4.024"/>
        <n v="4.035"/>
        <n v="4.051"/>
        <n v="4.107"/>
        <n v="4.109"/>
        <n v="4.121"/>
        <n v="4.126"/>
        <n v="4.139"/>
        <n v="4.242"/>
        <n v="4.29"/>
        <n v="4.318"/>
        <n v="4.395"/>
        <n v="4.415"/>
        <n v="4.446"/>
        <n v="4.449"/>
        <n v="4.493"/>
        <n v="4.501"/>
        <n v="4.518"/>
        <n v="4.578"/>
        <n v="4.581"/>
        <n v="4.591"/>
        <n v="4.629"/>
        <n v="4.655"/>
        <n v="4.678"/>
        <n v="4.719"/>
        <n v="4.765"/>
        <n v="4.778"/>
        <n v="4.797"/>
        <n v="4.823"/>
        <n v="4.838"/>
        <n v="4.852"/>
        <n v="4.951"/>
        <n v="4.998"/>
        <n v="5.086"/>
        <n v="5.123"/>
        <n v="5.128"/>
        <n v="5.129"/>
        <n v="5.139"/>
        <n v="5.194"/>
        <n v="5.205"/>
        <n v="5.276"/>
        <n v="5.293"/>
        <n v="5.32"/>
        <n v="5.457"/>
        <n v="5.48"/>
        <n v="5.483"/>
        <n v="5.485"/>
        <n v="5.78"/>
        <n v="5.79"/>
        <n v="5.803"/>
        <n v="5.931"/>
        <n v="6.012"/>
        <n v="6.024"/>
        <n v="6.096"/>
        <n v="6.278"/>
        <n v="6.393"/>
        <n v="6.45"/>
        <n v="6.489"/>
        <n v="6.697"/>
        <n v="6.713"/>
        <n v="6.787"/>
        <n v="7.009"/>
        <n v="7.043"/>
        <n v="7.177"/>
        <n v="7.227"/>
        <n v="7.241"/>
        <n v="7.359"/>
        <n v="7.463"/>
        <n v="7.495"/>
        <n v="7.496"/>
        <n v="7.527"/>
        <n v="7.568"/>
        <n v="7.818"/>
        <n v="7.853"/>
        <n v="7.989"/>
        <n v="7.994"/>
        <n v="8.05"/>
        <n v="8.139"/>
        <n v="8.284"/>
        <n v="8.363"/>
        <n v="8.454"/>
        <n v="8.865"/>
        <n v="9.799"/>
        <n v="10.405"/>
        <n v="10.669"/>
        <n v="11.255"/>
        <n v="11.411"/>
        <n v="11.764"/>
        <n v="12.896"/>
        <n v="15.394"/>
        <n v="17.654"/>
      </sharedItems>
    </cacheField>
    <cacheField name="gap" numFmtId="0">
      <sharedItems containsSemiMixedTypes="0" containsString="0" containsNumber="1" minValue="0" maxValue="239" count="259">
        <n v="0"/>
        <n v="8"/>
        <n v="8.7"/>
        <n v="9"/>
        <n v="9.5"/>
        <n v="10"/>
        <n v="10.1"/>
        <n v="10.2"/>
        <n v="10.6"/>
        <n v="10.8"/>
        <n v="10.9"/>
        <n v="11"/>
        <n v="11.1"/>
        <n v="11.3"/>
        <n v="11.4"/>
        <n v="11.5"/>
        <n v="11.7"/>
        <n v="12"/>
        <n v="12.1"/>
        <n v="12.3"/>
        <n v="12.4"/>
        <n v="12.5"/>
        <n v="12.6"/>
        <n v="12.7"/>
        <n v="12.8"/>
        <n v="13"/>
        <n v="13.3"/>
        <n v="13.4"/>
        <n v="13.7"/>
        <n v="13.8"/>
        <n v="14"/>
        <n v="14.1"/>
        <n v="14.2"/>
        <n v="14.6"/>
        <n v="14.7"/>
        <n v="14.8"/>
        <n v="14.9"/>
        <n v="15"/>
        <n v="15.1"/>
        <n v="15.2"/>
        <n v="15.3"/>
        <n v="15.4"/>
        <n v="15.5"/>
        <n v="15.6"/>
        <n v="15.7"/>
        <n v="15.8"/>
        <n v="15.9"/>
        <n v="16"/>
        <n v="16.1"/>
        <n v="16.3"/>
        <n v="16.4"/>
        <n v="16.5"/>
        <n v="16.6"/>
        <n v="16.7"/>
        <n v="16.8"/>
        <n v="17"/>
        <n v="17.1"/>
        <n v="17.4"/>
        <n v="17.5"/>
        <n v="17.6"/>
        <n v="17.7"/>
        <n v="17.8"/>
        <n v="18"/>
        <n v="18.1"/>
        <n v="18.2"/>
        <n v="18.3"/>
        <n v="18.4"/>
        <n v="18.5"/>
        <n v="18.6"/>
        <n v="18.7"/>
        <n v="18.8"/>
        <n v="19"/>
        <n v="19.1"/>
        <n v="19.2"/>
        <n v="19.3"/>
        <n v="19.4"/>
        <n v="19.6"/>
        <n v="19.7"/>
        <n v="20"/>
        <n v="20.2"/>
        <n v="20.3"/>
        <n v="20.4"/>
        <n v="20.5"/>
        <n v="20.6"/>
        <n v="20.7"/>
        <n v="20.8"/>
        <n v="20.9"/>
        <n v="21"/>
        <n v="21.1"/>
        <n v="21.2"/>
        <n v="21.3"/>
        <n v="21.4"/>
        <n v="21.5"/>
        <n v="21.6"/>
        <n v="21.8"/>
        <n v="22"/>
        <n v="22.1"/>
        <n v="22.2"/>
        <n v="22.3"/>
        <n v="22.4"/>
        <n v="22.6"/>
        <n v="22.7"/>
        <n v="22.9"/>
        <n v="23"/>
        <n v="23.1"/>
        <n v="23.2"/>
        <n v="23.6"/>
        <n v="23.7"/>
        <n v="23.9"/>
        <n v="24"/>
        <n v="24.1"/>
        <n v="24.3"/>
        <n v="24.5"/>
        <n v="24.7"/>
        <n v="24.9"/>
        <n v="25"/>
        <n v="25.1"/>
        <n v="25.2"/>
        <n v="25.3"/>
        <n v="25.5"/>
        <n v="25.6"/>
        <n v="25.7"/>
        <n v="25.9"/>
        <n v="26"/>
        <n v="26.2"/>
        <n v="26.4"/>
        <n v="26.5"/>
        <n v="26.6"/>
        <n v="26.7"/>
        <n v="26.9"/>
        <n v="27"/>
        <n v="27.2"/>
        <n v="27.5"/>
        <n v="27.6"/>
        <n v="27.7"/>
        <n v="27.8"/>
        <n v="27.9"/>
        <n v="28"/>
        <n v="28.3"/>
        <n v="28.4"/>
        <n v="28.6"/>
        <n v="28.7"/>
        <n v="28.8"/>
        <n v="29"/>
        <n v="29.1"/>
        <n v="29.8"/>
        <n v="29.9"/>
        <n v="30"/>
        <n v="30.1"/>
        <n v="30.2"/>
        <n v="30.3"/>
        <n v="30.6"/>
        <n v="30.7"/>
        <n v="31"/>
        <n v="31.2"/>
        <n v="31.4"/>
        <n v="31.6"/>
        <n v="31.8"/>
        <n v="31.9"/>
        <n v="32"/>
        <n v="32.2"/>
        <n v="32.3"/>
        <n v="33"/>
        <n v="33.3"/>
        <n v="33.5"/>
        <n v="33.7"/>
        <n v="33.8"/>
        <n v="33.9"/>
        <n v="34"/>
        <n v="34.3"/>
        <n v="34.4"/>
        <n v="34.7"/>
        <n v="35"/>
        <n v="36"/>
        <n v="36.8"/>
        <n v="37"/>
        <n v="37.2"/>
        <n v="37.3"/>
        <n v="37.7"/>
        <n v="37.9"/>
        <n v="38"/>
        <n v="38.4"/>
        <n v="38.6"/>
        <n v="39"/>
        <n v="39.1"/>
        <n v="40"/>
        <n v="40.1"/>
        <n v="40.3"/>
        <n v="41"/>
        <n v="42"/>
        <n v="42.5"/>
        <n v="42.7"/>
        <n v="43"/>
        <n v="44"/>
        <n v="44.8"/>
        <n v="45"/>
        <n v="45.9"/>
        <n v="46"/>
        <n v="46.3"/>
        <n v="46.5"/>
        <n v="46.6"/>
        <n v="46.9"/>
        <n v="47.3"/>
        <n v="47.4"/>
        <n v="48"/>
        <n v="48.2"/>
        <n v="48.4"/>
        <n v="48.8"/>
        <n v="49"/>
        <n v="50"/>
        <n v="50.2"/>
        <n v="50.3"/>
        <n v="51"/>
        <n v="52.8"/>
        <n v="53"/>
        <n v="53.4"/>
        <n v="54"/>
        <n v="54.1"/>
        <n v="55"/>
        <n v="55.4"/>
        <n v="55.79"/>
        <n v="56"/>
        <n v="57"/>
        <n v="57.3"/>
        <n v="58"/>
        <n v="59.3"/>
        <n v="60"/>
        <n v="61"/>
        <n v="61.2"/>
        <n v="62"/>
        <n v="63"/>
        <n v="66"/>
        <n v="68"/>
        <n v="69"/>
        <n v="71"/>
        <n v="71.3"/>
        <n v="74"/>
        <n v="78"/>
        <n v="78.5"/>
        <n v="78.8"/>
        <n v="82"/>
        <n v="92"/>
        <n v="94"/>
        <n v="95.9"/>
        <n v="98"/>
        <n v="108"/>
        <n v="114"/>
        <n v="119"/>
        <n v="123"/>
        <n v="124"/>
        <n v="126"/>
        <n v="129"/>
        <n v="172.8"/>
        <n v="205.2"/>
        <n v="208.8"/>
        <n v="210"/>
        <n v="220"/>
        <n v="229"/>
        <n v="239"/>
      </sharedItems>
    </cacheField>
    <cacheField name="magType" numFmtId="0">
      <sharedItems count="9">
        <s v="mb"/>
        <s v="md"/>
        <s v="Mi"/>
        <s v="ml"/>
        <s v="ms"/>
        <s v="mw"/>
        <s v="mwb"/>
        <s v="mwc"/>
        <s v="mww"/>
      </sharedItems>
    </cacheField>
    <cacheField name="depth" numFmtId="0">
      <sharedItems containsSemiMixedTypes="0" containsString="0" containsNumber="1" minValue="2.7" maxValue="670.81" count="401">
        <n v="2.7"/>
        <n v="4.2"/>
        <n v="5"/>
        <n v="5.81"/>
        <n v="6"/>
        <n v="6.43"/>
        <n v="6.8"/>
        <n v="7"/>
        <n v="7.8"/>
        <n v="8"/>
        <n v="8.2"/>
        <n v="8.22"/>
        <n v="8.382"/>
        <n v="8.45"/>
        <n v="8.7"/>
        <n v="8.8"/>
        <n v="9"/>
        <n v="9.45"/>
        <n v="9.97"/>
        <n v="9.987"/>
        <n v="10"/>
        <n v="10.5"/>
        <n v="11"/>
        <n v="11.1"/>
        <n v="11.19"/>
        <n v="11.2"/>
        <n v="12"/>
        <n v="12.06"/>
        <n v="12.2"/>
        <n v="12.26"/>
        <n v="12.5"/>
        <n v="12.59"/>
        <n v="13"/>
        <n v="13.23"/>
        <n v="13.4"/>
        <n v="13.7"/>
        <n v="13.73"/>
        <n v="14"/>
        <n v="14.06"/>
        <n v="14.2"/>
        <n v="14.27"/>
        <n v="14.497"/>
        <n v="14.83"/>
        <n v="14.86"/>
        <n v="15"/>
        <n v="15.11"/>
        <n v="15.4"/>
        <n v="15.46"/>
        <n v="15.462"/>
        <n v="16"/>
        <n v="16.1"/>
        <n v="16.37"/>
        <n v="16.441"/>
        <n v="16.56"/>
        <n v="16.6"/>
        <n v="16.7"/>
        <n v="17"/>
        <n v="17.4"/>
        <n v="17.925"/>
        <n v="18"/>
        <n v="18.027"/>
        <n v="18.3"/>
        <n v="18.6"/>
        <n v="18.7"/>
        <n v="18.98"/>
        <n v="19"/>
        <n v="19.04"/>
        <n v="19.2"/>
        <n v="19.36"/>
        <n v="19.7"/>
        <n v="19.73"/>
        <n v="19.9"/>
        <n v="20"/>
        <n v="20.1"/>
        <n v="20.2"/>
        <n v="20.49"/>
        <n v="20.522"/>
        <n v="20.59"/>
        <n v="20.74"/>
        <n v="21"/>
        <n v="21.1"/>
        <n v="21.43"/>
        <n v="22"/>
        <n v="22.065"/>
        <n v="22.4"/>
        <n v="22.44"/>
        <n v="22.56"/>
        <n v="22.79"/>
        <n v="22.8"/>
        <n v="22.86"/>
        <n v="22.9"/>
        <n v="22.91"/>
        <n v="23"/>
        <n v="23.4"/>
        <n v="24"/>
        <n v="24.07"/>
        <n v="24.4"/>
        <n v="24.9"/>
        <n v="25"/>
        <n v="25.1"/>
        <n v="25.21"/>
        <n v="25.5"/>
        <n v="25.7"/>
        <n v="26"/>
        <n v="26.3"/>
        <n v="26.59"/>
        <n v="26.943"/>
        <n v="27"/>
        <n v="27.4"/>
        <n v="27.59"/>
        <n v="27.8"/>
        <n v="28"/>
        <n v="28.37"/>
        <n v="28.4"/>
        <n v="28.41"/>
        <n v="28.42"/>
        <n v="28.566"/>
        <n v="28.737"/>
        <n v="28.9"/>
        <n v="28.93"/>
        <n v="29"/>
        <n v="29.95"/>
        <n v="30"/>
        <n v="30.1"/>
        <n v="31"/>
        <n v="31.1"/>
        <n v="31.9"/>
        <n v="32"/>
        <n v="32.571"/>
        <n v="32.8"/>
        <n v="33"/>
        <n v="33.3"/>
        <n v="33.729"/>
        <n v="33.93"/>
        <n v="34"/>
        <n v="34.8"/>
        <n v="35"/>
        <n v="35.981"/>
        <n v="36"/>
        <n v="36.4"/>
        <n v="37"/>
        <n v="38"/>
        <n v="38.12"/>
        <n v="38.182"/>
        <n v="39"/>
        <n v="39.2"/>
        <n v="39.7"/>
        <n v="40"/>
        <n v="40.2"/>
        <n v="40.5"/>
        <n v="40.7"/>
        <n v="40.8"/>
        <n v="41"/>
        <n v="41.54"/>
        <n v="42"/>
        <n v="42.6"/>
        <n v="42.9"/>
        <n v="43"/>
        <n v="43.063"/>
        <n v="43.21"/>
        <n v="43.37"/>
        <n v="43.6"/>
        <n v="43.98"/>
        <n v="44"/>
        <n v="44.26"/>
        <n v="45"/>
        <n v="45.6"/>
        <n v="45.8"/>
        <n v="46"/>
        <n v="46.66"/>
        <n v="46.7"/>
        <n v="47.23"/>
        <n v="47.39"/>
        <n v="47.5"/>
        <n v="48"/>
        <n v="49"/>
        <n v="49.2"/>
        <n v="49.5"/>
        <n v="50"/>
        <n v="50.4"/>
        <n v="51.6"/>
        <n v="51.798"/>
        <n v="53"/>
        <n v="53.19"/>
        <n v="54"/>
        <n v="55"/>
        <n v="55.14"/>
        <n v="55.7"/>
        <n v="56"/>
        <n v="56.6"/>
        <n v="57"/>
        <n v="57.8"/>
        <n v="57.92"/>
        <n v="58"/>
        <n v="59"/>
        <n v="59.9"/>
        <n v="60"/>
        <n v="60.21"/>
        <n v="60.5"/>
        <n v="60.53"/>
        <n v="60.6"/>
        <n v="61.1"/>
        <n v="61.4"/>
        <n v="62"/>
        <n v="62.603"/>
        <n v="63"/>
        <n v="63.4"/>
        <n v="64"/>
        <n v="65.8"/>
        <n v="65.842"/>
        <n v="66"/>
        <n v="67.2"/>
        <n v="68"/>
        <n v="69.1"/>
        <n v="69.727"/>
        <n v="70"/>
        <n v="71.9"/>
        <n v="72.6"/>
        <n v="73"/>
        <n v="73.7"/>
        <n v="78"/>
        <n v="79"/>
        <n v="80"/>
        <n v="81"/>
        <n v="82"/>
        <n v="83"/>
        <n v="85"/>
        <n v="85.7"/>
        <n v="87.2"/>
        <n v="90"/>
        <n v="90.1"/>
        <n v="91"/>
        <n v="91.1"/>
        <n v="93"/>
        <n v="94"/>
        <n v="94.54"/>
        <n v="96"/>
        <n v="100.8"/>
        <n v="101"/>
        <n v="103"/>
        <n v="105"/>
        <n v="105.249"/>
        <n v="105.6"/>
        <n v="105.631"/>
        <n v="106"/>
        <n v="107"/>
        <n v="108"/>
        <n v="109"/>
        <n v="110"/>
        <n v="110.2"/>
        <n v="110.57"/>
        <n v="112"/>
        <n v="113.7"/>
        <n v="114.1"/>
        <n v="115"/>
        <n v="115.6"/>
        <n v="116"/>
        <n v="118"/>
        <n v="119"/>
        <n v="119.6"/>
        <n v="120"/>
        <n v="122"/>
        <n v="122.57"/>
        <n v="122.9"/>
        <n v="123.1"/>
        <n v="123.8"/>
        <n v="125.1"/>
        <n v="125.6"/>
        <n v="126"/>
        <n v="127.9"/>
        <n v="128.1"/>
        <n v="130"/>
        <n v="131.8"/>
        <n v="133"/>
        <n v="134.7"/>
        <n v="135"/>
        <n v="136"/>
        <n v="137"/>
        <n v="138"/>
        <n v="139.4"/>
        <n v="141.9"/>
        <n v="143"/>
        <n v="144.3"/>
        <n v="145"/>
        <n v="146"/>
        <n v="146.82"/>
        <n v="147"/>
        <n v="150"/>
        <n v="151.6"/>
        <n v="152"/>
        <n v="155"/>
        <n v="156"/>
        <n v="159.3"/>
        <n v="164.2"/>
        <n v="164.4"/>
        <n v="164.6"/>
        <n v="165"/>
        <n v="165.49"/>
        <n v="166.2"/>
        <n v="167.3"/>
        <n v="167.404"/>
        <n v="169"/>
        <n v="170"/>
        <n v="171.371"/>
        <n v="173.7"/>
        <n v="174.8"/>
        <n v="176"/>
        <n v="176.4"/>
        <n v="177"/>
        <n v="179.3"/>
        <n v="181"/>
        <n v="183.4"/>
        <n v="185.1"/>
        <n v="187"/>
        <n v="187.1"/>
        <n v="187.589"/>
        <n v="188.6"/>
        <n v="192.955"/>
        <n v="196"/>
        <n v="198"/>
        <n v="198.7"/>
        <n v="200.1"/>
        <n v="200.7"/>
        <n v="201.7"/>
        <n v="204.8"/>
        <n v="205.681"/>
        <n v="206.3"/>
        <n v="206.7"/>
        <n v="209.976"/>
        <n v="210.097"/>
        <n v="212"/>
        <n v="219.96"/>
        <n v="220"/>
        <n v="223"/>
        <n v="224.6"/>
        <n v="225"/>
        <n v="225.6"/>
        <n v="226.5"/>
        <n v="228.4"/>
        <n v="229"/>
        <n v="231"/>
        <n v="236"/>
        <n v="246"/>
        <n v="267"/>
        <n v="280"/>
        <n v="292"/>
        <n v="301"/>
        <n v="350.4"/>
        <n v="371"/>
        <n v="385.5"/>
        <n v="402"/>
        <n v="405.69"/>
        <n v="414.5"/>
        <n v="434"/>
        <n v="460"/>
        <n v="461"/>
        <n v="476"/>
        <n v="525"/>
        <n v="527"/>
        <n v="529"/>
        <n v="533.76"/>
        <n v="535"/>
        <n v="540"/>
        <n v="550"/>
        <n v="552.06"/>
        <n v="553.81"/>
        <n v="559"/>
        <n v="570.41"/>
        <n v="573"/>
        <n v="576"/>
        <n v="577"/>
        <n v="578"/>
        <n v="579"/>
        <n v="583.2"/>
        <n v="587.3"/>
        <n v="591"/>
        <n v="594.028"/>
        <n v="595"/>
        <n v="595.854"/>
        <n v="595.98"/>
        <n v="596.4"/>
        <n v="598.1"/>
        <n v="598.467"/>
        <n v="598.925"/>
        <n v="600"/>
        <n v="602.2"/>
        <n v="602.75"/>
        <n v="606.21"/>
        <n v="610.671"/>
        <n v="614"/>
        <n v="615.42"/>
        <n v="620.56"/>
        <n v="622.73"/>
        <n v="624"/>
        <n v="624.464"/>
        <n v="627.17"/>
        <n v="630"/>
        <n v="630.379"/>
        <n v="660"/>
        <n v="664"/>
        <n v="670.81"/>
      </sharedItems>
    </cacheField>
    <cacheField name="latitude" numFmtId="0">
      <sharedItems containsSemiMixedTypes="0" containsString="0" containsNumber="1" minValue="-61.8484" maxValue="71.6312" count="996">
        <n v="-61.8484"/>
        <n v="-60.857"/>
        <n v="-60.532"/>
        <n v="-60.3026"/>
        <n v="-60.2738"/>
        <n v="-60.2627"/>
        <n v="-60.2152"/>
        <n v="-60.1023"/>
        <n v="-58.6262"/>
        <n v="-58.5446"/>
        <n v="-58.4157"/>
        <n v="-58.3814"/>
        <n v="-57.5959"/>
        <n v="-56.414"/>
        <n v="-56.2409"/>
        <n v="-55.4703"/>
        <n v="-54.2189"/>
        <n v="-54.1325"/>
        <n v="-49.4837"/>
        <n v="-49.312"/>
        <n v="-46.676"/>
        <n v="-45.762"/>
        <n v="-45.104"/>
        <n v="-44.796"/>
        <n v="-43.522"/>
        <n v="-43.4064"/>
        <n v="-43.1219"/>
        <n v="-42.7373"/>
        <n v="-42.6058"/>
        <n v="-42.3205"/>
        <n v="-41.734"/>
        <n v="-41.704"/>
        <n v="-39.3264"/>
        <n v="-39.011"/>
        <n v="-38.355"/>
        <n v="-38.1911"/>
        <n v="-38.067"/>
        <n v="-37.773"/>
        <n v="-37.695"/>
        <n v="-37.6478"/>
        <n v="-37.596"/>
        <n v="-37.3586"/>
        <n v="-36.665"/>
        <n v="-36.422"/>
        <n v="-36.217"/>
        <n v="-36.122"/>
        <n v="-35.4758"/>
        <n v="-35.38"/>
        <n v="-35.2"/>
        <n v="-35.173"/>
        <n v="-34.326"/>
        <n v="-34.29"/>
        <n v="-34.2364"/>
        <n v="-33.2938"/>
        <n v="-33.0375"/>
        <n v="-32.9076"/>
        <n v="-32.6922"/>
        <n v="-32.625"/>
        <n v="-31.7447"/>
        <n v="-31.7275"/>
        <n v="-31.5729"/>
        <n v="-31.5622"/>
        <n v="-31.5173"/>
        <n v="-31.4244"/>
        <n v="-30.985"/>
        <n v="-30.933"/>
        <n v="-30.9255"/>
        <n v="-30.8796"/>
        <n v="-30.805"/>
        <n v="-30.6441"/>
        <n v="-30.608"/>
        <n v="-30.2921"/>
        <n v="-30.2144"/>
        <n v="-30.1147"/>
        <n v="-30.058"/>
        <n v="-30.0528"/>
        <n v="-30.0404"/>
        <n v="-30.0249"/>
        <n v="-29.9772"/>
        <n v="-29.9414"/>
        <n v="-29.9379"/>
        <n v="-29.7466"/>
        <n v="-29.6131"/>
        <n v="-29.539"/>
        <n v="-29.535"/>
        <n v="-29.5097"/>
        <n v="-29.5067"/>
        <n v="-29.4748"/>
        <n v="-29.45"/>
        <n v="-28.906"/>
        <n v="-28.4792"/>
        <n v="-28.094"/>
        <n v="-28.013"/>
        <n v="-27.9285"/>
        <n v="-27.535"/>
        <n v="-27.211"/>
        <n v="-27.017"/>
        <n v="-26.7209"/>
        <n v="-26.0442"/>
        <n v="-25.9678"/>
        <n v="-25.5948"/>
        <n v="-25.415"/>
        <n v="-25.2657"/>
        <n v="-23.944"/>
        <n v="-23.913"/>
        <n v="-23.7852"/>
        <n v="-23.6141"/>
        <n v="-23.548"/>
        <n v="-23.4797"/>
        <n v="-23.34"/>
        <n v="-23.2966"/>
        <n v="-23.2787"/>
        <n v="-23.2593"/>
        <n v="-23.2286"/>
        <n v="-23.1125"/>
        <n v="-23.0622"/>
        <n v="-23.043"/>
        <n v="-23.009"/>
        <n v="-23.008"/>
        <n v="-22.9824"/>
        <n v="-22.954"/>
        <n v="-22.925"/>
        <n v="-22.72"/>
        <n v="-22.6784"/>
        <n v="-22.5732"/>
        <n v="-22.4765"/>
        <n v="-22.361"/>
        <n v="-22.2844"/>
        <n v="-22.247"/>
        <n v="-22.101"/>
        <n v="-22.0629"/>
        <n v="-22.0295"/>
        <n v="-22.015"/>
        <n v="-21.9724"/>
        <n v="-21.9496"/>
        <n v="-21.9449"/>
        <n v="-21.7427"/>
        <n v="-21.6971"/>
        <n v="-21.6857"/>
        <n v="-21.663"/>
        <n v="-21.6484"/>
        <n v="-21.632"/>
        <n v="-21.5027"/>
        <n v="-21.4542"/>
        <n v="-21.422"/>
        <n v="-21.3246"/>
        <n v="-21.324"/>
        <n v="-21.2077"/>
        <n v="-21.1704"/>
        <n v="-21.1036"/>
        <n v="-20.671"/>
        <n v="-20.6588"/>
        <n v="-20.628"/>
        <n v="-20.617"/>
        <n v="-20.5709"/>
        <n v="-20.438"/>
        <n v="-20.3641"/>
        <n v="-20.3113"/>
        <n v="-20.244"/>
        <n v="-20.187"/>
        <n v="-20.071"/>
        <n v="-20.0508"/>
        <n v="-19.99"/>
        <n v="-19.987"/>
        <n v="-19.9807"/>
        <n v="-19.8927"/>
        <n v="-19.8015"/>
        <n v="-19.7819"/>
        <n v="-19.702"/>
        <n v="-19.6903"/>
        <n v="-19.6097"/>
        <n v="-19.544"/>
        <n v="-19.394"/>
        <n v="-19.3733"/>
        <n v="-19.2918"/>
        <n v="-19.2814"/>
        <n v="-19.262"/>
        <n v="-18.9204"/>
        <n v="-18.901"/>
        <n v="-18.685"/>
        <n v="-18.5747"/>
        <n v="-18.4743"/>
        <n v="-18.365"/>
        <n v="-18.3604"/>
        <n v="-18.311"/>
        <n v="-18.308"/>
        <n v="-18.2242"/>
        <n v="-18.1125"/>
        <n v="-17.8735"/>
        <n v="-17.853"/>
        <n v="-17.827"/>
        <n v="-17.745"/>
        <n v="-17.731"/>
        <n v="-17.664"/>
        <n v="-17.6"/>
        <n v="-17.543"/>
        <n v="-17.541"/>
        <n v="-17.2495"/>
        <n v="-17.239"/>
        <n v="-17.1171"/>
        <n v="-17.0309"/>
        <n v="-16.925"/>
        <n v="-16.66"/>
        <n v="-16.592"/>
        <n v="-16.527"/>
        <n v="-16.4796"/>
        <n v="-16.423"/>
        <n v="-16.265"/>
        <n v="-16.1985"/>
        <n v="-16.117"/>
        <n v="-16.086"/>
        <n v="-16.0429"/>
        <n v="-16.0315"/>
        <n v="-15.8815"/>
        <n v="-15.848"/>
        <n v="-15.8385"/>
        <n v="-15.798"/>
        <n v="-15.7675"/>
        <n v="-15.6002"/>
        <n v="-15.595"/>
        <n v="-15.4994"/>
        <n v="-15.489"/>
        <n v="-15.421"/>
        <n v="-15.3983"/>
        <n v="-15.3597"/>
        <n v="-15.3197"/>
        <n v="-15.145"/>
        <n v="-15.0691"/>
        <n v="-14.993"/>
        <n v="-14.9831"/>
        <n v="-14.9383"/>
        <n v="-14.928"/>
        <n v="-14.892"/>
        <n v="-14.8628"/>
        <n v="-14.8595"/>
        <n v="-14.7131"/>
        <n v="-14.705"/>
        <n v="-14.598"/>
        <n v="-14.5884"/>
        <n v="-14.438"/>
        <n v="-14.344"/>
        <n v="-14.3235"/>
        <n v="-14.252"/>
        <n v="-14.0683"/>
        <n v="-13.9805"/>
        <n v="-13.8814"/>
        <n v="-13.8633"/>
        <n v="-13.802"/>
        <n v="-13.698"/>
        <n v="-13.571"/>
        <n v="-13.501"/>
        <n v="-13.481"/>
        <n v="-13.457"/>
        <n v="-13.386"/>
        <n v="-13.336"/>
        <n v="-13.298"/>
        <n v="-13.174"/>
        <n v="-13.093"/>
        <n v="-13.006"/>
        <n v="-12.853"/>
        <n v="-12.592"/>
        <n v="-12.584"/>
        <n v="-12.517"/>
        <n v="-12.0662"/>
        <n v="-12.037"/>
        <n v="-11.61"/>
        <n v="-11.4633"/>
        <n v="-11.2701"/>
        <n v="-11.183"/>
        <n v="-11.1284"/>
        <n v="-11.128"/>
        <n v="-11.1093"/>
        <n v="-11.0559"/>
        <n v="-11.04"/>
        <n v="-11.0355"/>
        <n v="-10.997"/>
        <n v="-10.994"/>
        <n v="-10.951"/>
        <n v="-10.95"/>
        <n v="-10.928"/>
        <n v="-10.878"/>
        <n v="-10.8759"/>
        <n v="-10.86"/>
        <n v="-10.8416"/>
        <n v="-10.838"/>
        <n v="-10.799"/>
        <n v="-10.769"/>
        <n v="-10.749"/>
        <n v="-10.6812"/>
        <n v="-10.68"/>
        <n v="-10.627"/>
        <n v="-10.5372"/>
        <n v="-10.499"/>
        <n v="-10.491"/>
        <n v="-10.4012"/>
        <n v="-10.375"/>
        <n v="-10.3506"/>
        <n v="-10.0598"/>
        <n v="-10.0207"/>
        <n v="-10.004"/>
        <n v="-9.834"/>
        <n v="-9.7963"/>
        <n v="-9.613"/>
        <n v="-9.593"/>
        <n v="-9.362"/>
        <n v="-9.3438"/>
        <n v="-9.3293"/>
        <n v="-9.307"/>
        <n v="-9.284"/>
        <n v="-9.1825"/>
        <n v="-9.0618"/>
        <n v="-9.019"/>
        <n v="-8.8994"/>
        <n v="-8.783"/>
        <n v="-8.726"/>
        <n v="-8.466"/>
        <n v="-8.378"/>
        <n v="-8.3381"/>
        <n v="-8.319"/>
        <n v="-8.294"/>
        <n v="-8.292"/>
        <n v="-8.2581"/>
        <n v="-8.224"/>
        <n v="-8.207"/>
        <n v="-8.194"/>
        <n v="-8.152"/>
        <n v="-8.148"/>
        <n v="-8.144"/>
        <n v="-7.977"/>
        <n v="-7.847"/>
        <n v="-7.782"/>
        <n v="-7.747"/>
        <n v="-7.641"/>
        <n v="-7.6033"/>
        <n v="-7.5924"/>
        <n v="-7.551"/>
        <n v="-7.5082"/>
        <n v="-7.4921"/>
        <n v="-7.44"/>
        <n v="-7.41"/>
        <n v="-7.3718"/>
        <n v="-7.306"/>
        <n v="-7.2968"/>
        <n v="-7.2822"/>
        <n v="-7.2175"/>
        <n v="-7.2168"/>
        <n v="-7.169"/>
        <n v="-7.137"/>
        <n v="-7.133"/>
        <n v="-7.0852"/>
        <n v="-6.9746"/>
        <n v="-6.954"/>
        <n v="-6.9291"/>
        <n v="-6.92"/>
        <n v="-6.903"/>
        <n v="-6.845"/>
        <n v="-6.817"/>
        <n v="-6.7878"/>
        <n v="-6.7762"/>
        <n v="-6.759"/>
        <n v="-6.7547"/>
        <n v="-6.6704"/>
        <n v="-6.6558"/>
        <n v="-6.598"/>
        <n v="-6.5858"/>
        <n v="-6.57"/>
        <n v="-6.549"/>
        <n v="-6.533"/>
        <n v="-6.527"/>
        <n v="-6.518"/>
        <n v="-6.5108"/>
        <n v="-6.485"/>
        <n v="-6.482"/>
        <n v="-6.475"/>
        <n v="-6.4456"/>
        <n v="-6.4078"/>
        <n v="-6.351"/>
        <n v="-6.3043"/>
        <n v="-6.2464"/>
        <n v="-6.242"/>
        <n v="-6.2304"/>
        <n v="-6.224"/>
        <n v="-6.2237"/>
        <n v="-6.133"/>
        <n v="-6.0699"/>
        <n v="-6.029"/>
        <n v="-6.0255"/>
        <n v="-6.0033"/>
        <n v="-6.001"/>
        <n v="-5.9873"/>
        <n v="-5.978"/>
        <n v="-5.966"/>
        <n v="-5.931"/>
        <n v="-5.912"/>
        <n v="-5.881"/>
        <n v="-5.859"/>
        <n v="-5.844"/>
        <n v="-5.8119"/>
        <n v="-5.799"/>
        <n v="-5.771"/>
        <n v="-5.757"/>
        <n v="-5.746"/>
        <n v="-5.724"/>
        <n v="-5.7012"/>
        <n v="-5.678"/>
        <n v="-5.6368"/>
        <n v="-5.591"/>
        <n v="-5.581"/>
        <n v="-5.562"/>
        <n v="-5.5321"/>
        <n v="-5.5024"/>
        <n v="-5.496"/>
        <n v="-5.495"/>
        <n v="-5.486"/>
        <n v="-5.4624"/>
        <n v="-5.462"/>
        <n v="-5.437"/>
        <n v="-5.429"/>
        <n v="-5.375"/>
        <n v="-5.345"/>
        <n v="-5.311"/>
        <n v="-5.233"/>
        <n v="-5.228"/>
        <n v="-5.2005"/>
        <n v="-5.165"/>
        <n v="-5.159"/>
        <n v="-5.157"/>
        <n v="-5.147"/>
        <n v="-5.097"/>
        <n v="-5.095"/>
        <n v="-4.99"/>
        <n v="-4.963"/>
        <n v="-4.9559"/>
        <n v="-4.9521"/>
        <n v="-4.892"/>
        <n v="-4.8626"/>
        <n v="-4.836"/>
        <n v="-4.827"/>
        <n v="-4.8138"/>
        <n v="-4.786"/>
        <n v="-4.766"/>
        <n v="-4.751"/>
        <n v="-4.7294"/>
        <n v="-4.721"/>
        <n v="-4.694"/>
        <n v="-4.68"/>
        <n v="-4.651"/>
        <n v="-4.646"/>
        <n v="-4.612"/>
        <n v="-4.596"/>
        <n v="-4.539"/>
        <n v="-4.5049"/>
        <n v="-4.4898"/>
        <n v="-4.455"/>
        <n v="-4.438"/>
        <n v="-4.3762"/>
        <n v="-4.3724"/>
        <n v="-4.368"/>
        <n v="-4.2924"/>
        <n v="-4.2791"/>
        <n v="-4.2433"/>
        <n v="-4.218"/>
        <n v="-4.11"/>
        <n v="-4.1064"/>
        <n v="-4.102"/>
        <n v="-4.051"/>
        <n v="-4.029"/>
        <n v="-4.022"/>
        <n v="-4.003"/>
        <n v="-3.98"/>
        <n v="-3.917"/>
        <n v="-3.899"/>
        <n v="-3.898"/>
        <n v="-3.828"/>
        <n v="-3.762"/>
        <n v="-3.703"/>
        <n v="-3.6849"/>
        <n v="-3.665"/>
        <n v="-3.615"/>
        <n v="-3.609"/>
        <n v="-3.595"/>
        <n v="-3.562"/>
        <n v="-3.518"/>
        <n v="-3.517"/>
        <n v="-3.487"/>
        <n v="-3.4528"/>
        <n v="-3.302"/>
        <n v="-3.214"/>
        <n v="-3.212"/>
        <n v="-3.12"/>
        <n v="-2.961"/>
        <n v="-2.851"/>
        <n v="-2.778"/>
        <n v="-2.75"/>
        <n v="-2.693"/>
        <n v="-2.6286"/>
        <n v="-2.625"/>
        <n v="-2.52"/>
        <n v="-2.486"/>
        <n v="-2.482"/>
        <n v="-2.405"/>
        <n v="-2.332"/>
        <n v="-2.329"/>
        <n v="-2.312"/>
        <n v="-2.245"/>
        <n v="-2.1862"/>
        <n v="-2.174"/>
        <n v="-2.13"/>
        <n v="-2.0967"/>
        <n v="-2.071"/>
        <n v="-2.045"/>
        <n v="-1.999"/>
        <n v="-1.8146"/>
        <n v="-1.757"/>
        <n v="-1.714"/>
        <n v="-1.689"/>
        <n v="-1.644"/>
        <n v="-1.617"/>
        <n v="-1.511"/>
        <n v="-1.479"/>
        <n v="-1.2923"/>
        <n v="-1.266"/>
        <n v="-1.105"/>
        <n v="-1.034"/>
        <n v="-0.917"/>
        <n v="-0.891"/>
        <n v="-0.781"/>
        <n v="-0.72"/>
        <n v="-0.691"/>
        <n v="-0.6831"/>
        <n v="-0.6212"/>
        <n v="-0.593"/>
        <n v="-0.5858"/>
        <n v="-0.578"/>
        <n v="-0.567"/>
        <n v="-0.544"/>
        <n v="-0.443"/>
        <n v="-0.414"/>
        <n v="-0.2559"/>
        <n v="0.093"/>
        <n v="0.1684"/>
        <n v="0.207"/>
        <n v="0.3819"/>
        <n v="0.4261"/>
        <n v="0.4947"/>
        <n v="0.5126"/>
        <n v="0.587"/>
        <n v="0.729"/>
        <n v="0.802"/>
        <n v="0.8295"/>
        <n v="0.8696"/>
        <n v="0.9604"/>
        <n v="1"/>
        <n v="1.016"/>
        <n v="1.065"/>
        <n v="1.135"/>
        <n v="1.241"/>
        <n v="1.271"/>
        <n v="1.6213"/>
        <n v="1.819"/>
        <n v="1.885"/>
        <n v="1.8929"/>
        <n v="1.929"/>
        <n v="1.9604"/>
        <n v="1.989"/>
        <n v="2.085"/>
        <n v="2.164"/>
        <n v="2.19"/>
        <n v="2.258"/>
        <n v="2.2999"/>
        <n v="2.327"/>
        <n v="2.354"/>
        <n v="2.383"/>
        <n v="2.433"/>
        <n v="2.7401"/>
        <n v="2.768"/>
        <n v="2.824"/>
        <n v="2.872"/>
        <n v="2.908"/>
        <n v="2.965"/>
        <n v="2.966"/>
        <n v="3.295"/>
        <n v="3.748"/>
        <n v="3.849"/>
        <n v="3.886"/>
        <n v="3.8965"/>
        <n v="4.4782"/>
        <n v="4.695"/>
        <n v="4.756"/>
        <n v="5.0074"/>
        <n v="5.139"/>
        <n v="5.2834"/>
        <n v="5.293"/>
        <n v="5.397"/>
        <n v="5.41"/>
        <n v="5.5043"/>
        <n v="5.7732"/>
        <n v="5.8983"/>
        <n v="5.9045"/>
        <n v="6.033"/>
        <n v="6.1572"/>
        <n v="6.4547"/>
        <n v="6.497"/>
        <n v="6.631"/>
        <n v="6.6969"/>
        <n v="6.7567"/>
        <n v="6.8431"/>
        <n v="6.898"/>
        <n v="6.9098"/>
        <n v="6.91"/>
        <n v="7.042"/>
        <n v="7.2096"/>
        <n v="7.5904"/>
        <n v="7.6712"/>
        <n v="7.742"/>
        <n v="7.881"/>
        <n v="7.92"/>
        <n v="7.929"/>
        <n v="7.9401"/>
        <n v="8.416"/>
        <n v="8.879"/>
        <n v="8.8894"/>
        <n v="9.044"/>
        <n v="9.454"/>
        <n v="9.463"/>
        <n v="9.5147"/>
        <n v="9.79"/>
        <n v="9.8796"/>
        <n v="9.9071"/>
        <n v="9.999"/>
        <n v="10.085"/>
        <n v="10.086"/>
        <n v="10.598"/>
        <n v="10.701"/>
        <n v="10.7731"/>
        <n v="10.811"/>
        <n v="11.005"/>
        <n v="11.112"/>
        <n v="11.1269"/>
        <n v="11.245"/>
        <n v="11.422"/>
        <n v="11.5538"/>
        <n v="11.642"/>
        <n v="11.657"/>
        <n v="11.763"/>
        <n v="11.905"/>
        <n v="11.9097"/>
        <n v="12.0065"/>
        <n v="12.025"/>
        <n v="12.139"/>
        <n v="12.1598"/>
        <n v="12.5262"/>
        <n v="12.614"/>
        <n v="12.626"/>
        <n v="12.686"/>
        <n v="12.814"/>
        <n v="13.036"/>
        <n v="13.049"/>
        <n v="13.088"/>
        <n v="13.1994"/>
        <n v="13.351"/>
        <n v="13.554"/>
        <n v="13.626"/>
        <n v="13.667"/>
        <n v="13.671"/>
        <n v="13.6989"/>
        <n v="13.7174"/>
        <n v="13.7641"/>
        <n v="13.849"/>
        <n v="13.8672"/>
        <n v="13.925"/>
        <n v="13.986"/>
        <n v="13.988"/>
        <n v="14.099"/>
        <n v="14.101"/>
        <n v="14.129"/>
        <n v="14.374"/>
        <n v="14.423"/>
        <n v="14.6682"/>
        <n v="14.6802"/>
        <n v="14.724"/>
        <n v="14.9091"/>
        <n v="14.944"/>
        <n v="15.0222"/>
        <n v="15.766"/>
        <n v="15.782"/>
        <n v="15.8015"/>
        <n v="15.9163"/>
        <n v="15.978"/>
        <n v="16.059"/>
        <n v="16.333"/>
        <n v="16.357"/>
        <n v="16.3855"/>
        <n v="16.493"/>
        <n v="16.731"/>
        <n v="16.779"/>
        <n v="16.84"/>
        <n v="16.9502"/>
        <n v="16.985"/>
        <n v="17.208"/>
        <n v="17.397"/>
        <n v="17.4825"/>
        <n v="17.5978"/>
        <n v="17.6"/>
        <n v="17.986"/>
        <n v="18.198"/>
        <n v="18.219"/>
        <n v="18.229"/>
        <n v="18.33"/>
        <n v="18.3521"/>
        <n v="18.3667"/>
        <n v="18.386"/>
        <n v="18.443"/>
        <n v="18.5429"/>
        <n v="18.5499"/>
        <n v="18.684"/>
        <n v="18.728"/>
        <n v="18.77"/>
        <n v="18.8239"/>
        <n v="18.958"/>
        <n v="19.055"/>
        <n v="19.3182"/>
        <n v="19.4193"/>
        <n v="19.877"/>
        <n v="19.917"/>
        <n v="20.0196"/>
        <n v="20.687"/>
        <n v="20.9228"/>
        <n v="21.799"/>
        <n v="21.898"/>
        <n v="21.966"/>
        <n v="21.974"/>
        <n v="22.306"/>
        <n v="23.005"/>
        <n v="23.029"/>
        <n v="23.039"/>
        <n v="23.0944"/>
        <n v="23.1444"/>
        <n v="23.3421"/>
        <n v="23.419"/>
        <n v="23.5414"/>
        <n v="23.738"/>
        <n v="23.772"/>
        <n v="23.954"/>
        <n v="24.279"/>
        <n v="24.53"/>
        <n v="24.696"/>
        <n v="24.8036"/>
        <n v="24.913"/>
        <n v="25.93"/>
        <n v="26.0913"/>
        <n v="26.092"/>
        <n v="26.951"/>
        <n v="27.1825"/>
        <n v="27.291"/>
        <n v="27.4312"/>
        <n v="27.73"/>
        <n v="27.7375"/>
        <n v="27.7711"/>
        <n v="27.8087"/>
        <n v="27.8386"/>
        <n v="27.929"/>
        <n v="28.033"/>
        <n v="28.094"/>
        <n v="28.164"/>
        <n v="28.2244"/>
        <n v="28.2305"/>
        <n v="28.343"/>
        <n v="28.412"/>
        <n v="28.696"/>
        <n v="28.777"/>
        <n v="28.826"/>
        <n v="28.9386"/>
        <n v="28.995"/>
        <n v="29.039"/>
        <n v="29.218"/>
        <n v="29.7263"/>
        <n v="29.9377"/>
        <n v="29.976"/>
        <n v="30.154"/>
        <n v="30.308"/>
        <n v="30.512"/>
        <n v="30.568"/>
        <n v="30.901"/>
        <n v="31.0009"/>
        <n v="31.002"/>
        <n v="31.789"/>
        <n v="31.885"/>
        <n v="32.2862"/>
        <n v="32.7906"/>
        <n v="32.821"/>
        <n v="33.07"/>
        <n v="33.165"/>
        <n v="33.167"/>
        <n v="33.184"/>
        <n v="33.1926"/>
        <n v="33.205"/>
        <n v="33.807"/>
        <n v="33.825"/>
        <n v="33.901"/>
        <n v="34.064"/>
        <n v="34.083"/>
        <n v="34.1818"/>
        <n v="34.539"/>
        <n v="34.556"/>
        <n v="34.5861"/>
        <n v="34.6033"/>
        <n v="34.9109"/>
        <n v="35.069"/>
        <n v="35.1456"/>
        <n v="35.345"/>
        <n v="35.456"/>
        <n v="35.49"/>
        <n v="35.5142"/>
        <n v="35.626"/>
        <n v="35.7005"/>
        <n v="35.7695"/>
        <n v="35.9053"/>
        <n v="35.946"/>
        <n v="36.164"/>
        <n v="36.166"/>
        <n v="36.281"/>
        <n v="36.311"/>
        <n v="36.345"/>
        <n v="36.357"/>
        <n v="36.411"/>
        <n v="36.419"/>
        <n v="36.4725"/>
        <n v="36.501"/>
        <n v="36.502"/>
        <n v="36.512"/>
        <n v="36.522"/>
        <n v="36.5227"/>
        <n v="36.5244"/>
        <n v="36.808"/>
        <n v="36.9293"/>
        <n v="36.964"/>
        <n v="37.001"/>
        <n v="37.0052"/>
        <n v="37.106"/>
        <n v="37.1557"/>
        <n v="37.2012"/>
        <n v="37.226"/>
        <n v="37.336"/>
        <n v="37.353"/>
        <n v="37.3931"/>
        <n v="37.4135"/>
        <n v="37.5203"/>
        <n v="37.535"/>
        <n v="37.55"/>
        <n v="37.552"/>
        <n v="37.57"/>
        <n v="37.661"/>
        <n v="37.6856"/>
        <n v="37.7015"/>
        <n v="37.745"/>
        <n v="37.812"/>
        <n v="37.8167"/>
        <n v="37.89"/>
        <n v="37.8973"/>
        <n v="38.0235"/>
        <n v="38.058"/>
        <n v="38.0726"/>
        <n v="38.089"/>
        <n v="38.1689"/>
        <n v="38.2107"/>
        <n v="38.2296"/>
        <n v="38.276"/>
        <n v="38.297"/>
        <n v="38.401"/>
        <n v="38.4312"/>
        <n v="38.435"/>
        <n v="38.4752"/>
        <n v="38.573"/>
        <n v="38.67"/>
        <n v="38.721"/>
        <n v="38.849"/>
        <n v="38.9056"/>
        <n v="39.03"/>
        <n v="39.059"/>
        <n v="39.241"/>
        <n v="39.2732"/>
        <n v="39.402"/>
        <n v="39.533"/>
        <n v="39.566"/>
        <n v="39.802"/>
        <n v="39.8558"/>
        <n v="39.955"/>
        <n v="40.149"/>
        <n v="40.167"/>
        <n v="40.245"/>
        <n v="40.273"/>
        <n v="40.2893"/>
        <n v="40.4535"/>
        <n v="40.652"/>
        <n v="40.748"/>
        <n v="40.758"/>
        <n v="40.8287"/>
        <n v="41.292"/>
        <n v="41.774"/>
        <n v="41.815"/>
        <n v="41.892"/>
        <n v="41.9723"/>
        <n v="42.45"/>
        <n v="42.648"/>
        <n v="42.6861"/>
        <n v="42.77"/>
        <n v="42.8621"/>
        <n v="42.9"/>
        <n v="43.006"/>
        <n v="43.046"/>
        <n v="43.207"/>
        <n v="44.4646"/>
        <n v="44.663"/>
        <n v="45.324"/>
        <n v="45.6161"/>
        <n v="46.221"/>
        <n v="46.243"/>
        <n v="46.592"/>
        <n v="47.149"/>
        <n v="48.786"/>
        <n v="48.9638"/>
        <n v="49.2586"/>
        <n v="49.277"/>
        <n v="49.2902"/>
        <n v="49.297"/>
        <n v="49.3346"/>
        <n v="49.6388"/>
        <n v="49.8"/>
        <n v="50.038"/>
        <n v="50.211"/>
        <n v="50.954"/>
        <n v="50.958"/>
        <n v="51.148"/>
        <n v="51.2407"/>
        <n v="51.4234"/>
        <n v="51.478"/>
        <n v="51.537"/>
        <n v="51.5573"/>
        <n v="51.564"/>
        <n v="51.587"/>
        <n v="51.708"/>
        <n v="51.842"/>
        <n v="51.8486"/>
        <n v="52.056"/>
        <n v="52.235"/>
        <n v="52.376"/>
        <n v="52.3909"/>
        <n v="52.48"/>
        <n v="52.502"/>
        <n v="52.6252"/>
        <n v="52.629"/>
        <n v="52.6563"/>
        <n v="52.7772"/>
        <n v="52.788"/>
        <n v="52.8549"/>
        <n v="52.886"/>
        <n v="53.1995"/>
        <n v="53.826"/>
        <n v="53.9776"/>
        <n v="54.0312"/>
        <n v="54.3844"/>
        <n v="54.4434"/>
        <n v="54.49"/>
        <n v="54.662"/>
        <n v="54.7018"/>
        <n v="54.841"/>
        <n v="54.892"/>
        <n v="55.0999"/>
        <n v="55.1079"/>
        <n v="55.228"/>
        <n v="55.2364"/>
        <n v="55.2657"/>
        <n v="55.3154"/>
        <n v="55.4742"/>
        <n v="55.492"/>
        <n v="55.682"/>
        <n v="56.0039"/>
        <n v="56.2581"/>
        <n v="56.594"/>
        <n v="56.7744"/>
        <n v="56.9401"/>
        <n v="57.3424"/>
        <n v="57.3546"/>
        <n v="58.775"/>
        <n v="59.6204"/>
        <n v="60.491"/>
        <n v="60.772"/>
        <n v="60.949"/>
        <n v="61.3464"/>
        <n v="63.5141"/>
        <n v="63.5144"/>
        <n v="63.966"/>
        <n v="63.98"/>
        <n v="67.631"/>
        <n v="71.6312"/>
      </sharedItems>
    </cacheField>
    <cacheField name="longitude" numFmtId="0">
      <sharedItems containsSemiMixedTypes="0" containsString="0" containsNumber="1" minValue="-179.968" maxValue="179.662" count="992">
        <n v="-179.968"/>
        <n v="-179.511"/>
        <n v="-179.376"/>
        <n v="-179.373"/>
        <n v="-178.959"/>
        <n v="-178.927"/>
        <n v="-178.804"/>
        <n v="-178.787"/>
        <n v="-178.6"/>
        <n v="-178.57"/>
        <n v="-178.4"/>
        <n v="-178.346"/>
        <n v="-178.323"/>
        <n v="-178.244"/>
        <n v="-178.204"/>
        <n v="-178.153"/>
        <n v="-178.1"/>
        <n v="-178.063"/>
        <n v="-178.026"/>
        <n v="-177.897"/>
        <n v="-177.881"/>
        <n v="-177.842"/>
        <n v="-177.838"/>
        <n v="-177.773"/>
        <n v="-177.759"/>
        <n v="-177.74"/>
        <n v="-177.725"/>
        <n v="-177.668"/>
        <n v="-177.632"/>
        <n v="-177.607"/>
        <n v="-177.516"/>
        <n v="-177.356"/>
        <n v="-177.232"/>
        <n v="-177.224"/>
        <n v="-177.208"/>
        <n v="-177.064"/>
        <n v="-176.847"/>
        <n v="-176.772"/>
        <n v="-176.729"/>
        <n v="-176.619"/>
        <n v="-176.545"/>
        <n v="-176.46"/>
        <n v="-176.376"/>
        <n v="-176.34"/>
        <n v="-176.235"/>
        <n v="-176.112"/>
        <n v="-175.51"/>
        <n v="-175.272"/>
        <n v="-175.23"/>
        <n v="-174.937"/>
        <n v="-174.767"/>
        <n v="-174.705"/>
        <n v="-174.66"/>
        <n v="-174.608"/>
        <n v="-174.248"/>
        <n v="-174.123"/>
        <n v="-173.907"/>
        <n v="-173.168"/>
        <n v="-173.029"/>
        <n v="-172.968"/>
        <n v="-172.129"/>
        <n v="-172.095"/>
        <n v="-172.033"/>
        <n v="-169.446"/>
        <n v="-169.123"/>
        <n v="-168.15"/>
        <n v="-168.08"/>
        <n v="-167.917"/>
        <n v="-167.736"/>
        <n v="-160.796"/>
        <n v="-160.699"/>
        <n v="-159.675"/>
        <n v="-158.477"/>
        <n v="-157.917"/>
        <n v="-157.829"/>
        <n v="-157.707"/>
        <n v="-157.68"/>
        <n v="-156.492"/>
        <n v="-156.43"/>
        <n v="-155.935"/>
        <n v="-155"/>
        <n v="-154.701"/>
        <n v="-154.347"/>
        <n v="-154.198"/>
        <n v="-153.339"/>
        <n v="-153.281"/>
        <n v="-149.955"/>
        <n v="-149.166"/>
        <n v="-147.912"/>
        <n v="-147.453"/>
        <n v="-134.859"/>
        <n v="-132.101"/>
        <n v="-129.724"/>
        <n v="-129.412"/>
        <n v="-129.289"/>
        <n v="-128.772"/>
        <n v="-127.732"/>
        <n v="-126.194"/>
        <n v="-125.953"/>
        <n v="-125.134"/>
        <n v="-124.692"/>
        <n v="-122.727"/>
        <n v="-121.101"/>
        <n v="-117.85"/>
        <n v="-117.599"/>
        <n v="-116.265"/>
        <n v="-115.295"/>
        <n v="-115.118"/>
        <n v="-113.104"/>
        <n v="-112.903"/>
        <n v="-112.117"/>
        <n v="-110.321"/>
        <n v="-110.284"/>
        <n v="-109.623"/>
        <n v="-109.156"/>
        <n v="-106.934"/>
        <n v="-104.205"/>
        <n v="-104.104"/>
        <n v="-103.252"/>
        <n v="-102.913"/>
        <n v="-102.756"/>
        <n v="-102.689"/>
        <n v="-102.48"/>
        <n v="-101.604"/>
        <n v="-100.972"/>
        <n v="-100.965"/>
        <n v="-100.865"/>
        <n v="-99.789"/>
        <n v="-99.7877"/>
        <n v="-98.597"/>
        <n v="-98.4887"/>
        <n v="-98.231"/>
        <n v="-98.216"/>
        <n v="-98.07"/>
        <n v="-97.9787"/>
        <n v="-97.436"/>
        <n v="-96.931"/>
        <n v="-95.9533"/>
        <n v="-94.338"/>
        <n v="-94.304"/>
        <n v="-93.8993"/>
        <n v="-93.633"/>
        <n v="-93.469"/>
        <n v="-92.4614"/>
        <n v="-92.4527"/>
        <n v="-92.364"/>
        <n v="-92.164"/>
        <n v="-92.0092"/>
        <n v="-91.895"/>
        <n v="-91.473"/>
        <n v="-90.9718"/>
        <n v="-90.774"/>
        <n v="-90.618"/>
        <n v="-89.3056"/>
        <n v="-88.938"/>
        <n v="-88.8968"/>
        <n v="-88.808"/>
        <n v="-88.66"/>
        <n v="-88.59"/>
        <n v="-88.33"/>
        <n v="-88.1265"/>
        <n v="-88.1225"/>
        <n v="-87.8542"/>
        <n v="-86.9919"/>
        <n v="-86.926"/>
        <n v="-86.856"/>
        <n v="-86.772"/>
        <n v="-86.665"/>
        <n v="-86.217"/>
        <n v="-86.172"/>
        <n v="-85.8779"/>
        <n v="-85.315"/>
        <n v="-85.298"/>
        <n v="-84.4865"/>
        <n v="-84.159"/>
        <n v="-83.52"/>
        <n v="-82.8813"/>
        <n v="-82.824"/>
        <n v="-82.793"/>
        <n v="-82.6865"/>
        <n v="-82.6576"/>
        <n v="-82.3396"/>
        <n v="-82.3045"/>
        <n v="-81.409"/>
        <n v="-80.393"/>
        <n v="-79.9218"/>
        <n v="-79.8001"/>
        <n v="-79.7899"/>
        <n v="-79.616"/>
        <n v="-79.587"/>
        <n v="-78.756"/>
        <n v="-78.581"/>
        <n v="-78.1999"/>
        <n v="-77.963"/>
        <n v="-77.881"/>
        <n v="-77.851"/>
        <n v="-77.838"/>
        <n v="-77.829"/>
        <n v="-77.508"/>
        <n v="-77.393"/>
        <n v="-77.306"/>
        <n v="-77.1231"/>
        <n v="-77.0505"/>
        <n v="-76.9395"/>
        <n v="-76.8461"/>
        <n v="-76.681"/>
        <n v="-76.677"/>
        <n v="-76.603"/>
        <n v="-76.398"/>
        <n v="-76.362"/>
        <n v="-75.966"/>
        <n v="-75.749"/>
        <n v="-75.675"/>
        <n v="-75.577"/>
        <n v="-75.2697"/>
        <n v="-75.048"/>
        <n v="-74.9067"/>
        <n v="-74.7092"/>
        <n v="-74.525"/>
        <n v="-74.5112"/>
        <n v="-74.238"/>
        <n v="-73.987"/>
        <n v="-73.9413"/>
        <n v="-73.641"/>
        <n v="-73.5714"/>
        <n v="-73.4804"/>
        <n v="-73.406"/>
        <n v="-73.374"/>
        <n v="-73.326"/>
        <n v="-73.31"/>
        <n v="-73.257"/>
        <n v="-73.163"/>
        <n v="-72.96"/>
        <n v="-72.898"/>
        <n v="-72.834"/>
        <n v="-72.662"/>
        <n v="-72.571"/>
        <n v="-72.3102"/>
        <n v="-72.217"/>
        <n v="-72.077"/>
        <n v="-72.0617"/>
        <n v="-72.0585"/>
        <n v="-72.0068"/>
        <n v="-71.891"/>
        <n v="-71.872"/>
        <n v="-71.804"/>
        <n v="-71.799"/>
        <n v="-71.715"/>
        <n v="-71.6876"/>
        <n v="-71.6744"/>
        <n v="-71.649"/>
        <n v="-71.637"/>
        <n v="-71.587"/>
        <n v="-71.5215"/>
        <n v="-71.4519"/>
        <n v="-71.4262"/>
        <n v="-71.417"/>
        <n v="-71.41"/>
        <n v="-71.3937"/>
        <n v="-71.3815"/>
        <n v="-71.3792"/>
        <n v="-71.365"/>
        <n v="-71.2574"/>
        <n v="-71.22"/>
        <n v="-71.1958"/>
        <n v="-71.1647"/>
        <n v="-71.124"/>
        <n v="-71.056"/>
        <n v="-71.022"/>
        <n v="-71.0184"/>
        <n v="-70.9455"/>
        <n v="-70.9437"/>
        <n v="-70.8284"/>
        <n v="-70.7691"/>
        <n v="-70.7022"/>
        <n v="-70.653"/>
        <n v="-70.586"/>
        <n v="-70.5756"/>
        <n v="-70.525"/>
        <n v="-70.4931"/>
        <n v="-70.3731"/>
        <n v="-70.321"/>
        <n v="-70.3081"/>
        <n v="-70.294"/>
        <n v="-70.237"/>
        <n v="-70.207"/>
        <n v="-70.182"/>
        <n v="-70.1546"/>
        <n v="-70.093"/>
        <n v="-69.89"/>
        <n v="-69.197"/>
        <n v="-69.171"/>
        <n v="-68.4204"/>
        <n v="-68.329"/>
        <n v="-67.895"/>
        <n v="-66.7236"/>
        <n v="-66.688"/>
        <n v="-66.5108"/>
        <n v="-66.452"/>
        <n v="-65.431"/>
        <n v="-63.9047"/>
        <n v="-63.486"/>
        <n v="-63.0394"/>
        <n v="-63.0058"/>
        <n v="-62.9019"/>
        <n v="-61.274"/>
        <n v="-61.0955"/>
        <n v="-60.892"/>
        <n v="-58.9272"/>
        <n v="-58.5479"/>
        <n v="-55.559"/>
        <n v="-47.0621"/>
        <n v="-46.4011"/>
        <n v="-43.411"/>
        <n v="-42.594"/>
        <n v="-29.7046"/>
        <n v="-28.3669"/>
        <n v="-26.9353"/>
        <n v="-26.8332"/>
        <n v="-26.5801"/>
        <n v="-26.3856"/>
        <n v="-25.7432"/>
        <n v="-25.3206"/>
        <n v="-25.304"/>
        <n v="-25.1874"/>
        <n v="-25.07"/>
        <n v="-24.9992"/>
        <n v="-24.4608"/>
        <n v="-23.3318"/>
        <n v="-20.758"/>
        <n v="-20.487"/>
        <n v="-11.2431"/>
        <n v="2.1628"/>
        <n v="3.634"/>
        <n v="13.0961"/>
        <n v="20.5565"/>
        <n v="20.6"/>
        <n v="20.656"/>
        <n v="21.67"/>
        <n v="21.695"/>
        <n v="21.863"/>
        <n v="22.283"/>
        <n v="23.212"/>
        <n v="23.2523"/>
        <n v="24.244"/>
        <n v="25.1558"/>
        <n v="25.3889"/>
        <n v="25.7101"/>
        <n v="26.7953"/>
        <n v="27.4139"/>
        <n v="29.83"/>
        <n v="29.864"/>
        <n v="30.709"/>
        <n v="31.161"/>
        <n v="31.271"/>
        <n v="31.9095"/>
        <n v="32.126"/>
        <n v="33.583"/>
        <n v="34.799"/>
        <n v="36.8306"/>
        <n v="36.9997"/>
        <n v="37.203"/>
        <n v="39.0609"/>
        <n v="42.3568"/>
        <n v="43.508"/>
        <n v="45.9592"/>
        <n v="49.047"/>
        <n v="49.946"/>
        <n v="49.954"/>
        <n v="54.799"/>
        <n v="57.193"/>
        <n v="57.291"/>
        <n v="57.605"/>
        <n v="58.311"/>
        <n v="59.18"/>
        <n v="59.809"/>
        <n v="61.996"/>
        <n v="63.951"/>
        <n v="65.5009"/>
        <n v="65.5052"/>
        <n v="66.3745"/>
        <n v="68.208"/>
        <n v="70.11"/>
        <n v="70.232"/>
        <n v="70.3676"/>
        <n v="70.482"/>
        <n v="70.743"/>
        <n v="70.945"/>
        <n v="70.9787"/>
        <n v="71.029"/>
        <n v="71.093"/>
        <n v="71.1311"/>
        <n v="71.24"/>
        <n v="72.7797"/>
        <n v="73.2077"/>
        <n v="73.588"/>
        <n v="73.824"/>
        <n v="73.9776"/>
        <n v="78.133"/>
        <n v="79.403"/>
        <n v="81.467"/>
        <n v="82.5864"/>
        <n v="83.52"/>
        <n v="84.7314"/>
        <n v="84.8216"/>
        <n v="86.0173"/>
        <n v="86.0655"/>
        <n v="87.325"/>
        <n v="87.721"/>
        <n v="87.813"/>
        <n v="88.155"/>
        <n v="90.541"/>
        <n v="91.824"/>
        <n v="91.936"/>
        <n v="92.19"/>
        <n v="92.375"/>
        <n v="92.463"/>
        <n v="92.831"/>
        <n v="92.902"/>
        <n v="92.958"/>
        <n v="93.063"/>
        <n v="93.068"/>
        <n v="93.21"/>
        <n v="93.6505"/>
        <n v="94.3299"/>
        <n v="94.569"/>
        <n v="94.648"/>
        <n v="94.8654"/>
        <n v="95.592"/>
        <n v="95.672"/>
        <n v="95.885"/>
        <n v="95.911"/>
        <n v="95.964"/>
        <n v="95.982"/>
        <n v="95.991"/>
        <n v="96.018"/>
        <n v="96.085"/>
        <n v="96.1678"/>
        <n v="96.548"/>
        <n v="96.6475"/>
        <n v="96.786"/>
        <n v="97.041"/>
        <n v="97.048"/>
        <n v="97.05"/>
        <n v="97.082"/>
        <n v="97.108"/>
        <n v="97.453"/>
        <n v="97.893"/>
        <n v="98.2551"/>
        <n v="98.459"/>
        <n v="98.5339"/>
        <n v="98.6034"/>
        <n v="99.196"/>
        <n v="99.261"/>
        <n v="99.49"/>
        <n v="99.607"/>
        <n v="99.627"/>
        <n v="99.668"/>
        <n v="99.779"/>
        <n v="99.808"/>
        <n v="99.822"/>
        <n v="99.867"/>
        <n v="99.891"/>
        <n v="99.931"/>
        <n v="99.972"/>
        <n v="100.082"/>
        <n v="100.139"/>
        <n v="100.141"/>
        <n v="100.276"/>
        <n v="100.443"/>
        <n v="100.665"/>
        <n v="100.738"/>
        <n v="100.841"/>
        <n v="100.991"/>
        <n v="101.02"/>
        <n v="101.095"/>
        <n v="101.215"/>
        <n v="101.299"/>
        <n v="101.367"/>
        <n v="101.436"/>
        <n v="101.524"/>
        <n v="101.776"/>
        <n v="101.905"/>
        <n v="102.087"/>
        <n v="102.102"/>
        <n v="102.279"/>
        <n v="102.562"/>
        <n v="102.888"/>
        <n v="103.322"/>
        <n v="103.855"/>
        <n v="104.791"/>
        <n v="105.251"/>
        <n v="105.555"/>
        <n v="105.63"/>
        <n v="107.236"/>
        <n v="107.297"/>
        <n v="107.419"/>
        <n v="108.163"/>
        <n v="108.174"/>
        <n v="110.678"/>
        <n v="112.033"/>
        <n v="112.413"/>
        <n v="116.438"/>
        <n v="116.627"/>
        <n v="118.37"/>
        <n v="118.467"/>
        <n v="118.631"/>
        <n v="119.584"/>
        <n v="119.74"/>
        <n v="119.802"/>
        <n v="119.846"/>
        <n v="119.931"/>
        <n v="120.254"/>
        <n v="120.358"/>
        <n v="120.431"/>
        <n v="120.45"/>
        <n v="120.493"/>
        <n v="120.534"/>
        <n v="120.547"/>
        <n v="120.713"/>
        <n v="120.743"/>
        <n v="120.809"/>
        <n v="120.982"/>
        <n v="121.158"/>
        <n v="121.307"/>
        <n v="121.348"/>
        <n v="121.362"/>
        <n v="121.498"/>
        <n v="121.636"/>
        <n v="121.937"/>
        <n v="122.091"/>
        <n v="122.129"/>
        <n v="122.179"/>
        <n v="122.2"/>
        <n v="122.535"/>
        <n v="122.536"/>
        <n v="122.58"/>
        <n v="122.589"/>
        <n v="122.617"/>
        <n v="122.694"/>
        <n v="122.734"/>
        <n v="122.839"/>
        <n v="123.074"/>
        <n v="123.126"/>
        <n v="123.206"/>
        <n v="123.337"/>
        <n v="123.48"/>
        <n v="123.493"/>
        <n v="123.573"/>
        <n v="123.907"/>
        <n v="124.117"/>
        <n v="124.13"/>
        <n v="124.249"/>
        <n v="124.629"/>
        <n v="124.868"/>
        <n v="124.875"/>
        <n v="124.891"/>
        <n v="125.008"/>
        <n v="125.066"/>
        <n v="125.127"/>
        <n v="125.154"/>
        <n v="125.174"/>
        <n v="125.178"/>
        <n v="125.297"/>
        <n v="125.308"/>
        <n v="125.416"/>
        <n v="125.452"/>
        <n v="125.63"/>
        <n v="125.779"/>
        <n v="126.189"/>
        <n v="126.249"/>
        <n v="126.282"/>
        <n v="126.284"/>
        <n v="126.334"/>
        <n v="126.387"/>
        <n v="126.416"/>
        <n v="126.421"/>
        <n v="126.48"/>
        <n v="126.522"/>
        <n v="126.575"/>
        <n v="126.579"/>
        <n v="126.638"/>
        <n v="126.742"/>
        <n v="126.758"/>
        <n v="126.764"/>
        <n v="126.837"/>
        <n v="126.862"/>
        <n v="126.899"/>
        <n v="126.921"/>
        <n v="126.976"/>
        <n v="127.051"/>
        <n v="127.056"/>
        <n v="127.214"/>
        <n v="127.363"/>
        <n v="127.367"/>
        <n v="127.394"/>
        <n v="127.4"/>
        <n v="127.464"/>
        <n v="127.517"/>
        <n v="127.581"/>
        <n v="127.647"/>
        <n v="127.921"/>
        <n v="128.02"/>
        <n v="128.034"/>
        <n v="128.221"/>
        <n v="128.262"/>
        <n v="128.37"/>
        <n v="128.425"/>
        <n v="128.855"/>
        <n v="128.873"/>
        <n v="128.946"/>
        <n v="129.022"/>
        <n v="129.151"/>
        <n v="129.169"/>
        <n v="129.508"/>
        <n v="129.782"/>
        <n v="129.785"/>
        <n v="129.825"/>
        <n v="129.933"/>
        <n v="130.039"/>
        <n v="130.131"/>
        <n v="130.148"/>
        <n v="130.175"/>
        <n v="130.385"/>
        <n v="130.754"/>
        <n v="131.093"/>
        <n v="131.262"/>
        <n v="131.314"/>
        <n v="131.468"/>
        <n v="132.526"/>
        <n v="132.885"/>
        <n v="133.091"/>
        <n v="133.13"/>
        <n v="133.134"/>
        <n v="133.305"/>
        <n v="133.76"/>
        <n v="133.973"/>
        <n v="134.03"/>
        <n v="134.276"/>
        <n v="134.297"/>
        <n v="134.85"/>
        <n v="135.023"/>
        <n v="135.339"/>
        <n v="135.404"/>
        <n v="135.538"/>
        <n v="135.84"/>
        <n v="136.225"/>
        <n v="136.484"/>
        <n v="136.543"/>
        <n v="136.588"/>
        <n v="136.618"/>
        <n v="136.952"/>
        <n v="137.071"/>
        <n v="137.227"/>
        <n v="137.944"/>
        <n v="138.446"/>
        <n v="138.476"/>
        <n v="138.528"/>
        <n v="138.779"/>
        <n v="138.833"/>
        <n v="138.901"/>
        <n v="138.92"/>
        <n v="139.376"/>
        <n v="139.725"/>
        <n v="140.233"/>
        <n v="140.395"/>
        <n v="140.401"/>
        <n v="140.493"/>
        <n v="140.881"/>
        <n v="141.089"/>
        <n v="141.111"/>
        <n v="141.387"/>
        <n v="141.464"/>
        <n v="141.491"/>
        <n v="141.526"/>
        <n v="141.562"/>
        <n v="141.568"/>
        <n v="141.587"/>
        <n v="141.588"/>
        <n v="141.59"/>
        <n v="141.607"/>
        <n v="141.665"/>
        <n v="141.926"/>
        <n v="141.929"/>
        <n v="141.992"/>
        <n v="142.032"/>
        <n v="142.039"/>
        <n v="142.122"/>
        <n v="142.205"/>
        <n v="142.214"/>
        <n v="142.246"/>
        <n v="142.373"/>
        <n v="142.38"/>
        <n v="142.427"/>
        <n v="142.452"/>
        <n v="142.463"/>
        <n v="142.508"/>
        <n v="142.542"/>
        <n v="142.612"/>
        <n v="142.619"/>
        <n v="142.714"/>
        <n v="142.754"/>
        <n v="142.779"/>
        <n v="142.781"/>
        <n v="142.827"/>
        <n v="142.842"/>
        <n v="142.881"/>
        <n v="142.945"/>
        <n v="143.092"/>
        <n v="143.155"/>
        <n v="143.485"/>
        <n v="143.593"/>
        <n v="143.754"/>
        <n v="143.807"/>
        <n v="143.91"/>
        <n v="143.949"/>
        <n v="144.362"/>
        <n v="144.38"/>
        <n v="144.429"/>
        <n v="144.57"/>
        <n v="144.59"/>
        <n v="144.619"/>
        <n v="144.661"/>
        <n v="144.828"/>
        <n v="144.901"/>
        <n v="144.98"/>
        <n v="145.064"/>
        <n v="145.119"/>
        <n v="145.228"/>
        <n v="145.288"/>
        <n v="145.507"/>
        <n v="145.955"/>
        <n v="146.169"/>
        <n v="146.199"/>
        <n v="146.449"/>
        <n v="146.471"/>
        <n v="146.809"/>
        <n v="146.822"/>
        <n v="146.837"/>
        <n v="147.098"/>
        <n v="147.117"/>
        <n v="147.408"/>
        <n v="147.755"/>
        <n v="147.867"/>
        <n v="147.881"/>
        <n v="148.174"/>
        <n v="148.232"/>
        <n v="148.763"/>
        <n v="148.82"/>
        <n v="148.887"/>
        <n v="148.959"/>
        <n v="149.3"/>
        <n v="149.487"/>
        <n v="149.568"/>
        <n v="149.706"/>
        <n v="149.892"/>
        <n v="149.977"/>
        <n v="150.196"/>
        <n v="150.428"/>
        <n v="150.59"/>
        <n v="150.765"/>
        <n v="150.788"/>
        <n v="150.876"/>
        <n v="150.88"/>
        <n v="150.917"/>
        <n v="150.982"/>
        <n v="151.133"/>
        <n v="151.195"/>
        <n v="151.205"/>
        <n v="151.248"/>
        <n v="151.402"/>
        <n v="151.444"/>
        <n v="151.5"/>
        <n v="151.515"/>
        <n v="151.714"/>
        <n v="151.771"/>
        <n v="151.777"/>
        <n v="151.781"/>
        <n v="151.84"/>
        <n v="151.875"/>
        <n v="152.127"/>
        <n v="152.169"/>
        <n v="152.174"/>
        <n v="152.486"/>
        <n v="152.502"/>
        <n v="152.562"/>
        <n v="152.597"/>
        <n v="152.725"/>
        <n v="152.786"/>
        <n v="152.792"/>
        <n v="152.807"/>
        <n v="152.877"/>
        <n v="153.102"/>
        <n v="153.173"/>
        <n v="153.181"/>
        <n v="153.2"/>
        <n v="153.221"/>
        <n v="153.226"/>
        <n v="153.235"/>
        <n v="153.238"/>
        <n v="153.243"/>
        <n v="153.266"/>
        <n v="153.275"/>
        <n v="153.474"/>
        <n v="153.5"/>
        <n v="153.522"/>
        <n v="153.701"/>
        <n v="153.773"/>
        <n v="153.782"/>
        <n v="153.927"/>
        <n v="153.945"/>
        <n v="154.178"/>
        <n v="154.347"/>
        <n v="154.46"/>
        <n v="154.524"/>
        <n v="154.557"/>
        <n v="154.607"/>
        <n v="154.931"/>
        <n v="154.95"/>
        <n v="154.999"/>
        <n v="155.024"/>
        <n v="155.048"/>
        <n v="155.087"/>
        <n v="155.172"/>
        <n v="155.512"/>
        <n v="155.568"/>
        <n v="155.741"/>
        <n v="155.777"/>
        <n v="155.865"/>
        <n v="156.297"/>
        <n v="157.043"/>
        <n v="157.283"/>
        <n v="157.354"/>
        <n v="157.408"/>
        <n v="157.487"/>
        <n v="157.522"/>
        <n v="157.551"/>
        <n v="157.695"/>
        <n v="157.877"/>
        <n v="158.053"/>
        <n v="158.403"/>
        <n v="158.422"/>
        <n v="158.484"/>
        <n v="158.546"/>
        <n v="159.027"/>
        <n v="159.465"/>
        <n v="159.52"/>
        <n v="159.53"/>
        <n v="159.586"/>
        <n v="159.596"/>
        <n v="159.999"/>
        <n v="160.003"/>
        <n v="160.77"/>
        <n v="161.116"/>
        <n v="161.132"/>
        <n v="161.2"/>
        <n v="161.314"/>
        <n v="161.327"/>
        <n v="161.335"/>
        <n v="161.345"/>
        <n v="161.445"/>
        <n v="161.447"/>
        <n v="161.503"/>
        <n v="162.035"/>
        <n v="162.051"/>
        <n v="162.052"/>
        <n v="162.148"/>
        <n v="162.149"/>
        <n v="162.161"/>
        <n v="162.208"/>
        <n v="162.786"/>
        <n v="163.208"/>
        <n v="163.215"/>
        <n v="163.696"/>
        <n v="164.016"/>
        <n v="164.169"/>
        <n v="164.699"/>
        <n v="164.721"/>
        <n v="164.882"/>
        <n v="165.114"/>
        <n v="165.141"/>
        <n v="165.354"/>
        <n v="165.588"/>
        <n v="165.655"/>
        <n v="165.741"/>
        <n v="165.743"/>
        <n v="165.762"/>
        <n v="165.91"/>
        <n v="165.969"/>
        <n v="166.018"/>
        <n v="166.16"/>
        <n v="166.382"/>
        <n v="166.383"/>
        <n v="166.385"/>
        <n v="166.448"/>
        <n v="166.497"/>
        <n v="166.51"/>
        <n v="166.562"/>
        <n v="166.594"/>
        <n v="166.624"/>
        <n v="166.643"/>
        <n v="166.648"/>
        <n v="166.676"/>
        <n v="166.697"/>
        <n v="166.855"/>
        <n v="166.875"/>
        <n v="166.878"/>
        <n v="166.91"/>
        <n v="166.967"/>
        <n v="167.085"/>
        <n v="167.089"/>
        <n v="167.13"/>
        <n v="167.133"/>
        <n v="167.144"/>
        <n v="167.158"/>
        <n v="167.17"/>
        <n v="167.198"/>
        <n v="167.227"/>
        <n v="167.249"/>
        <n v="167.259"/>
        <n v="167.286"/>
        <n v="167.297"/>
        <n v="167.303"/>
        <n v="167.372"/>
        <n v="167.375"/>
        <n v="167.377"/>
        <n v="167.379"/>
        <n v="167.516"/>
        <n v="167.553"/>
        <n v="167.68"/>
        <n v="167.789"/>
        <n v="167.856"/>
        <n v="167.947"/>
        <n v="167.998"/>
        <n v="168.004"/>
        <n v="168.039"/>
        <n v="168.069"/>
        <n v="168.143"/>
        <n v="168.156"/>
        <n v="168.214"/>
        <n v="168.218"/>
        <n v="168.226"/>
        <n v="168.471"/>
        <n v="168.52"/>
        <n v="168.598"/>
        <n v="168.671"/>
        <n v="168.857"/>
        <n v="168.859"/>
        <n v="168.892"/>
        <n v="169.148"/>
        <n v="169.287"/>
        <n v="169.357"/>
        <n v="169.427"/>
        <n v="169.522"/>
        <n v="169.716"/>
        <n v="169.733"/>
        <n v="169.766"/>
        <n v="169.9"/>
        <n v="170.126"/>
        <n v="170.239"/>
        <n v="170.277"/>
        <n v="170.349"/>
        <n v="170.355"/>
        <n v="170.456"/>
        <n v="170.694"/>
        <n v="170.92"/>
        <n v="171.489"/>
        <n v="171.83"/>
        <n v="173.054"/>
        <n v="173.117"/>
        <n v="173.254"/>
        <n v="173.669"/>
        <n v="174.152"/>
        <n v="174.337"/>
        <n v="174.54"/>
        <n v="174.895"/>
        <n v="176.052"/>
        <n v="176.769"/>
        <n v="176.989"/>
        <n v="178.199"/>
        <n v="178.278"/>
        <n v="178.291"/>
        <n v="178.331"/>
        <n v="178.363"/>
        <n v="178.381"/>
        <n v="178.424"/>
        <n v="178.735"/>
        <n v="179.146"/>
        <n v="179.35"/>
        <n v="179.391"/>
        <n v="179.544"/>
        <n v="179.662"/>
      </sharedItems>
    </cacheField>
    <cacheField name="location" numFmtId="0">
      <sharedItems containsBlank="1" count="503">
        <s v="?alabja, Iraq"/>
        <s v="?arai, Japan"/>
        <s v="?funato, Japan"/>
        <s v="?tsuchi, Japan"/>
        <s v="?yama, Japan"/>
        <s v="‘Ohonua, Tonga"/>
        <s v="2004 Sumatra - Andaman Islands Earthquake"/>
        <s v="2011 Great Tohoku Earthquake, Japan"/>
        <s v="Abepura, Indonesia"/>
        <s v="Abhar, Iran"/>
        <s v="Acapulco, Mexico"/>
        <s v="Achanizo, Peru"/>
        <s v="Adak, Alaska"/>
        <s v="Afghanistan-Tajikistan-Pakistan region"/>
        <s v="Aguililla, Mexico"/>
        <s v="Aianí, Greece"/>
        <s v="Aitape, Papua New Guinea"/>
        <s v="Aktash, Russia"/>
        <s v="Alaska Peninsula"/>
        <s v="Alo, Wallis and Futuna"/>
        <s v="Amahai, Indonesia"/>
        <s v="Amberley, New Zealand"/>
        <s v="Ambon, Indonesia"/>
        <s v="Angoram, Papua New Guinea"/>
        <s v="Aniso, Peru"/>
        <s v="Ant"/>
        <s v="Arica, Chile"/>
        <s v="Ashk?sham, Afghanistan"/>
        <s v="Atico, Peru"/>
        <s v="Atiquipa, Peru"/>
        <s v="Atka, Alaska"/>
        <s v="Atlasovo, Russia"/>
        <s v="Attu Station, Alaska"/>
        <s v="Auckland Islands, New Zealand region"/>
        <s v="Azángaro, Peru"/>
        <s v="Azoyú, Mexico"/>
        <s v="Ba, Fiji"/>
        <s v="Badamdar, Azerbaijan"/>
        <s v="Bahía de Caráquez, Ecuador"/>
        <s v="Bahía de Kino, Mexico"/>
        <s v="Bahía Solano, Colombia"/>
        <s v="Baku, Azerbaijan"/>
        <s v="Balkanabat, Turkmenistan"/>
        <s v="Bam, Iran"/>
        <s v="Bamboo Flat, India"/>
        <s v="Banda Sea"/>
        <s v="Banjar, Indonesia"/>
        <s v="Bantay, Philippines"/>
        <s v="Bantogon, Philippines"/>
        <s v="Barra Patuca, Honduras"/>
        <s v="Barranca, Peru"/>
        <s v="Basse-Pointe, Martinique"/>
        <s v="Batang, Indonesia"/>
        <s v="Bathsheba, Barbados"/>
        <s v="Bela, Pakistan"/>
        <s v="Belaya Gora, Russia"/>
        <s v="Belén, Nicaragua"/>
        <s v="Bengkulu, Indonesia"/>
        <s v="Bhach?u, India"/>
        <s v="Bharatpur, Nepal"/>
        <s v="Biak, Indonesia"/>
        <s v="Big Lagoon, California"/>
        <s v="Bima, Indonesia"/>
        <s v="Bitung, Indonesia"/>
        <s v="Blenheim, New Zealand"/>
        <s v="Boca Chica, Panama"/>
        <s v="Bolitoc, Philippines"/>
        <s v="Bonin Islands, Japan region"/>
        <s v="Bouvet Island region"/>
        <s v="Boyuibe, Bolivia"/>
        <s v="Brisas Barra de Suchiate, Mexico"/>
        <s v="Bristol Island, South Sandwich Islands"/>
        <s v="Broome, Australia"/>
        <s v="Buala, Solomon Islands"/>
        <s v="Bulolo, Papua New Guinea"/>
        <s v="Burias, Philippines"/>
        <s v="Burica, Panama"/>
        <s v="Cabatuan, Philippines"/>
        <s v="Calama, Chile"/>
        <s v="Camaná, Peru"/>
        <s v="Can-Avid, Philippines"/>
        <s v="Cañete, Chile"/>
        <s v="Cantwell, Alaska"/>
        <s v="Carahue, Chile"/>
        <s v="Carúpano, Venezuela"/>
        <s v="central Mid-Atlantic Ridge"/>
        <s v="Central Turkey"/>
        <s v="Champerico, Guatemala"/>
        <s v="Changuillo, Peru"/>
        <s v="Chauk, Myanmar"/>
        <s v="Chiapas, Mexico"/>
        <s v="Chignik, Alaska"/>
        <s v="Chiniak, Alaska"/>
        <s v="Chipinge, Zimbabwe"/>
        <s v="Chitose, Japan"/>
        <s v="Churumuco de Morelos, Mexico"/>
        <s v="Codrington, Antigua and Barbuda"/>
        <s v="Cojutepeque, El Salvador"/>
        <s v="Columbio, Philippines"/>
        <s v="Constitución, Chile"/>
        <s v="Contamana, Peru"/>
        <s v="Copiapó, Chile"/>
        <s v="Coquimbo, Chile"/>
        <s v="Corral, Chile"/>
        <s v="Cortes, Philippines"/>
        <s v="Costa Rica"/>
        <s v="Coyuquilla Norte, Mexico"/>
        <s v="Cuyutlán, Mexico"/>
        <s v="Dalbandin, Pakistan"/>
        <s v="Dellys, Algeria"/>
        <s v="Delta, B.C., MX"/>
        <s v="Derince, Turkey"/>
        <s v="Do?anyol, Turkey"/>
        <s v="Dompu, Indonesia"/>
        <s v="Düzce, Turkey"/>
        <s v="Ecuador"/>
        <s v="Edna Bay, Alaska"/>
        <s v="Ekinözü, Turkey"/>
        <s v="El Aguilar, Argentina"/>
        <s v="El Ciruelo, Mexico"/>
        <s v="El Colomo, Mexico"/>
        <s v="El Habillal, Mexico"/>
        <s v="El Huitusi, Mexico"/>
        <s v="Etchoropo, Mexico"/>
        <s v="Ferndale, California"/>
        <s v="Fiji region"/>
        <s v="Finschhafen, Papua New Guinea"/>
        <s v="Flores Sea"/>
        <s v="Fox Islands, Aleutian Islands, Alaska"/>
        <s v="Galaxídhion, Greece"/>
        <s v="General Pascual Fentes, Mexico"/>
        <s v="George Town, Cayman Islands"/>
        <s v="Gisborne, New Zealand"/>
        <s v="Gizo, Solomon Islands"/>
        <s v="Gorontalo, Indonesia"/>
        <s v="Greenland, Barbados"/>
        <s v="Guanaja, Honduras"/>
        <s v="Hacienda La Calera, Chile"/>
        <s v="Hanamaki, Japan"/>
        <s v="Harnai, Pakistan"/>
        <s v="Hasaki, Japan"/>
        <s v="Haveluloto, Tonga"/>
        <s v="Hector Mine, CA Earthquake"/>
        <s v="Helio García Alfaro, Mexico"/>
        <s v="Hengchun, Taiwan"/>
        <s v="Hihifo, Tonga"/>
        <s v="Hindu Kush region, Afghanistan"/>
        <s v="Hirara, Japan"/>
        <s v="Hojancha, Costa Rica"/>
        <s v="Hotan, China"/>
        <s v="Hualien City, Taiwan"/>
        <s v="Hukay, Philippines"/>
        <s v="Ialibu, Papua New Guinea"/>
        <s v="Illapel, Chile"/>
        <s v="Imph?l, India"/>
        <s v="Iñapari, Peru"/>
        <s v="Inarajan Village, Guam"/>
        <s v="Indianola, California"/>
        <s v="Insrom, Indonesia"/>
        <s v="Intipucá, El Salvador"/>
        <s v="Iquique, Chile"/>
        <s v="Isangel, Vanuatu"/>
        <s v="Ishigaki, Japan"/>
        <s v="Ishikawa, Japan"/>
        <s v="Ishinomaki, Japan"/>
        <s v="Iwanai, Japan"/>
        <s v="Iztapa, Guatemala"/>
        <s v="Izu Islands, Japan region"/>
        <s v="Java, Indonesia"/>
        <s v="Jimalalud, Philippines"/>
        <s v="Jinghong, China"/>
        <s v="Jiquilillo, Nicaragua"/>
        <s v="Jumla, Nepal"/>
        <s v="Juradó, Colombia"/>
        <s v="Jurm, Afghanistan"/>
        <s v="K?h Sef?d, Iran"/>
        <s v="Kabanjahe, Indonesia"/>
        <s v="Kainantu, Papua New Guinea"/>
        <s v="Kairatu, Indonesia"/>
        <s v="Kalemie, Democratic Republic"/>
        <s v="Kamaishi, Japan"/>
        <s v="Kamariótissa, Greece"/>
        <s v="Kandrian, Papua New Guinea"/>
        <s v="Kangding, China"/>
        <s v="Karluk, Alaska"/>
        <s v="Kashiwazaki, Japan"/>
        <s v="Katabu, Indonesia"/>
        <s v="Katsuren-haebaru, Japan"/>
        <s v="Katsuura, Japan"/>
        <s v="Kawalu, Indonesia"/>
        <s v="Kendari, Indonesia"/>
        <s v="Kepulauan Mentawai region, Indonesia"/>
        <s v="Kermadec Islands region"/>
        <s v="Kermadec Islands, New Zealand"/>
        <s v="Kerman, Iran"/>
        <s v="Kh?sh, Iran"/>
        <s v="Khuzdar, Pakistan"/>
        <s v="Kimbe, Papua New Guinea"/>
        <s v="Kinablangan, Philippines"/>
        <s v="Kirakira, Solomon Islands"/>
        <s v="Kisante, Philippines"/>
        <s v="Kíssamos, Greece"/>
        <s v="Kod?ri??, Nepal"/>
        <s v="Kokhanok, Alaska"/>
        <s v="Kokopo, Papua New Guinea"/>
        <s v="Komandorskiye Ostrova, Russia region"/>
        <s v="Koróni, Greece"/>
        <s v="Kos, Greece"/>
        <s v="Kota Ternate, Indonesia"/>
        <s v="Kumamoto, Japan"/>
        <s v="Kure, Japan"/>
        <s v="Kuril Islands"/>
        <s v="Kuril’sk, Russia"/>
        <s v="Kushiro, Japan"/>
        <s v="Kýthira, Greece"/>
        <s v="L'Esperance Rock, New Zealand"/>
        <s v="La Cruz de Loreto, Mexico"/>
        <s v="La Libertad, El Salvador"/>
        <s v="Labasa, Fiji"/>
        <s v="Labuan Bajo, Indonesia"/>
        <s v="Labuan Lombok, Indonesia"/>
        <s v="Labuan, Indonesia"/>
        <s v="Lae, Papua New Guinea"/>
        <s v="Laiwui, Indonesia"/>
        <s v="Lakatoro, Vanuatu"/>
        <s v="Larsen Bay, Alaska"/>
        <s v="Lata, Solomon Islands"/>
        <s v="Lautoka, Fiji"/>
        <s v="Lebu, Chile"/>
        <s v="Lefkáda, Greece"/>
        <s v="Leilani Estates, Hawaii"/>
        <s v="Léogâne, Haiti"/>
        <s v="Levuka, Fiji"/>
        <s v="Lijiang, China"/>
        <s v="Lim-oo, Philippines"/>
        <s v="Linqiong, China"/>
        <s v="Lithakiá, Greece"/>
        <s v="Loncopué, Argentina"/>
        <s v="Longbranch, Washington"/>
        <s v="Lospalos, Timor Leste"/>
        <s v="Lucea, Jamaica"/>
        <s v="Luganville, Vanuatu"/>
        <s v="Lugu, Taiwan"/>
        <s v="Lukatan, Philippines"/>
        <s v="Luwuk, Indonesia"/>
        <s v="Mabua, Philippines"/>
        <s v="Macas, Ecuador"/>
        <s v="Macquarie Island"/>
        <s v="Madang, Papua New Guinea"/>
        <s v="Maebaru-ch??, Japan"/>
        <s v="Magsaysay, Philippines"/>
        <s v="Makurazaki, Japan"/>
        <s v="Malango, Solomon Islands"/>
        <s v="Mangan, India"/>
        <s v="Manokwari, Indonesia"/>
        <s v="Manuel Ávila Camacho (Ponte Duro), Mexico"/>
        <s v="Masachapa, Nicaragua"/>
        <s v="Mata-Utu, Wallis and Futuna"/>
        <s v="Matavai, Samoa"/>
        <s v="Matsue, Japan"/>
        <s v="Matzaco, Mexico"/>
        <s v="Maubara, Timor Leste"/>
        <s v="Maumere, Indonesia"/>
        <s v="Mauritius - Reunion region"/>
        <s v="Mawlaik, Myanmar"/>
        <s v="Mawu, China"/>
        <s v="Merizo Village, Guam"/>
        <s v="Methóni, Greece"/>
        <s v="Methven, New Zealand"/>
        <s v="Meulaboh, Indonesia"/>
        <s v="Micronesia region"/>
        <s v="Mikuni, Japan"/>
        <s v="Mil’kovo, Russia"/>
        <s v="Mindanao, Philippines"/>
        <s v="Miyako, Japan"/>
        <s v="Miyazaki, Japan"/>
        <s v="Mizque, Bolivia"/>
        <s v="Mizusawa, Japan"/>
        <s v="Moijabana, Botswana"/>
        <s v="Molucca Sea"/>
        <s v="Monte Cristo Range, NV Earthquake"/>
        <s v="Monte Patria, Chile"/>
        <s v="Morioka, Japan"/>
        <s v="Muisne, Ecuador"/>
        <s v="Murghob, Tajikistan"/>
        <s v="Muzaffar?b?d, Pakistan"/>
        <s v="Nabire, Indonesia"/>
        <s v="Nadi, Fiji"/>
        <s v="Nago, Japan"/>
        <s v="Naisano Dua, Indonesia"/>
        <s v="Namatanai, Papua New Guinea"/>
        <s v="Namie, Japan"/>
        <s v="Nanao, Japan"/>
        <s v="Navarro, Peru"/>
        <s v="Naze, Japan"/>
        <s v="Ndoi Island, Fiji"/>
        <s v="Néa Anatolí, Greece"/>
        <s v="Neiafu, Tonga"/>
        <s v="Neira, Colombia"/>
        <s v="Nemuro, Japan"/>
        <s v="Néon Karlovásion, Greece"/>
        <s v="Nepal"/>
        <s v="New Britain region, Papua New Guinea"/>
        <s v="New Guinea, Papua New Guinea"/>
        <s v="New Ireland region, Papua New Guinea"/>
        <s v="Nicobar Islands, India region"/>
        <s v="Nikolski, Alaska"/>
        <s v="Nippes, Haiti"/>
        <s v="Nishinoomote, Japan"/>
        <s v="Nkove, Tanzania"/>
        <s v="Nookat, Kyrgyzstan"/>
        <s v="Norsup, Vanuatu"/>
        <s v="northern Mid-Atlantic Ridge"/>
        <s v="northern Qinghai, China"/>
        <s v="Nuevo Balsas, Mexico"/>
        <s v="Nurdağı, Turkey"/>
        <s v="Nuwaybi‘a, Egypt"/>
        <s v="Nuxco, Mexico"/>
        <s v="Obihiro, Japan"/>
        <s v="Ocozocoautla de Espinosa, Mexico"/>
        <s v="off the east coast of Honshu, Japan"/>
        <s v="off the west coast of northern Sumatra"/>
        <s v="Ojiya, Japan"/>
        <s v="Okhotsk"/>
        <s v="Old Harbor, Alaska"/>
        <s v="Olonkinbyen, Svalbard and Jan Mayen"/>
        <s v="Ovalle, Chile"/>
        <s v="Ozernovskiy, Russia"/>
        <s v="P?palkoti, India"/>
        <s v="Pacocha, Peru"/>
        <s v="Padang, Indonesia"/>
        <s v="Padangsidempuan, Indonesia"/>
        <s v="Padilla, Bolivia"/>
        <s v="Pagan region, Northern Mariana Islands"/>
        <s v="Palapag, Philippines"/>
        <s v="Palimbang, Philippines"/>
        <s v="Palora, Ecuador"/>
        <s v="Palu, Indonesia"/>
        <s v="Pamanukan, Indonesia"/>
        <s v="Panama-Colombia border region"/>
        <s v="Pangai, Tonga"/>
        <s v="Panguna, Papua New Guinea"/>
        <s v="Paphos, Cyprus"/>
        <s v="Papua, Indonesia"/>
        <s v="Paramonga, Peru"/>
        <s v="Pariaman, Indonesia"/>
        <s v="Parrita, Costa Rica"/>
        <s v="Pedro Bay, Alaska"/>
        <s v="Perryville, Alaska"/>
        <s v="Philippine Islands region"/>
        <s v="Pinotepa de Don Luis, Mexico"/>
        <s v="Piti Village, Guam"/>
        <s v="Pizarro, Colombia"/>
        <s v="Point MacKenzie, Alaska"/>
        <s v="Pólis, Cyprus"/>
        <s v="Pondaguitan, Philippines"/>
        <s v="Popondetta, Papua New Guinea"/>
        <s v="Poronaysk, Russia"/>
        <s v="Port McNeill, Canada"/>
        <s v="Port-Olry, Vanuatu"/>
        <s v="Port-Vila, Vanuatu"/>
        <s v="Poso, Indonesia"/>
        <s v="Potrerillos, Honduras"/>
        <s v="Preci, Italy"/>
        <s v="Prince Edward Islands region"/>
        <s v="Prince Rupert, Canada"/>
        <s v="Progreso, Panama"/>
        <s v="Puako, Hawaii"/>
        <s v="Puerto El Triunfo, El Salvador"/>
        <s v="Puerto Madero, Mexico"/>
        <s v="Puerto San José, Guatemala"/>
        <s v="Puerto Santa, Peru"/>
        <s v="Pulau Pulau Tanimbar, Indonesia"/>
        <s v="Pulau-Pulau Talaud, Indonesia"/>
        <s v="Puli, Taiwan"/>
        <s v="Punta de Bombón, Peru"/>
        <s v="Punta de Burica, Panama"/>
        <s v="Q?’en, Iran"/>
        <s v="Qamdo, China"/>
        <s v="Quellón, Chile"/>
        <s v="Quepos, Costa Rica"/>
        <s v="Quirihue, Chile"/>
        <s v="Rabaul, Papua New Guinea"/>
        <s v="Rat Islands, Aleutian Islands, Alaska"/>
        <s v="Rengasdengklok, Indonesia"/>
        <s v="Reuleuet, Indonesia"/>
        <s v="Riverton, New Zealand"/>
        <s v="Roncesvalles, Colombia"/>
        <s v="Rosa Zarate, Ecuador"/>
        <s v="Rust?q, Afghanistan"/>
        <s v="Ruteng, Indonesia"/>
        <s v="S"/>
        <s v="Sabang, Indonesia"/>
        <s v="Sagbayan, Philippines"/>
        <s v="San Agustín, Colombia"/>
        <s v="San Antonio de los Cobres, Argentina"/>
        <s v="San Antonio, Chile"/>
        <s v="San Baltazar Loxicha, Mexico"/>
        <s v="San Fernando, Peru"/>
        <s v="San José El Ídolo, Guatemala"/>
        <s v="San Jose Village, Northern Mariana Islands"/>
        <s v="San Juan del Sur, Nicaragua"/>
        <s v="San Luis, Mexico"/>
        <s v="San Pablo, Guatemala"/>
        <s v="San Pedro de Atacama, Chile"/>
        <s v="San Pedro, Philippines"/>
        <s v="San Sebastián, El Salvador"/>
        <s v="San Simeon, California"/>
        <s v="San Vicente de Cañete, Peru"/>
        <s v="Sand Point, Alaska"/>
        <s v="Sangay, Philippines"/>
        <s v="Santa Cruz, Chile"/>
        <s v="Santa María Chico Ometepec, Mexico"/>
        <s v="Santa María Xadani, Mexico"/>
        <s v="Santiago Llano Grande, Mexico"/>
        <s v="Santiago, Peru"/>
        <s v="Sarangani, Philippines"/>
        <s v="Saryg-Sep, Russia"/>
        <s v="Saumlaki, Indonesia"/>
        <s v="Scarborough, Trinidad and Tobago"/>
        <s v="Scotia Sea"/>
        <s v="Searles Valley, CA"/>
        <s v="Selfoss, Iceland"/>
        <s v="Severo-Kuril’sk, Russia"/>
        <s v="Shikotan, Russia"/>
        <s v="Shimoda, Japan"/>
        <s v="Shing?, Japan"/>
        <s v="Shizunai-furukawach?, Japan"/>
        <s v="Shwebo, Myanmar"/>
        <s v="Sinabang, Indonesia"/>
        <s v="Singaparna, Indonesia"/>
        <s v="Singkil, Indonesia"/>
        <s v="Skýros, Greece"/>
        <s v="Sola, Vanuatu"/>
        <s v="Sorong, Indonesia"/>
        <s v="South Indian Ocean"/>
        <s v="South Sandwich Islands region"/>
        <s v="South Shetland Islands"/>
        <s v="Southern Qinghai, China"/>
        <s v="Stanley, Idaho"/>
        <s v="Sucúa, Ecuador"/>
        <s v="Sulangan, Philippines"/>
        <s v="Sultanda??, Turkey"/>
        <s v="Sumatra, Indonesia"/>
        <s v="Sumberpucung, Indonesia"/>
        <s v="Sungai Penuh, Indonesia"/>
        <s v="Tabiauan, Philippines"/>
        <s v="Tachilek, Myanmar"/>
        <s v="Tadine, New Caledonia"/>
        <s v="Talcahuano, Chile"/>
        <s v="Talisay, Philippines"/>
        <s v="Tarauaca, Brazil"/>
        <s v="Tarauacá, Brazil"/>
        <s v="Tari, Papua New Guinea"/>
        <s v="Tateyama, Japan"/>
        <s v="Taungdwingyi, Myanmar"/>
        <s v="Te Anau, New Zealand"/>
        <s v="Teluk Dalam, Indonesia"/>
        <s v="Teno, Chile"/>
        <s v="Ternate, Indonesia"/>
        <s v="Texcala, Mexico"/>
        <s v="Thang, India"/>
        <s v="the Fiji Islands"/>
        <s v="the Kamchatka Peninsula, Russia"/>
        <s v="the Kermadec Islands"/>
        <s v="the Kuril Islands"/>
        <s v="the Loyalty Islands"/>
        <s v="Tianpeng, China"/>
        <s v="Tilichiki, Russia"/>
        <s v="Timbiquí, Colombia"/>
        <s v="Tobelo, Indonesia"/>
        <s v="Tocopilla, Chile"/>
        <s v="Tomé, Chile"/>
        <s v="Tonga"/>
        <s v="Topolobampo, Mexico"/>
        <s v="Tual, Indonesia"/>
        <s v="Tuban, Indonesia"/>
        <s v="Tungor, Russia"/>
        <s v="Turkmenistan-Iran border region"/>
        <s v="Turt, Mongolia"/>
        <s v="Ugashik, Alaska"/>
        <s v="Uglegorsk, Russia"/>
        <s v="Ust’-Kamchatsk Staryy, Russia"/>
        <s v="Vaini, Tonga"/>
        <s v="Vallenar, Chile"/>
        <s v="Valparaíso, Chile"/>
        <s v="Van, Turkey"/>
        <s v="Vanuatu"/>
        <s v="Vanuatu region"/>
        <s v="Vao, New Caledonia"/>
        <s v="Vernon, Canada"/>
        <s v="Villa El Carmen, Nicaragua"/>
        <s v="Vilyuchinsk, Russia"/>
        <s v="Wau, Papua New Guinea"/>
        <s v="Wé, New Caledonia"/>
        <s v="western Xizang"/>
        <s v="Yacuanquer, Colombia"/>
        <s v="Yelizovo, Russia"/>
        <s v="Yigo Village, Guam"/>
        <s v="Yonakuni, Japan"/>
        <s v="Yujing, Taiwan"/>
        <s v="Yurimaguas, Peru"/>
        <m/>
      </sharedItems>
    </cacheField>
    <cacheField name="continent" numFmtId="0">
      <sharedItems containsBlank="1" count="7">
        <s v="Africa"/>
        <s v="Asia"/>
        <s v="Europe"/>
        <s v="North America"/>
        <s v="Oceania"/>
        <s v="South America"/>
        <m/>
      </sharedItems>
    </cacheField>
    <cacheField name="country" numFmtId="0">
      <sharedItems containsBlank="1" count="57">
        <s v="Afghanistan"/>
        <s v="Algeria"/>
        <s v="Antarctica"/>
        <s v="Argentina"/>
        <s v="Azerbaijan"/>
        <s v="Bolivia"/>
        <s v="Botswana"/>
        <s v="Brazil"/>
        <s v="Canada"/>
        <s v="Chile"/>
        <s v="Colombia"/>
        <s v="Costa Rica"/>
        <s v="Ecuador"/>
        <s v="El Salvador"/>
        <s v="Fiji"/>
        <s v="Greece"/>
        <s v="Guatemala"/>
        <s v="Haiti"/>
        <s v="Iceland"/>
        <s v="India"/>
        <s v="Indonesia"/>
        <s v="Iran"/>
        <s v="Italy"/>
        <s v="Japan"/>
        <s v="Kyrgyzstan"/>
        <s v="Martinique"/>
        <s v="Mexico"/>
        <s v="Mongolia"/>
        <s v="Mozambique"/>
        <s v="Myanmar"/>
        <s v="Nepal"/>
        <s v="New Zealand"/>
        <s v="Nicaragua"/>
        <s v="Pakistan"/>
        <s v="Panama"/>
        <s v="Papua New Guinea"/>
        <s v="People's Republic of China"/>
        <s v="Peru"/>
        <s v="Philippines"/>
        <s v="Russia"/>
        <s v="Russian Federation (the)"/>
        <s v="Saudi Arabia"/>
        <s v="Solomon Islands"/>
        <s v="South Georgia and the South Sandwich Islands"/>
        <s v="Taiwan"/>
        <s v="Tajikistan"/>
        <s v="Tanzania"/>
        <s v="Tonga"/>
        <s v="Trinidad and Tobago"/>
        <s v="Turkey"/>
        <s v="Turkiye"/>
        <s v="Turkmenistan"/>
        <s v="United Kingdom of Great Britain and Northern Ireland (the)"/>
        <s v="United States of America"/>
        <s v="Vanuatu"/>
        <s v="Venezuela"/>
        <m/>
      </sharedItems>
    </cacheField>
    <cacheField name="Converted_DateTime" numFmtId="0">
      <sharedItems containsSemiMixedTypes="0" containsNonDate="0" containsDate="1" containsString="0" minDate="1995-05-05T03:53:00" maxDate="2023-08-16T12:47:00" count="990">
        <d v="1995-05-05T03:53:00"/>
        <d v="1995-05-13T08:47:00"/>
        <d v="1995-05-14T11:33:00"/>
        <d v="1995-05-16T20:12:00"/>
        <d v="1995-05-27T13:03:00"/>
        <d v="1995-06-15T00:15:00"/>
        <d v="1995-06-29T12:24:00"/>
        <d v="1995-07-11T21:46:00"/>
        <d v="1995-07-30T05:11:00"/>
        <d v="1995-08-14T04:37:00"/>
        <d v="1995-08-16T10:27:00"/>
        <d v="1995-08-16T16:24:00"/>
        <d v="1995-08-16T23:10:00"/>
        <d v="1995-08-19T21:43:00"/>
        <d v="1995-08-28T10:46:00"/>
        <d v="1995-09-14T14:04:00"/>
        <d v="1995-09-23T22:31:00"/>
        <d v="1995-10-03T01:51:00"/>
        <d v="1995-10-03T12:44:00"/>
        <d v="1995-10-06T18:09:00"/>
        <d v="1995-10-09T15:35:00"/>
        <d v="1995-10-18T10:37:00"/>
        <d v="1995-10-19T02:41:00"/>
        <d v="1995-10-21T02:38:00"/>
        <d v="1995-11-01T00:35:00"/>
        <d v="1995-11-22T04:15:00"/>
        <d v="1995-12-03T18:01:00"/>
        <d v="1995-12-19T23:28:00"/>
        <d v="1995-12-25T04:43:00"/>
        <d v="1996-01-01T08:05:00"/>
        <d v="1996-01-01T09:57:00"/>
        <d v="1996-02-03T11:14:00"/>
        <d v="1996-02-07T21:36:00"/>
        <d v="1996-02-16T15:22:00"/>
        <d v="1996-02-17T05:59:00"/>
        <d v="1996-02-17T14:21:00"/>
        <d v="1996-02-17T20:18:00"/>
        <d v="1996-02-21T12:51:00"/>
        <d v="1996-02-25T03:08:00"/>
        <d v="1996-03-03T14:55:00"/>
        <d v="1996-03-03T16:37:00"/>
        <d v="1996-03-17T14:48:00"/>
        <d v="1996-04-19T00:19:00"/>
        <d v="1996-04-29T14:40:00"/>
        <d v="1996-06-10T01:04:00"/>
        <d v="1996-06-10T04:03:00"/>
        <d v="1996-06-10T15:24:00"/>
        <d v="1996-06-11T18:22:00"/>
        <d v="1996-06-17T11:22:00"/>
        <d v="1996-07-15T21:23:00"/>
        <d v="1996-07-16T10:07:00"/>
        <d v="1996-07-22T14:19:00"/>
        <d v="1996-08-02T12:55:00"/>
        <d v="1996-09-05T23:42:00"/>
        <d v="1996-09-20T04:10:00"/>
        <d v="1996-09-20T04:11:00"/>
        <d v="1996-10-09T13:10:00"/>
        <d v="1996-10-14T23:26:00"/>
        <d v="1996-10-18T10:50:00"/>
        <d v="1996-10-19T14:44:00"/>
        <d v="1996-11-12T16:59:00"/>
        <d v="1996-11-19T10:44:00"/>
        <d v="1996-12-02T22:17:00"/>
        <d v="1996-12-22T14:53:00"/>
        <d v="1997-01-11T20:28:00"/>
        <d v="1997-02-04T10:37:00"/>
        <d v="1997-02-27T21:08:00"/>
        <d v="1997-03-11T19:22:00"/>
        <d v="1997-04-05T12:23:00"/>
        <d v="1997-04-21T12:02:00"/>
        <d v="1997-04-22T09:31:00"/>
        <d v="1997-04-23T19:44:00"/>
        <d v="1997-05-10T07:57:00"/>
        <d v="1997-05-13T14:13:00"/>
        <d v="1997-05-21T14:10:00"/>
        <d v="1997-05-22T07:50:00"/>
        <d v="1997-07-06T09:54:00"/>
        <d v="1997-07-09T19:24:00"/>
        <d v="1997-07-19T14:22:00"/>
        <d v="1997-08-29T08:14:00"/>
        <d v="1997-09-02T12:13:00"/>
        <d v="1997-10-06T12:30:00"/>
        <d v="1997-10-14T09:53:00"/>
        <d v="1997-10-15T01:03:00"/>
        <d v="1997-10-28T06:15:00"/>
        <d v="1997-11-08T10:02:00"/>
        <d v="1997-11-09T22:56:00"/>
        <d v="1997-11-15T18:59:00"/>
        <d v="1997-11-18T13:07:00"/>
        <d v="1997-11-25T12:14:00"/>
        <d v="1997-12-05T11:26:00"/>
        <d v="1997-12-22T02:05:00"/>
        <d v="1998-01-10T08:20:00"/>
        <d v="1998-01-12T10:14:00"/>
        <d v="1998-01-12T16:36:00"/>
        <d v="1998-01-30T12:16:00"/>
        <d v="1998-03-14T19:40:00"/>
        <d v="1998-04-01T17:56:00"/>
        <d v="1998-04-03T22:01:00"/>
        <d v="1998-05-03T23:30:00"/>
        <d v="1998-05-13T23:02:00"/>
        <d v="1998-05-21T05:34:00"/>
        <d v="1998-05-22T04:48:00"/>
        <d v="1998-05-30T06:22:00"/>
        <d v="1998-07-16T11:56:00"/>
        <d v="1998-07-17T08:49:00"/>
        <d v="1998-07-29T18:00:00"/>
        <d v="1998-08-04T18:59:00"/>
        <d v="1998-09-02T08:37:00"/>
        <d v="1998-09-03T17:37:00"/>
        <d v="1998-09-28T13:34:00"/>
        <d v="1998-11-09T05:30:00"/>
        <d v="1998-11-09T05:38:00"/>
        <d v="1998-11-29T14:10:00"/>
        <d v="1998-12-27T00:38:00"/>
        <d v="1999-01-19T03:35:00"/>
        <d v="1999-01-28T08:10:00"/>
        <d v="1999-02-06T21:47:00"/>
        <d v="1999-03-04T05:38:00"/>
        <d v="1999-03-04T08:52:00"/>
        <d v="1999-03-08T12:25:00"/>
        <d v="1999-03-20T10:47:00"/>
        <d v="1999-03-28T19:05:00"/>
        <d v="1999-04-03T06:17:00"/>
        <d v="1999-04-05T11:08:00"/>
        <d v="1999-04-13T10:38:00"/>
        <d v="1999-05-10T20:33:00"/>
        <d v="1999-05-16T00:51:00"/>
        <d v="1999-05-17T10:07:00"/>
        <d v="1999-06-15T20:42:00"/>
        <d v="1999-07-11T14:14:00"/>
        <d v="1999-08-17T00:01:00"/>
        <d v="1999-08-20T10:02:00"/>
        <d v="1999-08-22T12:40:00"/>
        <d v="1999-09-20T17:47:00"/>
        <d v="1999-09-25T23:52:00"/>
        <d v="1999-09-30T16:31:00"/>
        <d v="1999-10-16T09:46:00"/>
        <d v="1999-11-08T16:45:00"/>
        <d v="1999-11-12T16:57:00"/>
        <d v="1999-11-17T03:27:00"/>
        <d v="1999-11-19T13:56:00"/>
        <d v="1999-11-26T13:21:00"/>
        <d v="1999-11-30T04:01:00"/>
        <d v="1999-12-06T23:12:00"/>
        <d v="1999-12-11T18:03:00"/>
        <d v="1999-12-21T14:14:00"/>
        <d v="1999-12-29T13:29:00"/>
        <d v="2000-01-08T16:47:00"/>
        <d v="2000-01-28T14:21:00"/>
        <d v="2000-02-06T11:33:00"/>
        <d v="2000-03-03T22:22:00"/>
        <d v="2000-05-04T04:21:00"/>
        <d v="2000-05-12T18:43:00"/>
        <d v="2000-06-04T16:28:00"/>
        <d v="2000-06-04T16:39:00"/>
        <d v="2000-06-07T23:45:00"/>
        <d v="2000-06-17T15:40:00"/>
        <d v="2000-06-18T14:44:00"/>
        <d v="2000-06-21T00:51:00"/>
        <d v="2000-07-11T01:32:00"/>
        <d v="2000-07-16T03:57:00"/>
        <d v="2000-07-30T12:25:00"/>
        <d v="2000-08-03T01:09:00"/>
        <d v="2000-08-04T21:13:00"/>
        <d v="2000-08-09T11:41:00"/>
        <d v="2000-08-28T15:05:00"/>
        <d v="2000-10-02T02:25:00"/>
        <d v="2000-10-04T16:58:00"/>
        <d v="2000-10-06T04:30:00"/>
        <d v="2000-10-25T09:32:00"/>
        <d v="2000-10-29T08:37:00"/>
        <d v="2000-11-08T06:59:00"/>
        <d v="2000-11-16T04:54:00"/>
        <d v="2000-11-16T07:42:00"/>
        <d v="2000-11-16T07:45:00"/>
        <d v="2000-11-17T21:01:00"/>
        <d v="2000-11-18T02:05:00"/>
        <d v="2000-11-18T06:54:00"/>
        <d v="2000-11-25T18:09:00"/>
        <d v="2000-11-25T18:10:00"/>
        <d v="2000-12-06T17:11:00"/>
        <d v="2000-12-06T22:57:00"/>
        <d v="2001-01-01T06:57:00"/>
        <d v="2001-01-01T08:54:00"/>
        <d v="2001-01-09T16:49:00"/>
        <d v="2001-01-10T16:02:00"/>
        <d v="2001-01-13T17:33:00"/>
        <d v="2001-01-16T13:25:00"/>
        <d v="2001-01-26T03:16:00"/>
        <d v="2001-02-13T14:22:00"/>
        <d v="2001-02-13T19:28:00"/>
        <d v="2001-02-24T07:23:00"/>
        <d v="2001-02-28T18:54:00"/>
        <d v="2001-03-19T05:52:00"/>
        <d v="2001-03-24T06:27:00"/>
        <d v="2001-04-19T21:43:00"/>
        <d v="2001-06-23T20:33:00"/>
        <d v="2001-06-26T04:18:00"/>
        <d v="2001-07-05T13:53:00"/>
        <d v="2001-07-07T09:38:00"/>
        <d v="2001-07-26T00:21:00"/>
        <d v="2001-07-28T07:32:00"/>
        <d v="2001-09-11T14:56:00"/>
        <d v="2001-10-12T15:02:00"/>
        <d v="2001-10-19T03:28:00"/>
        <d v="2001-10-31T09:10:00"/>
        <d v="2001-11-14T09:26:00"/>
        <d v="2001-12-02T13:01:00"/>
        <d v="2001-12-18T04:02:00"/>
        <d v="2001-12-23T22:52:00"/>
        <d v="2002-01-02T17:22:00"/>
        <d v="2002-01-03T10:17:00"/>
        <d v="2002-01-10T11:14:00"/>
        <d v="2002-02-03T07:11:00"/>
        <d v="2002-02-05T13:27:00"/>
        <d v="2002-03-03T12:08:00"/>
        <d v="2002-03-05T21:16:00"/>
        <d v="2002-03-28T04:56:00"/>
        <d v="2002-03-31T06:52:00"/>
        <d v="2002-04-18T05:02:00"/>
        <d v="2002-04-18T16:08:00"/>
        <d v="2002-04-26T16:06:00"/>
        <d v="2002-06-17T21:26:00"/>
        <d v="2002-06-18T13:56:00"/>
        <d v="2002-06-22T02:58:00"/>
        <d v="2002-07-31T00:16:00"/>
        <d v="2002-08-14T13:57:00"/>
        <d v="2002-09-08T18:44:00"/>
        <d v="2002-09-13T22:28:00"/>
        <d v="2002-10-10T10:50:00"/>
        <d v="2002-10-10T12:28:00"/>
        <d v="2002-10-23T11:27:00"/>
        <d v="2002-11-02T01:26:00"/>
        <d v="2002-11-03T22:12:00"/>
        <d v="2002-12-12T08:30:00"/>
        <d v="2003-01-10T13:11:00"/>
        <d v="2003-01-20T08:43:00"/>
        <d v="2003-01-21T02:46:00"/>
        <d v="2003-01-22T02:06:00"/>
        <d v="2003-03-11T07:27:00"/>
        <d v="2003-03-25T02:53:00"/>
        <d v="2003-05-21T18:44:00"/>
        <d v="2003-05-26T09:24:00"/>
        <d v="2003-05-26T19:23:00"/>
        <d v="2003-06-07T00:32:00"/>
        <d v="2003-06-16T22:08:00"/>
        <d v="2003-06-20T13:30:00"/>
        <d v="2003-07-15T18:46:00"/>
        <d v="2003-08-04T04:37:00"/>
        <d v="2003-08-21T12:12:00"/>
        <d v="2003-09-21T18:16:00"/>
        <d v="2003-09-25T19:50:00"/>
        <d v="2003-09-25T21:08:00"/>
        <d v="2003-09-27T11:33:00"/>
        <d v="2003-09-29T02:36:00"/>
        <d v="2003-10-01T01:03:00"/>
        <d v="2003-10-08T09:06:00"/>
        <d v="2003-10-31T01:06:00"/>
        <d v="2003-11-06T10:38:00"/>
        <d v="2003-11-18T17:14:00"/>
        <d v="2003-11-25T20:19:00"/>
        <d v="2003-12-10T04:38:00"/>
        <d v="2003-12-22T19:15:00"/>
        <d v="2003-12-25T07:11:00"/>
        <d v="2003-12-26T01:56:00"/>
        <d v="2003-12-27T16:00:00"/>
        <d v="2004-01-28T22:15:00"/>
        <d v="2004-02-05T21:05:00"/>
        <d v="2004-02-07T02:42:00"/>
        <d v="2004-02-08T08:58:00"/>
        <d v="2004-04-05T21:24:00"/>
        <d v="2004-04-09T15:23:00"/>
        <d v="2004-04-23T01:50:00"/>
        <d v="2004-05-03T04:36:00"/>
        <d v="2004-06-10T15:19:00"/>
        <d v="2004-07-28T03:56:00"/>
        <d v="2004-08-28T13:41:00"/>
        <d v="2004-09-05T10:07:00"/>
        <d v="2004-09-05T14:57:00"/>
        <d v="2004-09-06T23:29:00"/>
        <d v="2004-10-08T08:27:00"/>
        <d v="2004-10-08T14:36:00"/>
        <d v="2004-10-09T21:26:00"/>
        <d v="2004-10-15T04:08:00"/>
        <d v="2004-10-23T08:56:00"/>
        <d v="2004-11-02T10:02:00"/>
        <d v="2004-11-11T17:34:00"/>
        <d v="2004-11-11T21:26:00"/>
        <d v="2004-11-15T09:06:00"/>
        <d v="2004-11-22T20:26:00"/>
        <d v="2004-11-26T02:25:00"/>
        <d v="2004-11-28T18:32:00"/>
        <d v="2004-12-06T14:15:00"/>
        <d v="2004-12-14T23:20:00"/>
        <d v="2004-12-23T14:59:00"/>
        <d v="2004-12-26T00:58:00"/>
        <d v="2004-12-26T04:21:00"/>
        <d v="2004-12-26T09:20:00"/>
        <d v="2005-01-19T06:11:00"/>
        <d v="2005-02-05T12:23:00"/>
        <d v="2005-02-08T14:48:00"/>
        <d v="2005-02-15T14:42:00"/>
        <d v="2005-02-19T00:04:00"/>
        <d v="2005-02-26T12:56:00"/>
        <d v="2005-03-02T10:42:00"/>
        <d v="2005-03-20T01:53:00"/>
        <d v="2005-03-28T16:09:00"/>
        <d v="2005-04-10T10:29:00"/>
        <d v="2005-04-10T11:14:00"/>
        <d v="2005-05-14T05:05:00"/>
        <d v="2005-05-19T01:54:00"/>
        <d v="2005-06-13T22:44:00"/>
        <d v="2005-06-15T02:50:00"/>
        <d v="2005-07-02T02:16:00"/>
        <d v="2005-07-05T01:52:00"/>
        <d v="2005-07-24T15:42:00"/>
        <d v="2005-08-16T02:46:00"/>
        <d v="2005-09-09T07:26:00"/>
        <d v="2005-09-26T01:55:00"/>
        <d v="2005-09-29T15:50:00"/>
        <d v="2005-10-08T03:50:00"/>
        <d v="2005-11-17T19:26:00"/>
        <d v="2005-11-19T14:10:00"/>
        <d v="2005-12-02T13:13:00"/>
        <d v="2005-12-05T12:19:00"/>
        <d v="2005-12-12T21:47:00"/>
        <d v="2006-01-04T08:32:00"/>
        <d v="2006-01-08T11:34:00"/>
        <d v="2006-02-22T22:19:00"/>
        <d v="2006-03-14T06:57:00"/>
        <d v="2006-04-07T08:30:00"/>
        <d v="2006-04-20T23:25:00"/>
        <d v="2006-04-29T16:58:00"/>
        <d v="2006-04-30T19:17:00"/>
        <d v="2006-04-30T21:40:00"/>
        <d v="2006-05-03T15:26:00"/>
        <d v="2006-05-16T15:28:00"/>
        <d v="2006-05-22T11:12:00"/>
        <d v="2006-05-28T03:12:00"/>
        <d v="2006-07-17T08:19:00"/>
        <d v="2006-08-07T22:18:00"/>
        <d v="2006-08-24T21:50:00"/>
        <d v="2006-09-01T10:18:00"/>
        <d v="2006-09-28T06:22:00"/>
        <d v="2006-10-15T17:07:00"/>
        <d v="2006-10-17T01:25:00"/>
        <d v="2006-10-20T10:48:00"/>
        <d v="2006-11-07T17:38:00"/>
        <d v="2006-11-15T11:14:00"/>
        <d v="2006-12-26T12:26:00"/>
        <d v="2006-12-26T12:34:00"/>
        <d v="2007-01-13T04:23:00"/>
        <d v="2007-01-21T11:27:00"/>
        <d v="2007-02-20T08:04:00"/>
        <d v="2007-03-25T00:40:00"/>
        <d v="2007-03-25T00:41:00"/>
        <d v="2007-04-01T20:39:00"/>
        <d v="2007-04-01T20:47:00"/>
        <d v="2007-04-01T21:11:00"/>
        <d v="2007-06-13T19:29:00"/>
        <d v="2007-07-16T01:13:00"/>
        <d v="2007-07-16T14:17:00"/>
        <d v="2007-07-26T05:40:00"/>
        <d v="2007-08-01T17:08:00"/>
        <d v="2007-08-08T17:05:00"/>
        <d v="2007-08-15T23:40:00"/>
        <d v="2007-08-16T08:39:00"/>
        <d v="2007-09-02T01:05:00"/>
        <d v="2007-09-10T01:49:00"/>
        <d v="2007-09-12T11:10:00"/>
        <d v="2007-09-12T23:49:00"/>
        <d v="2007-09-13T02:30:00"/>
        <d v="2007-09-13T03:35:00"/>
        <d v="2007-09-20T08:31:00"/>
        <d v="2007-09-26T12:36:00"/>
        <d v="2007-10-15T12:29:00"/>
        <d v="2007-10-24T21:02:00"/>
        <d v="2007-11-14T15:40:00"/>
        <d v="2007-11-15T15:05:00"/>
        <d v="2007-11-16T03:13:00"/>
        <d v="2007-11-22T08:48:00"/>
        <d v="2007-11-25T16:02:00"/>
        <d v="2007-11-25T19:53:00"/>
        <d v="2007-11-27T11:49:00"/>
        <d v="2007-11-29T19:00:00"/>
        <d v="2007-12-16T08:09:00"/>
        <d v="2007-12-20T07:55:00"/>
        <d v="2008-02-12T12:50:00"/>
        <d v="2008-02-14T10:09:00"/>
        <d v="2008-02-14T12:08:00"/>
        <d v="2008-02-20T08:08:00"/>
        <d v="2008-02-24T14:46:00"/>
        <d v="2008-02-25T08:36:00"/>
        <d v="2008-02-25T18:06:00"/>
        <d v="2008-02-25T21:02:00"/>
        <d v="2008-03-03T14:11:00"/>
        <d v="2008-03-20T22:32:00"/>
        <d v="2008-04-09T12:46:00"/>
        <d v="2008-05-07T16:45:00"/>
        <d v="2008-05-12T06:28:00"/>
        <d v="2008-06-13T23:43:00"/>
        <d v="2008-06-27T11:40:00"/>
        <d v="2008-07-19T02:39:00"/>
        <d v="2008-07-23T15:26:00"/>
        <d v="2008-08-25T13:21:00"/>
        <d v="2008-09-08T18:52:00"/>
        <d v="2008-09-11T00:00:00"/>
        <d v="2008-09-11T00:20:00"/>
        <d v="2008-10-05T15:52:00"/>
        <d v="2008-10-16T19:41:00"/>
        <d v="2008-11-16T17:02:00"/>
        <d v="2009-01-03T19:43:00"/>
        <d v="2009-01-03T20:23:00"/>
        <d v="2009-01-03T22:33:00"/>
        <d v="2009-02-11T17:34:00"/>
        <d v="2009-03-19T18:17:00"/>
        <d v="2009-05-28T08:24:00"/>
        <d v="2009-06-23T14:19:00"/>
        <d v="2009-07-15T09:22:00"/>
        <d v="2009-08-03T17:59:00"/>
        <d v="2009-08-09T10:55:00"/>
        <d v="2009-08-10T19:55:00"/>
        <d v="2009-08-12T22:48:00"/>
        <d v="2009-08-16T07:38:00"/>
        <d v="2009-09-02T07:55:00"/>
        <d v="2009-09-29T17:48:00"/>
        <d v="2009-09-30T10:16:00"/>
        <d v="2009-10-01T01:52:00"/>
        <d v="2009-10-07T22:03:00"/>
        <d v="2009-10-07T22:18:00"/>
        <d v="2009-10-07T23:13:00"/>
        <d v="2009-10-08T08:28:00"/>
        <d v="2009-10-24T14:40:00"/>
        <d v="2009-10-30T07:03:00"/>
        <d v="2009-11-08T19:41:00"/>
        <d v="2009-11-09T10:44:00"/>
        <d v="2009-11-13T03:05:00"/>
        <d v="2010-01-03T21:48:00"/>
        <d v="2010-01-03T22:36:00"/>
        <d v="2010-01-05T12:15:00"/>
        <d v="2010-01-10T00:27:00"/>
        <d v="2010-01-12T21:53:00"/>
        <d v="2010-02-26T20:31:00"/>
        <d v="2010-02-27T06:34:00"/>
        <d v="2010-02-27T08:01:00"/>
        <d v="2010-03-04T14:02:00"/>
        <d v="2010-03-05T11:47:00"/>
        <d v="2010-03-05T16:07:00"/>
        <d v="2010-03-11T14:39:00"/>
        <d v="2010-03-11T14:55:00"/>
        <d v="2010-03-14T08:08:00"/>
        <d v="2010-03-16T02:21:00"/>
        <d v="2010-03-30T16:54:00"/>
        <d v="2010-04-04T22:40:00"/>
        <d v="2010-04-06T22:15:00"/>
        <d v="2010-04-11T09:40:00"/>
        <d v="2010-04-13T23:49:00"/>
        <d v="2010-05-09T05:59:00"/>
        <d v="2010-05-27T17:14:00"/>
        <d v="2010-06-12T19:26:00"/>
        <d v="2010-06-16T03:16:00"/>
        <d v="2010-06-16T03:58:00"/>
        <d v="2010-06-26T05:30:00"/>
        <d v="2010-07-14T08:32:00"/>
        <d v="2010-07-18T13:04:00"/>
        <d v="2010-07-18T13:34:00"/>
        <d v="2010-07-23T22:51:00"/>
        <d v="2010-08-04T07:15:00"/>
        <d v="2010-08-04T22:01:00"/>
        <d v="2010-08-10T05:23:00"/>
        <d v="2010-08-12T11:54:00"/>
        <d v="2010-09-03T16:35:00"/>
        <d v="2010-09-29T17:11:00"/>
        <d v="2010-10-21T17:53:00"/>
        <d v="2010-10-25T14:42:00"/>
        <d v="2010-12-02T03:12:00"/>
        <d v="2010-12-20T18:41:00"/>
        <d v="2010-12-25T13:16:00"/>
        <d v="2011-01-02T20:20:00"/>
        <d v="2011-01-13T16:16:00"/>
        <d v="2011-01-18T20:23:00"/>
        <d v="2011-02-11T20:05:00"/>
        <d v="2011-02-14T03:40:00"/>
        <d v="2011-03-09T02:45:00"/>
        <d v="2011-03-11T05:46:00"/>
        <d v="2011-03-11T06:15:00"/>
        <d v="2011-03-11T06:25:00"/>
        <d v="2011-03-11T08:19:00"/>
        <d v="2011-03-11T11:36:00"/>
        <d v="2011-03-24T13:55:00"/>
        <d v="2011-04-07T13:11:00"/>
        <d v="2011-04-07T14:32:00"/>
        <d v="2011-04-11T08:16:00"/>
        <d v="2011-04-23T04:16:00"/>
        <d v="2011-05-10T08:55:00"/>
        <d v="2011-06-22T21:50:00"/>
        <d v="2011-07-06T19:03:00"/>
        <d v="2011-07-31T23:38:00"/>
        <d v="2011-08-20T16:55:00"/>
        <d v="2011-08-20T17:13:00"/>
        <d v="2011-08-20T18:19:00"/>
        <d v="2011-08-24T17:46:00"/>
        <d v="2011-09-03T22:55:00"/>
        <d v="2011-09-05T17:55:00"/>
        <d v="2011-09-16T19:26:00"/>
        <d v="2011-09-18T12:40:00"/>
        <d v="2011-10-14T03:35:00"/>
        <d v="2011-10-23T10:41:00"/>
        <d v="2011-10-28T18:54:00"/>
        <d v="2011-12-11T01:47:00"/>
        <d v="2011-12-14T05:04:00"/>
        <d v="2011-12-27T15:21:00"/>
        <d v="2012-01-10T18:36:00"/>
        <d v="2012-02-02T13:34:00"/>
        <d v="2012-02-06T03:49:00"/>
        <d v="2012-02-26T06:17:00"/>
        <d v="2012-03-20T18:02:00"/>
        <d v="2012-03-21T22:15:00"/>
        <d v="2012-03-25T22:37:00"/>
        <d v="2012-04-11T08:38:00"/>
        <d v="2012-04-11T10:43:00"/>
        <d v="2012-04-11T22:55:00"/>
        <d v="2012-04-12T07:15:00"/>
        <d v="2012-04-17T03:50:00"/>
        <d v="2012-04-17T07:13:00"/>
        <d v="2012-04-21T01:16:00"/>
        <d v="2012-04-28T10:08:00"/>
        <d v="2012-07-28T20:03:00"/>
        <d v="2012-08-14T02:59:00"/>
        <d v="2012-08-26T15:05:00"/>
        <d v="2012-08-27T04:37:00"/>
        <d v="2012-08-31T12:47:00"/>
        <d v="2012-09-05T14:42:00"/>
        <d v="2012-09-30T16:31:00"/>
        <d v="2012-10-12T00:31:00"/>
        <d v="2012-10-24T00:45:00"/>
        <d v="2012-10-28T03:04:00"/>
        <d v="2012-11-07T16:35:00"/>
        <d v="2012-11-11T01:12:00"/>
        <d v="2012-11-11T22:14:00"/>
        <d v="2012-12-07T08:18:00"/>
        <d v="2012-12-10T16:53:00"/>
        <d v="2012-12-21T22:28:00"/>
        <d v="2013-01-05T08:58:00"/>
        <d v="2013-01-30T20:15:00"/>
        <d v="2013-02-02T14:17:00"/>
        <d v="2013-02-06T01:12:00"/>
        <d v="2013-02-06T01:23:00"/>
        <d v="2013-02-06T01:54:00"/>
        <d v="2013-02-07T18:59:00"/>
        <d v="2013-02-08T11:12:00"/>
        <d v="2013-02-08T15:26:00"/>
        <d v="2013-02-09T14:16:00"/>
        <d v="2013-02-09T21:02:00"/>
        <d v="2013-02-14T13:13:00"/>
        <d v="2013-02-28T14:05:00"/>
        <d v="2013-03-01T13:20:00"/>
        <d v="2013-03-10T22:51:00"/>
        <d v="2013-04-06T04:42:00"/>
        <d v="2013-04-14T01:32:00"/>
        <d v="2013-04-16T10:44:00"/>
        <d v="2013-04-16T22:55:00"/>
        <d v="2013-04-19T03:05:00"/>
        <d v="2013-04-20T00:02:00"/>
        <d v="2013-04-23T23:14:00"/>
        <d v="2013-05-14T00:32:00"/>
        <d v="2013-05-23T17:19:00"/>
        <d v="2013-05-24T05:44:00"/>
        <d v="2013-05-24T14:56:00"/>
        <d v="2013-06-13T16:47:00"/>
        <d v="2013-06-15T17:34:00"/>
        <d v="2013-06-24T22:04:00"/>
        <d v="2013-07-07T18:35:00"/>
        <d v="2013-07-07T20:30:00"/>
        <d v="2013-07-15T14:03:00"/>
        <d v="2013-07-21T05:09:00"/>
        <d v="2013-08-13T15:43:00"/>
        <d v="2013-08-16T02:31:00"/>
        <d v="2013-08-30T16:25:00"/>
        <d v="2013-09-01T11:52:00"/>
        <d v="2013-09-04T00:18:00"/>
        <d v="2013-09-04T02:32:00"/>
        <d v="2013-09-24T11:29:00"/>
        <d v="2013-09-25T16:42:00"/>
        <d v="2013-09-28T07:34:00"/>
        <d v="2013-09-30T05:55:00"/>
        <d v="2013-10-01T03:38:00"/>
        <d v="2013-10-12T13:11:00"/>
        <d v="2013-10-15T00:12:00"/>
        <d v="2013-10-16T10:30:00"/>
        <d v="2013-10-19T17:54:00"/>
        <d v="2013-10-25T17:10:00"/>
        <d v="2013-10-31T23:03:00"/>
        <d v="2013-11-16T03:34:00"/>
        <d v="2013-11-17T09:04:00"/>
        <d v="2013-11-23T07:48:00"/>
        <d v="2014-01-01T16:03:00"/>
        <d v="2014-02-02T09:26:00"/>
        <d v="2014-02-07T08:40:00"/>
        <d v="2014-02-12T09:19:00"/>
        <d v="2014-02-18T09:27:00"/>
        <d v="2014-03-02T20:11:00"/>
        <d v="2014-03-10T05:18:00"/>
        <d v="2014-03-16T21:16:00"/>
        <d v="2014-04-01T23:46:00"/>
        <d v="2014-04-01T23:57:00"/>
        <d v="2014-04-03T01:58:00"/>
        <d v="2014-04-03T02:43:00"/>
        <d v="2014-04-11T07:07:00"/>
        <d v="2014-04-11T08:16:00"/>
        <d v="2014-04-11T20:29:00"/>
        <d v="2014-04-12T20:14:00"/>
        <d v="2014-04-13T12:36:00"/>
        <d v="2014-04-13T13:24:00"/>
        <d v="2014-04-18T14:27:00"/>
        <d v="2014-04-19T01:04:00"/>
        <d v="2014-04-19T13:28:00"/>
        <d v="2014-04-24T03:10:00"/>
        <d v="2014-05-01T06:36:00"/>
        <d v="2014-05-13T06:35:00"/>
        <d v="2014-05-24T09:25:00"/>
        <d v="2014-06-23T19:19:00"/>
        <d v="2014-06-23T19:21:00"/>
        <d v="2014-06-23T20:06:00"/>
        <d v="2014-06-23T20:53:00"/>
        <d v="2014-06-29T07:52:00"/>
        <d v="2014-06-29T17:15:00"/>
        <d v="2014-07-04T15:00:00"/>
        <d v="2014-07-07T11:23:00"/>
        <d v="2014-07-11T19:22:00"/>
        <d v="2014-07-21T14:54:00"/>
        <d v="2014-08-03T00:22:00"/>
        <d v="2014-08-24T23:21:00"/>
        <d v="2014-09-17T06:14:00"/>
        <d v="2014-10-14T03:51:00"/>
        <d v="2014-11-01T18:57:00"/>
        <d v="2014-11-07T03:33:00"/>
        <d v="2014-11-15T02:31:00"/>
        <d v="2014-11-16T22:33:00"/>
        <d v="2014-11-21T10:10:00"/>
        <d v="2014-11-26T14:33:00"/>
        <d v="2014-12-02T05:11:00"/>
        <d v="2014-12-07T01:22:00"/>
        <d v="2014-12-08T08:54:00"/>
        <d v="2015-01-07T05:07:00"/>
        <d v="2015-01-23T03:47:00"/>
        <d v="2015-02-11T18:57:00"/>
        <d v="2015-02-16T23:06:00"/>
        <d v="2015-02-27T13:45:00"/>
        <d v="2015-03-29T23:48:00"/>
        <d v="2015-03-30T08:48:00"/>
        <d v="2015-04-17T15:52:00"/>
        <d v="2015-04-25T06:11:00"/>
        <d v="2015-04-25T06:45:00"/>
        <d v="2015-04-26T07:09:00"/>
        <d v="2015-04-30T10:45:00"/>
        <d v="2015-05-01T08:06:00"/>
        <d v="2015-05-05T01:44:00"/>
        <d v="2015-05-07T07:10:00"/>
        <d v="2015-05-12T07:05:00"/>
        <d v="2015-05-12T21:12:00"/>
        <d v="2015-05-20T22:48:00"/>
        <d v="2015-05-22T21:45:00"/>
        <d v="2015-05-22T23:59:00"/>
        <d v="2015-05-29T07:00:00"/>
        <d v="2015-05-30T11:23:00"/>
        <d v="2015-06-23T12:18:00"/>
        <d v="2015-07-10T04:12:00"/>
        <d v="2015-07-16T15:16:00"/>
        <d v="2015-07-18T02:27:00"/>
        <d v="2015-07-27T04:49:00"/>
        <d v="2015-07-27T21:41:00"/>
        <d v="2015-08-10T04:12:00"/>
        <d v="2015-08-12T18:49:00"/>
        <d v="2015-09-13T08:14:00"/>
        <d v="2015-09-16T22:54:00"/>
        <d v="2015-09-16T23:18:00"/>
        <d v="2015-09-17T03:55:00"/>
        <d v="2015-09-17T04:10:00"/>
        <d v="2015-09-21T17:40:00"/>
        <d v="2015-09-24T15:53:00"/>
        <d v="2015-10-20T21:52:00"/>
        <d v="2015-10-26T09:09:00"/>
        <d v="2015-11-04T03:44:00"/>
        <d v="2015-11-07T07:31:00"/>
        <d v="2015-11-08T16:47:00"/>
        <d v="2015-11-11T01:54:00"/>
        <d v="2015-11-11T02:46:00"/>
        <d v="2015-11-13T20:51:00"/>
        <d v="2015-11-17T07:10:00"/>
        <d v="2015-11-18T18:31:00"/>
        <d v="2015-11-24T22:45:00"/>
        <d v="2015-11-24T22:50:00"/>
        <d v="2015-11-26T05:45:00"/>
        <d v="2015-12-07T07:50:00"/>
        <d v="2015-12-09T10:21:00"/>
        <d v="2015-12-17T19:49:00"/>
        <d v="2016-01-03T23:05:00"/>
        <d v="2016-01-11T16:38:00"/>
        <d v="2016-01-14T03:25:00"/>
        <d v="2016-01-21T18:06:00"/>
        <d v="2016-01-24T10:30:00"/>
        <d v="2016-01-30T03:25:00"/>
        <d v="2016-03-02T12:49:00"/>
        <d v="2016-04-03T08:23:00"/>
        <d v="2016-04-06T06:58:00"/>
        <d v="2016-04-07T03:32:00"/>
        <d v="2016-04-10T10:28:00"/>
        <d v="2016-04-13T13:55:00"/>
        <d v="2016-04-15T16:25:00"/>
        <d v="2016-04-16T23:58:00"/>
        <d v="2016-04-28T19:33:00"/>
        <d v="2016-05-18T07:57:00"/>
        <d v="2016-05-18T16:46:00"/>
        <d v="2016-05-28T05:38:00"/>
        <d v="2016-05-28T09:46:00"/>
        <d v="2016-06-01T22:56:00"/>
        <d v="2016-07-29T21:18:00"/>
        <d v="2016-08-12T01:26:00"/>
        <d v="2016-08-24T10:34:00"/>
        <d v="2016-08-31T03:11:00"/>
        <d v="2016-09-01T16:37:00"/>
        <d v="2016-09-24T21:28:00"/>
        <d v="2016-10-17T06:14:00"/>
        <d v="2016-10-19T00:26:00"/>
        <d v="2016-10-30T06:40:00"/>
        <d v="2016-11-13T11:02:00"/>
        <d v="2016-11-13T11:32:00"/>
        <d v="2016-11-14T00:34:00"/>
        <d v="2016-11-21T20:59:00"/>
        <d v="2016-11-24T18:43:00"/>
        <d v="2016-11-25T14:24:00"/>
        <d v="2016-12-06T22:03:00"/>
        <d v="2016-12-08T14:49:00"/>
        <d v="2016-12-08T17:38:00"/>
        <d v="2016-12-08T21:56:00"/>
        <d v="2016-12-09T19:10:00"/>
        <d v="2016-12-17T10:51:00"/>
        <d v="2016-12-21T00:17:00"/>
        <d v="2016-12-25T14:22:00"/>
        <d v="2017-01-03T21:52:00"/>
        <d v="2017-01-10T06:13:00"/>
        <d v="2017-01-19T23:04:00"/>
        <d v="2017-01-22T04:30:00"/>
        <d v="2017-02-10T14:03:00"/>
        <d v="2017-02-21T14:09:00"/>
        <d v="2017-02-24T17:28:00"/>
        <d v="2017-03-29T04:09:00"/>
        <d v="2017-04-03T17:40:00"/>
        <d v="2017-04-24T21:38:00"/>
        <d v="2017-04-28T20:23:00"/>
        <d v="2017-05-09T13:52:00"/>
        <d v="2017-05-10T23:23:00"/>
        <d v="2017-05-29T14:35:00"/>
        <d v="2017-06-02T22:24:00"/>
        <d v="2017-06-14T07:29:00"/>
        <d v="2017-06-22T12:31:00"/>
        <d v="2017-07-06T08:03:00"/>
        <d v="2017-07-11T07:00:00"/>
        <d v="2017-07-17T23:34:00"/>
        <d v="2017-07-20T22:31:00"/>
        <d v="2017-08-08T13:19:00"/>
        <d v="2017-09-08T04:49:00"/>
        <d v="2017-09-19T18:14:00"/>
        <d v="2017-10-08T22:34:00"/>
        <d v="2017-10-24T10:47:00"/>
        <d v="2017-10-31T00:42:00"/>
        <d v="2017-11-01T02:23:00"/>
        <d v="2017-11-04T09:00:00"/>
        <d v="2017-11-07T21:26:00"/>
        <d v="2017-11-12T18:18:00"/>
        <d v="2017-11-13T02:28:00"/>
        <d v="2017-11-19T15:09:00"/>
        <d v="2017-11-19T22:43:00"/>
        <d v="2017-12-13T18:03:00"/>
        <d v="2017-12-15T16:47:00"/>
        <d v="2018-01-10T02:51:00"/>
        <d v="2018-01-14T09:18:00"/>
        <d v="2018-01-23T09:31:00"/>
        <d v="2018-02-16T23:39:00"/>
        <d v="2018-02-25T17:44:00"/>
        <d v="2018-03-06T14:13:00"/>
        <d v="2018-03-08T17:39:00"/>
        <d v="2018-03-26T09:51:00"/>
        <d v="2018-03-29T21:25:00"/>
        <d v="2018-04-02T13:40:00"/>
        <d v="2018-05-04T22:32:00"/>
        <d v="2018-08-05T11:46:00"/>
        <d v="2018-08-15T21:56:00"/>
        <d v="2018-08-17T15:35:00"/>
        <d v="2018-08-19T00:19:00"/>
        <d v="2018-08-19T14:56:00"/>
        <d v="2018-08-21T21:31:00"/>
        <d v="2018-08-21T22:32:00"/>
        <d v="2018-08-24T09:04:00"/>
        <d v="2018-08-29T03:51:00"/>
        <d v="2018-09-05T18:07:00"/>
        <d v="2018-09-06T15:49:00"/>
        <d v="2018-09-09T19:31:00"/>
        <d v="2018-09-10T04:19:00"/>
        <d v="2018-09-16T21:11:00"/>
        <d v="2018-09-28T10:02:00"/>
        <d v="2018-09-30T10:52:00"/>
        <d v="2018-10-10T20:48:00"/>
        <d v="2018-10-10T23:16:00"/>
        <d v="2018-10-13T11:10:00"/>
        <d v="2018-10-16T01:03:00"/>
        <d v="2018-10-22T05:39:00"/>
        <d v="2018-10-22T06:16:00"/>
        <d v="2018-10-22T06:22:00"/>
        <d v="2018-10-25T22:54:00"/>
        <d v="2018-11-09T01:49:00"/>
        <d v="2018-11-18T20:25:00"/>
        <d v="2018-11-30T17:29:00"/>
        <d v="2018-12-05T04:18:00"/>
        <d v="2018-12-05T06:43:00"/>
        <d v="2018-12-11T02:26:00"/>
        <d v="2018-12-20T17:01:00"/>
        <d v="2018-12-29T03:39:00"/>
        <d v="2019-01-05T19:25:00"/>
        <d v="2019-01-06T17:27:00"/>
        <d v="2019-01-15T18:06:00"/>
        <d v="2019-01-20T01:32:00"/>
        <d v="2019-01-22T19:01:00"/>
        <d v="2019-02-01T16:14:00"/>
        <d v="2019-02-22T10:17:00"/>
        <d v="2019-03-01T08:50:00"/>
        <d v="2019-04-09T17:53:00"/>
        <d v="2019-04-12T11:40:00"/>
        <d v="2019-05-06T21:19:00"/>
        <d v="2019-05-14T12:58:00"/>
        <d v="2019-05-26T07:41:00"/>
        <d v="2019-05-30T09:03:00"/>
        <d v="2019-06-15T22:55:00"/>
        <d v="2019-06-24T02:53:00"/>
        <d v="2019-07-06T03:19:00"/>
        <d v="2019-07-07T15:08:00"/>
        <d v="2019-07-14T05:39:00"/>
        <d v="2019-07-14T09:10:00"/>
        <d v="2019-07-31T15:02:00"/>
        <d v="2019-08-01T18:28:00"/>
        <d v="2019-08-02T12:03:00"/>
        <d v="2019-08-27T23:55:00"/>
        <d v="2019-09-01T15:54:00"/>
        <d v="2019-09-25T23:46:00"/>
        <d v="2019-09-29T15:57:00"/>
        <d v="2019-10-29T01:04:00"/>
        <d v="2019-10-31T01:11:00"/>
        <d v="2019-11-04T22:43:00"/>
        <d v="2019-11-08T10:44:00"/>
        <d v="2019-11-14T16:17:00"/>
        <d v="2019-12-15T06:11:00"/>
        <d v="2020-01-24T17:55:00"/>
        <d v="2020-01-28T19:10:00"/>
        <d v="2020-02-13T10:33:00"/>
        <d v="2020-03-25T02:49:00"/>
        <d v="2020-03-31T23:52:00"/>
        <d v="2020-05-02T12:51:00"/>
        <d v="2020-05-06T13:53:00"/>
        <d v="2020-05-12T22:41:00"/>
        <d v="2020-05-15T11:03:00"/>
        <d v="2020-06-03T07:35:00"/>
        <d v="2020-06-13T15:51:00"/>
        <d v="2020-06-18T12:49:00"/>
        <d v="2020-06-23T15:29:00"/>
        <d v="2020-07-06T22:54:00"/>
        <d v="2020-07-17T02:50:00"/>
        <d v="2020-07-22T06:12:00"/>
        <d v="2020-08-18T00:03:00"/>
        <d v="2020-08-18T22:23:00"/>
        <d v="2020-08-18T22:29:00"/>
        <d v="2020-08-21T04:09:00"/>
        <d v="2020-08-30T21:20:00"/>
        <d v="2020-09-01T04:09:00"/>
        <d v="2020-09-01T21:09:00"/>
        <d v="2020-09-18T21:43:00"/>
        <d v="2020-10-19T20:54:00"/>
        <d v="2020-10-30T11:51:00"/>
        <d v="2020-12-27T21:39:00"/>
        <d v="2021-01-11T21:32:00"/>
        <d v="2021-01-21T12:23:00"/>
        <d v="2021-01-23T23:36:00"/>
        <d v="2021-02-10T13:19:00"/>
        <d v="2021-02-13T14:07:00"/>
        <d v="2021-03-04T13:27:00"/>
        <d v="2021-03-04T17:41:00"/>
        <d v="2021-03-04T19:28:00"/>
        <d v="2021-03-04T23:12:00"/>
        <d v="2021-03-16T18:38:00"/>
        <d v="2021-03-20T09:09:00"/>
        <d v="2021-04-24T00:23:00"/>
        <d v="2021-04-25T22:28:00"/>
        <d v="2021-05-01T01:27:00"/>
        <d v="2021-05-12T14:05:00"/>
        <d v="2021-05-14T06:33:00"/>
        <d v="2021-05-21T18:04:00"/>
        <d v="2021-05-21T22:13:00"/>
        <d v="2021-06-20T17:05:00"/>
        <d v="2021-07-21T21:15:00"/>
        <d v="2021-07-23T20:48:00"/>
        <d v="2021-07-29T06:15:00"/>
        <d v="2021-08-11T17:46:00"/>
        <d v="2021-08-12T18:32:00"/>
        <d v="2021-08-12T18:35:00"/>
        <d v="2021-08-14T11:57:00"/>
        <d v="2021-08-14T12:29:00"/>
        <d v="2021-08-16T11:10:00"/>
        <d v="2021-08-18T10:10:00"/>
        <d v="2021-08-22T00:45:00"/>
        <d v="2021-08-22T21:33:00"/>
        <d v="2021-09-08T01:47:00"/>
        <d v="2021-09-22T09:57:00"/>
        <d v="2021-10-02T06:29:00"/>
        <d v="2021-10-09T10:58:00"/>
        <d v="2021-10-11T09:10:00"/>
        <d v="2021-11-10T15:45:00"/>
        <d v="2021-11-28T10:52:00"/>
        <d v="2021-12-14T03:20:00"/>
        <d v="2021-12-29T18:25:00"/>
        <d v="2022-01-07T17:45:00"/>
        <d v="2022-01-11T01:07:00"/>
        <d v="2022-01-11T11:35:00"/>
        <d v="2022-01-11T12:39:00"/>
        <d v="2022-01-14T09:05:00"/>
        <d v="2022-01-29T02:46:00"/>
        <d v="2022-02-03T15:58:00"/>
        <d v="2022-02-16T20:21:00"/>
        <d v="2022-03-02T12:52:00"/>
        <d v="2022-03-13T21:09:00"/>
        <d v="2022-03-16T14:36:00"/>
        <d v="2022-03-22T17:41:00"/>
        <d v="2022-03-30T20:56:00"/>
        <d v="2022-03-31T05:44:00"/>
        <d v="2022-04-21T07:42:00"/>
        <d v="2022-05-10T23:06:00"/>
        <d v="2022-05-19T10:13:00"/>
        <d v="2022-05-26T12:02:00"/>
        <d v="2022-06-08T00:55:00"/>
        <d v="2022-07-27T00:43:00"/>
        <d v="2022-08-14T13:44:00"/>
        <d v="2022-09-05T04:52:00"/>
        <d v="2022-09-10T23:47:00"/>
        <d v="2022-09-14T11:04:00"/>
        <d v="2022-09-17T13:41:00"/>
        <d v="2022-09-18T06:44:00"/>
        <d v="2022-09-19T18:05:00"/>
        <d v="2022-09-22T06:16:00"/>
        <d v="2022-10-20T11:57:00"/>
        <d v="2022-11-09T09:38:00"/>
        <d v="2022-11-09T09:51:00"/>
        <d v="2022-11-09T10:14:00"/>
        <d v="2022-11-11T10:48:00"/>
        <d v="2022-11-12T07:09:00"/>
        <d v="2022-11-18T13:37:00"/>
        <d v="2022-11-22T02:03:00"/>
        <d v="2022-12-04T19:24:00"/>
        <d v="2023-01-08T12:32:00"/>
        <d v="2023-01-09T17:47:00"/>
        <d v="2023-01-18T06:06:00"/>
        <d v="2023-01-20T22:09:00"/>
        <d v="2023-02-06T01:17:00"/>
        <d v="2023-02-06T01:28:00"/>
        <d v="2023-02-06T10:24:00"/>
        <d v="2023-02-23T00:37:00"/>
        <d v="2023-03-01T05:36:00"/>
        <d v="2023-03-02T18:04:00"/>
        <d v="2023-03-04T06:41:00"/>
        <d v="2023-03-16T00:56:00"/>
        <d v="2023-03-18T17:12:00"/>
        <d v="2023-03-21T16:47:00"/>
        <d v="2023-03-22T16:00:00"/>
        <d v="2023-04-02T18:04:00"/>
        <d v="2023-04-03T03:06:00"/>
        <d v="2023-04-14T09:55:00"/>
        <d v="2023-04-18T04:31:00"/>
        <d v="2023-04-24T00:41:00"/>
        <d v="2023-04-24T20:00:00"/>
        <d v="2023-04-28T03:13:00"/>
        <d v="2023-05-10T16:02:00"/>
        <d v="2023-05-19T02:57:00"/>
        <d v="2023-05-20T01:51:00"/>
        <d v="2023-05-25T03:05:00"/>
        <d v="2023-06-15T18:06:00"/>
        <d v="2023-07-02T10:27:00"/>
        <d v="2023-07-10T20:28:00"/>
        <d v="2023-07-16T06:48:00"/>
        <d v="2023-07-17T03:05:00"/>
        <d v="2023-07-19T00:22:00"/>
        <d v="2023-08-16T12:47:00"/>
      </sharedItems>
    </cacheField>
    <cacheField name="Title_Pattern" numFmtId="0">
      <sharedItems count="2">
        <s v="Distance + direction + city"/>
        <s v="Named-region"/>
      </sharedItems>
    </cacheField>
    <cacheField name="magType_Normalized" numFmtId="0">
      <sharedItems count="9">
        <s v="mb"/>
        <s v="md"/>
        <s v="mi"/>
        <s v="ml"/>
        <s v="ms"/>
        <s v="mw"/>
        <s v="mwb"/>
        <s v="mwc"/>
        <s v="mww"/>
      </sharedItems>
    </cacheField>
    <cacheField name="Duplicate_Count" numFmtId="0">
      <sharedItems containsSemiMixedTypes="0" containsString="0" containsNumber="1" containsInteger="1" minValue="1" maxValue="2" count="2">
        <n v="1"/>
        <n v="2"/>
      </sharedItems>
    </cacheField>
    <cacheField name="Duplicate_Flag" numFmtId="0">
      <sharedItems count="2">
        <s v="Duplicate"/>
        <s v="Unique"/>
      </sharedItems>
    </cacheField>
    <cacheField name="Magnitude_Band" numFmtId="0">
      <sharedItems count="4">
        <s v="6.5–6.9"/>
        <s v="7.0–7.4"/>
        <s v="7.5–7.9"/>
        <s v="8.0+"/>
      </sharedItems>
    </cacheField>
    <cacheField name="Year" numFmtId="0">
      <sharedItems containsSemiMixedTypes="0" containsString="0" containsNumber="1" containsInteger="1" minValue="1995" maxValue="2023" count="29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86"/>
    <x v="0"/>
    <x v="537"/>
    <x v="7"/>
    <x v="3"/>
    <x v="0"/>
    <x v="0"/>
    <x v="7"/>
    <x v="9"/>
    <x v="32"/>
    <x v="374"/>
    <x v="115"/>
    <x v="8"/>
    <x v="317"/>
    <x v="245"/>
    <x v="914"/>
    <x v="433"/>
    <x v="6"/>
    <x v="54"/>
    <x v="989"/>
    <x v="0"/>
    <x v="8"/>
    <x v="0"/>
    <x v="1"/>
    <x v="0"/>
    <x v="28"/>
  </r>
  <r>
    <x v="87"/>
    <x v="0"/>
    <x v="634"/>
    <x v="8"/>
    <x v="5"/>
    <x v="3"/>
    <x v="0"/>
    <x v="100"/>
    <x v="9"/>
    <x v="22"/>
    <x v="61"/>
    <x v="185"/>
    <x v="8"/>
    <x v="214"/>
    <x v="655"/>
    <x v="160"/>
    <x v="159"/>
    <x v="6"/>
    <x v="56"/>
    <x v="988"/>
    <x v="0"/>
    <x v="8"/>
    <x v="0"/>
    <x v="1"/>
    <x v="0"/>
    <x v="28"/>
  </r>
  <r>
    <x v="227"/>
    <x v="1"/>
    <x v="569"/>
    <x v="7"/>
    <x v="4"/>
    <x v="0"/>
    <x v="0"/>
    <x v="176"/>
    <x v="9"/>
    <x v="16"/>
    <x v="164"/>
    <x v="137"/>
    <x v="8"/>
    <x v="303"/>
    <x v="35"/>
    <x v="280"/>
    <x v="237"/>
    <x v="5"/>
    <x v="3"/>
    <x v="987"/>
    <x v="0"/>
    <x v="8"/>
    <x v="0"/>
    <x v="1"/>
    <x v="0"/>
    <x v="28"/>
  </r>
  <r>
    <x v="778"/>
    <x v="7"/>
    <x v="528"/>
    <x v="6"/>
    <x v="5"/>
    <x v="0"/>
    <x v="1"/>
    <x v="156"/>
    <x v="9"/>
    <x v="58"/>
    <x v="90"/>
    <x v="173"/>
    <x v="8"/>
    <x v="128"/>
    <x v="961"/>
    <x v="70"/>
    <x v="409"/>
    <x v="6"/>
    <x v="56"/>
    <x v="986"/>
    <x v="0"/>
    <x v="8"/>
    <x v="0"/>
    <x v="1"/>
    <x v="1"/>
    <x v="28"/>
  </r>
  <r>
    <x v="813"/>
    <x v="8"/>
    <x v="528"/>
    <x v="0"/>
    <x v="4"/>
    <x v="4"/>
    <x v="1"/>
    <x v="129"/>
    <x v="1"/>
    <x v="20"/>
    <x v="87"/>
    <x v="252"/>
    <x v="2"/>
    <x v="79"/>
    <x v="963"/>
    <x v="69"/>
    <x v="18"/>
    <x v="6"/>
    <x v="56"/>
    <x v="986"/>
    <x v="1"/>
    <x v="2"/>
    <x v="0"/>
    <x v="1"/>
    <x v="1"/>
    <x v="28"/>
  </r>
  <r>
    <x v="231"/>
    <x v="1"/>
    <x v="308"/>
    <x v="5"/>
    <x v="3"/>
    <x v="0"/>
    <x v="1"/>
    <x v="118"/>
    <x v="9"/>
    <x v="23"/>
    <x v="230"/>
    <x v="175"/>
    <x v="8"/>
    <x v="20"/>
    <x v="725"/>
    <x v="306"/>
    <x v="96"/>
    <x v="6"/>
    <x v="56"/>
    <x v="985"/>
    <x v="0"/>
    <x v="8"/>
    <x v="0"/>
    <x v="1"/>
    <x v="0"/>
    <x v="28"/>
  </r>
  <r>
    <x v="612"/>
    <x v="4"/>
    <x v="48"/>
    <x v="4"/>
    <x v="3"/>
    <x v="0"/>
    <x v="1"/>
    <x v="76"/>
    <x v="9"/>
    <x v="44"/>
    <x v="122"/>
    <x v="103"/>
    <x v="8"/>
    <x v="339"/>
    <x v="189"/>
    <x v="49"/>
    <x v="473"/>
    <x v="6"/>
    <x v="56"/>
    <x v="984"/>
    <x v="1"/>
    <x v="8"/>
    <x v="0"/>
    <x v="1"/>
    <x v="0"/>
    <x v="28"/>
  </r>
  <r>
    <x v="782"/>
    <x v="7"/>
    <x v="484"/>
    <x v="8"/>
    <x v="5"/>
    <x v="0"/>
    <x v="1"/>
    <x v="120"/>
    <x v="9"/>
    <x v="21"/>
    <x v="241"/>
    <x v="109"/>
    <x v="8"/>
    <x v="300"/>
    <x v="119"/>
    <x v="34"/>
    <x v="462"/>
    <x v="6"/>
    <x v="56"/>
    <x v="983"/>
    <x v="1"/>
    <x v="8"/>
    <x v="0"/>
    <x v="1"/>
    <x v="1"/>
    <x v="28"/>
  </r>
  <r>
    <x v="310"/>
    <x v="1"/>
    <x v="822"/>
    <x v="6"/>
    <x v="5"/>
    <x v="0"/>
    <x v="1"/>
    <x v="68"/>
    <x v="9"/>
    <x v="6"/>
    <x v="210"/>
    <x v="251"/>
    <x v="8"/>
    <x v="20"/>
    <x v="621"/>
    <x v="201"/>
    <x v="339"/>
    <x v="6"/>
    <x v="10"/>
    <x v="982"/>
    <x v="1"/>
    <x v="8"/>
    <x v="0"/>
    <x v="1"/>
    <x v="0"/>
    <x v="28"/>
  </r>
  <r>
    <x v="740"/>
    <x v="6"/>
    <x v="665"/>
    <x v="3"/>
    <x v="3"/>
    <x v="0"/>
    <x v="1"/>
    <x v="102"/>
    <x v="9"/>
    <x v="25"/>
    <x v="254"/>
    <x v="221"/>
    <x v="8"/>
    <x v="137"/>
    <x v="115"/>
    <x v="963"/>
    <x v="466"/>
    <x v="6"/>
    <x v="56"/>
    <x v="981"/>
    <x v="1"/>
    <x v="8"/>
    <x v="0"/>
    <x v="1"/>
    <x v="1"/>
    <x v="28"/>
  </r>
  <r>
    <x v="916"/>
    <x v="12"/>
    <x v="631"/>
    <x v="5"/>
    <x v="3"/>
    <x v="0"/>
    <x v="1"/>
    <x v="191"/>
    <x v="9"/>
    <x v="93"/>
    <x v="271"/>
    <x v="37"/>
    <x v="8"/>
    <x v="60"/>
    <x v="113"/>
    <x v="964"/>
    <x v="466"/>
    <x v="6"/>
    <x v="56"/>
    <x v="980"/>
    <x v="1"/>
    <x v="8"/>
    <x v="0"/>
    <x v="1"/>
    <x v="2"/>
    <x v="28"/>
  </r>
  <r>
    <x v="890"/>
    <x v="11"/>
    <x v="302"/>
    <x v="8"/>
    <x v="5"/>
    <x v="0"/>
    <x v="1"/>
    <x v="180"/>
    <x v="9"/>
    <x v="30"/>
    <x v="291"/>
    <x v="55"/>
    <x v="8"/>
    <x v="329"/>
    <x v="218"/>
    <x v="53"/>
    <x v="145"/>
    <x v="6"/>
    <x v="56"/>
    <x v="979"/>
    <x v="0"/>
    <x v="8"/>
    <x v="0"/>
    <x v="1"/>
    <x v="2"/>
    <x v="28"/>
  </r>
  <r>
    <x v="311"/>
    <x v="1"/>
    <x v="903"/>
    <x v="0"/>
    <x v="1"/>
    <x v="0"/>
    <x v="0"/>
    <x v="14"/>
    <x v="9"/>
    <x v="8"/>
    <x v="345"/>
    <x v="209"/>
    <x v="8"/>
    <x v="382"/>
    <x v="102"/>
    <x v="985"/>
    <x v="462"/>
    <x v="6"/>
    <x v="56"/>
    <x v="978"/>
    <x v="1"/>
    <x v="8"/>
    <x v="0"/>
    <x v="1"/>
    <x v="0"/>
    <x v="28"/>
  </r>
  <r>
    <x v="699"/>
    <x v="6"/>
    <x v="787"/>
    <x v="9"/>
    <x v="6"/>
    <x v="0"/>
    <x v="0"/>
    <x v="141"/>
    <x v="9"/>
    <x v="16"/>
    <x v="218"/>
    <x v="224"/>
    <x v="8"/>
    <x v="48"/>
    <x v="526"/>
    <x v="450"/>
    <x v="457"/>
    <x v="6"/>
    <x v="20"/>
    <x v="977"/>
    <x v="0"/>
    <x v="8"/>
    <x v="0"/>
    <x v="1"/>
    <x v="1"/>
    <x v="28"/>
  </r>
  <r>
    <x v="737"/>
    <x v="6"/>
    <x v="786"/>
    <x v="8"/>
    <x v="6"/>
    <x v="0"/>
    <x v="1"/>
    <x v="102"/>
    <x v="9"/>
    <x v="37"/>
    <x v="64"/>
    <x v="103"/>
    <x v="8"/>
    <x v="158"/>
    <x v="77"/>
    <x v="19"/>
    <x v="193"/>
    <x v="6"/>
    <x v="56"/>
    <x v="976"/>
    <x v="1"/>
    <x v="8"/>
    <x v="0"/>
    <x v="1"/>
    <x v="1"/>
    <x v="28"/>
  </r>
  <r>
    <x v="428"/>
    <x v="2"/>
    <x v="592"/>
    <x v="0"/>
    <x v="2"/>
    <x v="0"/>
    <x v="1"/>
    <x v="31"/>
    <x v="9"/>
    <x v="57"/>
    <x v="335"/>
    <x v="5"/>
    <x v="8"/>
    <x v="378"/>
    <x v="127"/>
    <x v="989"/>
    <x v="462"/>
    <x v="6"/>
    <x v="56"/>
    <x v="975"/>
    <x v="1"/>
    <x v="8"/>
    <x v="0"/>
    <x v="1"/>
    <x v="0"/>
    <x v="28"/>
  </r>
  <r>
    <x v="675"/>
    <x v="5"/>
    <x v="446"/>
    <x v="5"/>
    <x v="2"/>
    <x v="0"/>
    <x v="0"/>
    <x v="128"/>
    <x v="9"/>
    <x v="41"/>
    <x v="191"/>
    <x v="153"/>
    <x v="8"/>
    <x v="376"/>
    <x v="386"/>
    <x v="500"/>
    <x v="476"/>
    <x v="6"/>
    <x v="20"/>
    <x v="974"/>
    <x v="0"/>
    <x v="8"/>
    <x v="0"/>
    <x v="1"/>
    <x v="1"/>
    <x v="28"/>
  </r>
  <r>
    <x v="154"/>
    <x v="0"/>
    <x v="86"/>
    <x v="7"/>
    <x v="5"/>
    <x v="3"/>
    <x v="1"/>
    <x v="5"/>
    <x v="9"/>
    <x v="27"/>
    <x v="17"/>
    <x v="147"/>
    <x v="8"/>
    <x v="243"/>
    <x v="953"/>
    <x v="842"/>
    <x v="463"/>
    <x v="1"/>
    <x v="40"/>
    <x v="973"/>
    <x v="1"/>
    <x v="8"/>
    <x v="0"/>
    <x v="1"/>
    <x v="0"/>
    <x v="28"/>
  </r>
  <r>
    <x v="680"/>
    <x v="5"/>
    <x v="44"/>
    <x v="7"/>
    <x v="6"/>
    <x v="0"/>
    <x v="1"/>
    <x v="105"/>
    <x v="9"/>
    <x v="28"/>
    <x v="367"/>
    <x v="153"/>
    <x v="8"/>
    <x v="204"/>
    <x v="458"/>
    <x v="709"/>
    <x v="303"/>
    <x v="1"/>
    <x v="35"/>
    <x v="972"/>
    <x v="1"/>
    <x v="8"/>
    <x v="0"/>
    <x v="1"/>
    <x v="1"/>
    <x v="28"/>
  </r>
  <r>
    <x v="131"/>
    <x v="0"/>
    <x v="722"/>
    <x v="4"/>
    <x v="3"/>
    <x v="0"/>
    <x v="0"/>
    <x v="6"/>
    <x v="9"/>
    <x v="24"/>
    <x v="163"/>
    <x v="162"/>
    <x v="8"/>
    <x v="328"/>
    <x v="108"/>
    <x v="297"/>
    <x v="395"/>
    <x v="5"/>
    <x v="3"/>
    <x v="971"/>
    <x v="0"/>
    <x v="8"/>
    <x v="0"/>
    <x v="1"/>
    <x v="0"/>
    <x v="28"/>
  </r>
  <r>
    <x v="81"/>
    <x v="0"/>
    <x v="690"/>
    <x v="7"/>
    <x v="4"/>
    <x v="0"/>
    <x v="0"/>
    <x v="295"/>
    <x v="9"/>
    <x v="42"/>
    <x v="237"/>
    <x v="25"/>
    <x v="8"/>
    <x v="315"/>
    <x v="832"/>
    <x v="388"/>
    <x v="174"/>
    <x v="1"/>
    <x v="0"/>
    <x v="970"/>
    <x v="0"/>
    <x v="8"/>
    <x v="0"/>
    <x v="1"/>
    <x v="0"/>
    <x v="28"/>
  </r>
  <r>
    <x v="527"/>
    <x v="3"/>
    <x v="588"/>
    <x v="9"/>
    <x v="6"/>
    <x v="1"/>
    <x v="1"/>
    <x v="270"/>
    <x v="9"/>
    <x v="53"/>
    <x v="65"/>
    <x v="137"/>
    <x v="8"/>
    <x v="209"/>
    <x v="491"/>
    <x v="186"/>
    <x v="115"/>
    <x v="5"/>
    <x v="12"/>
    <x v="969"/>
    <x v="1"/>
    <x v="8"/>
    <x v="0"/>
    <x v="1"/>
    <x v="0"/>
    <x v="28"/>
  </r>
  <r>
    <x v="678"/>
    <x v="5"/>
    <x v="512"/>
    <x v="8"/>
    <x v="4"/>
    <x v="0"/>
    <x v="1"/>
    <x v="86"/>
    <x v="9"/>
    <x v="34"/>
    <x v="181"/>
    <x v="95"/>
    <x v="8"/>
    <x v="83"/>
    <x v="73"/>
    <x v="45"/>
    <x v="192"/>
    <x v="6"/>
    <x v="56"/>
    <x v="968"/>
    <x v="1"/>
    <x v="8"/>
    <x v="0"/>
    <x v="1"/>
    <x v="1"/>
    <x v="28"/>
  </r>
  <r>
    <x v="606"/>
    <x v="4"/>
    <x v="110"/>
    <x v="5"/>
    <x v="4"/>
    <x v="0"/>
    <x v="1"/>
    <x v="70"/>
    <x v="9"/>
    <x v="29"/>
    <x v="74"/>
    <x v="62"/>
    <x v="8"/>
    <x v="325"/>
    <x v="87"/>
    <x v="7"/>
    <x v="193"/>
    <x v="6"/>
    <x v="56"/>
    <x v="967"/>
    <x v="1"/>
    <x v="8"/>
    <x v="0"/>
    <x v="1"/>
    <x v="0"/>
    <x v="28"/>
  </r>
  <r>
    <x v="133"/>
    <x v="0"/>
    <x v="42"/>
    <x v="7"/>
    <x v="5"/>
    <x v="0"/>
    <x v="1"/>
    <x v="3"/>
    <x v="9"/>
    <x v="13"/>
    <x v="356"/>
    <x v="195"/>
    <x v="8"/>
    <x v="20"/>
    <x v="224"/>
    <x v="893"/>
    <x v="359"/>
    <x v="6"/>
    <x v="56"/>
    <x v="966"/>
    <x v="0"/>
    <x v="8"/>
    <x v="0"/>
    <x v="1"/>
    <x v="0"/>
    <x v="28"/>
  </r>
  <r>
    <x v="7"/>
    <x v="0"/>
    <x v="8"/>
    <x v="4"/>
    <x v="1"/>
    <x v="0"/>
    <x v="1"/>
    <x v="2"/>
    <x v="9"/>
    <x v="33"/>
    <x v="251"/>
    <x v="78"/>
    <x v="8"/>
    <x v="383"/>
    <x v="438"/>
    <x v="752"/>
    <x v="197"/>
    <x v="6"/>
    <x v="35"/>
    <x v="965"/>
    <x v="0"/>
    <x v="8"/>
    <x v="0"/>
    <x v="1"/>
    <x v="0"/>
    <x v="28"/>
  </r>
  <r>
    <x v="498"/>
    <x v="3"/>
    <x v="752"/>
    <x v="9"/>
    <x v="6"/>
    <x v="0"/>
    <x v="0"/>
    <x v="72"/>
    <x v="9"/>
    <x v="39"/>
    <x v="180"/>
    <x v="78"/>
    <x v="8"/>
    <x v="76"/>
    <x v="862"/>
    <x v="394"/>
    <x v="284"/>
    <x v="1"/>
    <x v="45"/>
    <x v="964"/>
    <x v="0"/>
    <x v="8"/>
    <x v="0"/>
    <x v="1"/>
    <x v="0"/>
    <x v="28"/>
  </r>
  <r>
    <x v="857"/>
    <x v="10"/>
    <x v="167"/>
    <x v="9"/>
    <x v="8"/>
    <x v="1"/>
    <x v="0"/>
    <x v="304"/>
    <x v="9"/>
    <x v="43"/>
    <x v="83"/>
    <x v="55"/>
    <x v="8"/>
    <x v="20"/>
    <x v="860"/>
    <x v="361"/>
    <x v="117"/>
    <x v="1"/>
    <x v="50"/>
    <x v="963"/>
    <x v="0"/>
    <x v="8"/>
    <x v="0"/>
    <x v="1"/>
    <x v="2"/>
    <x v="28"/>
  </r>
  <r>
    <x v="350"/>
    <x v="2"/>
    <x v="166"/>
    <x v="9"/>
    <x v="7"/>
    <x v="3"/>
    <x v="0"/>
    <x v="117"/>
    <x v="9"/>
    <x v="29"/>
    <x v="11"/>
    <x v="193"/>
    <x v="8"/>
    <x v="41"/>
    <x v="846"/>
    <x v="359"/>
    <x v="315"/>
    <x v="1"/>
    <x v="50"/>
    <x v="962"/>
    <x v="0"/>
    <x v="8"/>
    <x v="0"/>
    <x v="1"/>
    <x v="0"/>
    <x v="28"/>
  </r>
  <r>
    <x v="934"/>
    <x v="13"/>
    <x v="165"/>
    <x v="9"/>
    <x v="8"/>
    <x v="2"/>
    <x v="0"/>
    <x v="355"/>
    <x v="9"/>
    <x v="36"/>
    <x v="192"/>
    <x v="159"/>
    <x v="8"/>
    <x v="58"/>
    <x v="841"/>
    <x v="360"/>
    <x v="86"/>
    <x v="1"/>
    <x v="50"/>
    <x v="961"/>
    <x v="1"/>
    <x v="8"/>
    <x v="0"/>
    <x v="1"/>
    <x v="2"/>
    <x v="28"/>
  </r>
  <r>
    <x v="429"/>
    <x v="3"/>
    <x v="654"/>
    <x v="4"/>
    <x v="2"/>
    <x v="0"/>
    <x v="0"/>
    <x v="56"/>
    <x v="9"/>
    <x v="9"/>
    <x v="347"/>
    <x v="227"/>
    <x v="8"/>
    <x v="388"/>
    <x v="97"/>
    <x v="302"/>
    <x v="502"/>
    <x v="5"/>
    <x v="3"/>
    <x v="960"/>
    <x v="1"/>
    <x v="8"/>
    <x v="0"/>
    <x v="1"/>
    <x v="0"/>
    <x v="28"/>
  </r>
  <r>
    <x v="630"/>
    <x v="5"/>
    <x v="586"/>
    <x v="3"/>
    <x v="4"/>
    <x v="0"/>
    <x v="1"/>
    <x v="86"/>
    <x v="9"/>
    <x v="40"/>
    <x v="196"/>
    <x v="55"/>
    <x v="7"/>
    <x v="116"/>
    <x v="574"/>
    <x v="590"/>
    <x v="470"/>
    <x v="6"/>
    <x v="20"/>
    <x v="959"/>
    <x v="0"/>
    <x v="7"/>
    <x v="0"/>
    <x v="1"/>
    <x v="1"/>
    <x v="28"/>
  </r>
  <r>
    <x v="893"/>
    <x v="11"/>
    <x v="254"/>
    <x v="5"/>
    <x v="6"/>
    <x v="0"/>
    <x v="0"/>
    <x v="207"/>
    <x v="9"/>
    <x v="32"/>
    <x v="158"/>
    <x v="87"/>
    <x v="8"/>
    <x v="241"/>
    <x v="349"/>
    <x v="619"/>
    <x v="372"/>
    <x v="6"/>
    <x v="20"/>
    <x v="958"/>
    <x v="1"/>
    <x v="8"/>
    <x v="0"/>
    <x v="1"/>
    <x v="2"/>
    <x v="28"/>
  </r>
  <r>
    <x v="683"/>
    <x v="5"/>
    <x v="223"/>
    <x v="8"/>
    <x v="6"/>
    <x v="0"/>
    <x v="1"/>
    <x v="95"/>
    <x v="9"/>
    <x v="34"/>
    <x v="364"/>
    <x v="173"/>
    <x v="8"/>
    <x v="120"/>
    <x v="230"/>
    <x v="906"/>
    <x v="487"/>
    <x v="6"/>
    <x v="54"/>
    <x v="957"/>
    <x v="1"/>
    <x v="8"/>
    <x v="0"/>
    <x v="1"/>
    <x v="1"/>
    <x v="28"/>
  </r>
  <r>
    <x v="433"/>
    <x v="3"/>
    <x v="128"/>
    <x v="5"/>
    <x v="4"/>
    <x v="0"/>
    <x v="1"/>
    <x v="58"/>
    <x v="9"/>
    <x v="53"/>
    <x v="240"/>
    <x v="123"/>
    <x v="8"/>
    <x v="141"/>
    <x v="223"/>
    <x v="59"/>
    <x v="145"/>
    <x v="6"/>
    <x v="56"/>
    <x v="956"/>
    <x v="0"/>
    <x v="8"/>
    <x v="0"/>
    <x v="1"/>
    <x v="0"/>
    <x v="27"/>
  </r>
  <r>
    <x v="634"/>
    <x v="5"/>
    <x v="745"/>
    <x v="8"/>
    <x v="6"/>
    <x v="0"/>
    <x v="1"/>
    <x v="95"/>
    <x v="9"/>
    <x v="35"/>
    <x v="42"/>
    <x v="55"/>
    <x v="8"/>
    <x v="37"/>
    <x v="301"/>
    <x v="849"/>
    <x v="252"/>
    <x v="4"/>
    <x v="42"/>
    <x v="955"/>
    <x v="0"/>
    <x v="8"/>
    <x v="0"/>
    <x v="1"/>
    <x v="1"/>
    <x v="27"/>
  </r>
  <r>
    <x v="553"/>
    <x v="4"/>
    <x v="616"/>
    <x v="4"/>
    <x v="3"/>
    <x v="0"/>
    <x v="0"/>
    <x v="70"/>
    <x v="9"/>
    <x v="26"/>
    <x v="212"/>
    <x v="168"/>
    <x v="8"/>
    <x v="98"/>
    <x v="432"/>
    <x v="471"/>
    <x v="57"/>
    <x v="6"/>
    <x v="56"/>
    <x v="954"/>
    <x v="0"/>
    <x v="8"/>
    <x v="0"/>
    <x v="1"/>
    <x v="0"/>
    <x v="27"/>
  </r>
  <r>
    <x v="614"/>
    <x v="5"/>
    <x v="398"/>
    <x v="3"/>
    <x v="2"/>
    <x v="0"/>
    <x v="1"/>
    <x v="85"/>
    <x v="9"/>
    <x v="51"/>
    <x v="273"/>
    <x v="62"/>
    <x v="8"/>
    <x v="372"/>
    <x v="161"/>
    <x v="11"/>
    <x v="502"/>
    <x v="4"/>
    <x v="14"/>
    <x v="953"/>
    <x v="1"/>
    <x v="8"/>
    <x v="0"/>
    <x v="1"/>
    <x v="1"/>
    <x v="27"/>
  </r>
  <r>
    <x v="799"/>
    <x v="8"/>
    <x v="365"/>
    <x v="5"/>
    <x v="4"/>
    <x v="0"/>
    <x v="1"/>
    <x v="138"/>
    <x v="9"/>
    <x v="52"/>
    <x v="189"/>
    <x v="87"/>
    <x v="8"/>
    <x v="140"/>
    <x v="174"/>
    <x v="60"/>
    <x v="297"/>
    <x v="6"/>
    <x v="56"/>
    <x v="952"/>
    <x v="0"/>
    <x v="8"/>
    <x v="0"/>
    <x v="1"/>
    <x v="1"/>
    <x v="27"/>
  </r>
  <r>
    <x v="161"/>
    <x v="1"/>
    <x v="279"/>
    <x v="0"/>
    <x v="1"/>
    <x v="0"/>
    <x v="1"/>
    <x v="14"/>
    <x v="9"/>
    <x v="41"/>
    <x v="343"/>
    <x v="130"/>
    <x v="8"/>
    <x v="394"/>
    <x v="100"/>
    <x v="980"/>
    <x v="502"/>
    <x v="6"/>
    <x v="56"/>
    <x v="951"/>
    <x v="1"/>
    <x v="8"/>
    <x v="0"/>
    <x v="1"/>
    <x v="0"/>
    <x v="27"/>
  </r>
  <r>
    <x v="681"/>
    <x v="5"/>
    <x v="278"/>
    <x v="4"/>
    <x v="2"/>
    <x v="0"/>
    <x v="1"/>
    <x v="85"/>
    <x v="9"/>
    <x v="48"/>
    <x v="329"/>
    <x v="123"/>
    <x v="6"/>
    <x v="398"/>
    <x v="98"/>
    <x v="984"/>
    <x v="462"/>
    <x v="6"/>
    <x v="56"/>
    <x v="950"/>
    <x v="1"/>
    <x v="6"/>
    <x v="0"/>
    <x v="1"/>
    <x v="1"/>
    <x v="27"/>
  </r>
  <r>
    <x v="529"/>
    <x v="3"/>
    <x v="277"/>
    <x v="1"/>
    <x v="2"/>
    <x v="0"/>
    <x v="1"/>
    <x v="49"/>
    <x v="9"/>
    <x v="44"/>
    <x v="334"/>
    <x v="95"/>
    <x v="8"/>
    <x v="397"/>
    <x v="99"/>
    <x v="983"/>
    <x v="462"/>
    <x v="6"/>
    <x v="56"/>
    <x v="949"/>
    <x v="1"/>
    <x v="8"/>
    <x v="0"/>
    <x v="1"/>
    <x v="0"/>
    <x v="27"/>
  </r>
  <r>
    <x v="396"/>
    <x v="2"/>
    <x v="679"/>
    <x v="7"/>
    <x v="5"/>
    <x v="0"/>
    <x v="1"/>
    <x v="114"/>
    <x v="9"/>
    <x v="50"/>
    <x v="114"/>
    <x v="175"/>
    <x v="8"/>
    <x v="72"/>
    <x v="613"/>
    <x v="181"/>
    <x v="65"/>
    <x v="6"/>
    <x v="34"/>
    <x v="948"/>
    <x v="0"/>
    <x v="8"/>
    <x v="0"/>
    <x v="1"/>
    <x v="0"/>
    <x v="27"/>
  </r>
  <r>
    <x v="492"/>
    <x v="3"/>
    <x v="738"/>
    <x v="8"/>
    <x v="6"/>
    <x v="3"/>
    <x v="1"/>
    <x v="275"/>
    <x v="9"/>
    <x v="60"/>
    <x v="209"/>
    <x v="241"/>
    <x v="8"/>
    <x v="72"/>
    <x v="708"/>
    <x v="119"/>
    <x v="14"/>
    <x v="3"/>
    <x v="26"/>
    <x v="947"/>
    <x v="0"/>
    <x v="8"/>
    <x v="0"/>
    <x v="1"/>
    <x v="0"/>
    <x v="27"/>
  </r>
  <r>
    <x v="878"/>
    <x v="11"/>
    <x v="639"/>
    <x v="9"/>
    <x v="7"/>
    <x v="3"/>
    <x v="1"/>
    <x v="337"/>
    <x v="9"/>
    <x v="90"/>
    <x v="115"/>
    <x v="233"/>
    <x v="8"/>
    <x v="106"/>
    <x v="710"/>
    <x v="118"/>
    <x v="14"/>
    <x v="3"/>
    <x v="26"/>
    <x v="946"/>
    <x v="0"/>
    <x v="8"/>
    <x v="0"/>
    <x v="1"/>
    <x v="2"/>
    <x v="27"/>
  </r>
  <r>
    <x v="596"/>
    <x v="4"/>
    <x v="607"/>
    <x v="9"/>
    <x v="8"/>
    <x v="3"/>
    <x v="1"/>
    <x v="169"/>
    <x v="9"/>
    <x v="65"/>
    <x v="30"/>
    <x v="168"/>
    <x v="8"/>
    <x v="20"/>
    <x v="737"/>
    <x v="524"/>
    <x v="500"/>
    <x v="1"/>
    <x v="44"/>
    <x v="945"/>
    <x v="0"/>
    <x v="8"/>
    <x v="0"/>
    <x v="1"/>
    <x v="0"/>
    <x v="27"/>
  </r>
  <r>
    <x v="143"/>
    <x v="0"/>
    <x v="575"/>
    <x v="7"/>
    <x v="6"/>
    <x v="0"/>
    <x v="1"/>
    <x v="86"/>
    <x v="9"/>
    <x v="61"/>
    <x v="35"/>
    <x v="216"/>
    <x v="8"/>
    <x v="20"/>
    <x v="734"/>
    <x v="525"/>
    <x v="242"/>
    <x v="1"/>
    <x v="44"/>
    <x v="944"/>
    <x v="0"/>
    <x v="8"/>
    <x v="0"/>
    <x v="1"/>
    <x v="0"/>
    <x v="27"/>
  </r>
  <r>
    <x v="637"/>
    <x v="5"/>
    <x v="463"/>
    <x v="7"/>
    <x v="4"/>
    <x v="0"/>
    <x v="1"/>
    <x v="91"/>
    <x v="9"/>
    <x v="62"/>
    <x v="264"/>
    <x v="195"/>
    <x v="8"/>
    <x v="277"/>
    <x v="147"/>
    <x v="959"/>
    <x v="161"/>
    <x v="6"/>
    <x v="56"/>
    <x v="943"/>
    <x v="0"/>
    <x v="8"/>
    <x v="0"/>
    <x v="1"/>
    <x v="1"/>
    <x v="27"/>
  </r>
  <r>
    <x v="885"/>
    <x v="11"/>
    <x v="314"/>
    <x v="8"/>
    <x v="7"/>
    <x v="3"/>
    <x v="1"/>
    <x v="211"/>
    <x v="9"/>
    <x v="91"/>
    <x v="275"/>
    <x v="17"/>
    <x v="8"/>
    <x v="256"/>
    <x v="382"/>
    <x v="735"/>
    <x v="177"/>
    <x v="4"/>
    <x v="35"/>
    <x v="942"/>
    <x v="0"/>
    <x v="8"/>
    <x v="0"/>
    <x v="1"/>
    <x v="2"/>
    <x v="27"/>
  </r>
  <r>
    <x v="251"/>
    <x v="1"/>
    <x v="152"/>
    <x v="9"/>
    <x v="7"/>
    <x v="1"/>
    <x v="0"/>
    <x v="242"/>
    <x v="9"/>
    <x v="47"/>
    <x v="391"/>
    <x v="168"/>
    <x v="8"/>
    <x v="26"/>
    <x v="776"/>
    <x v="485"/>
    <x v="183"/>
    <x v="1"/>
    <x v="36"/>
    <x v="941"/>
    <x v="0"/>
    <x v="8"/>
    <x v="0"/>
    <x v="1"/>
    <x v="0"/>
    <x v="27"/>
  </r>
  <r>
    <x v="312"/>
    <x v="1"/>
    <x v="461"/>
    <x v="7"/>
    <x v="5"/>
    <x v="0"/>
    <x v="1"/>
    <x v="16"/>
    <x v="9"/>
    <x v="15"/>
    <x v="352"/>
    <x v="168"/>
    <x v="8"/>
    <x v="122"/>
    <x v="56"/>
    <x v="4"/>
    <x v="464"/>
    <x v="6"/>
    <x v="56"/>
    <x v="940"/>
    <x v="1"/>
    <x v="8"/>
    <x v="0"/>
    <x v="1"/>
    <x v="0"/>
    <x v="27"/>
  </r>
  <r>
    <x v="619"/>
    <x v="5"/>
    <x v="882"/>
    <x v="9"/>
    <x v="7"/>
    <x v="3"/>
    <x v="1"/>
    <x v="296"/>
    <x v="9"/>
    <x v="53"/>
    <x v="351"/>
    <x v="95"/>
    <x v="8"/>
    <x v="132"/>
    <x v="702"/>
    <x v="521"/>
    <x v="47"/>
    <x v="1"/>
    <x v="38"/>
    <x v="939"/>
    <x v="0"/>
    <x v="8"/>
    <x v="0"/>
    <x v="1"/>
    <x v="1"/>
    <x v="27"/>
  </r>
  <r>
    <x v="5"/>
    <x v="0"/>
    <x v="230"/>
    <x v="3"/>
    <x v="1"/>
    <x v="0"/>
    <x v="0"/>
    <x v="3"/>
    <x v="9"/>
    <x v="75"/>
    <x v="199"/>
    <x v="153"/>
    <x v="8"/>
    <x v="392"/>
    <x v="310"/>
    <x v="265"/>
    <x v="452"/>
    <x v="5"/>
    <x v="7"/>
    <x v="938"/>
    <x v="0"/>
    <x v="8"/>
    <x v="0"/>
    <x v="1"/>
    <x v="0"/>
    <x v="27"/>
  </r>
  <r>
    <x v="741"/>
    <x v="7"/>
    <x v="854"/>
    <x v="7"/>
    <x v="4"/>
    <x v="0"/>
    <x v="1"/>
    <x v="166"/>
    <x v="9"/>
    <x v="49"/>
    <x v="233"/>
    <x v="185"/>
    <x v="8"/>
    <x v="341"/>
    <x v="233"/>
    <x v="282"/>
    <x v="34"/>
    <x v="5"/>
    <x v="37"/>
    <x v="937"/>
    <x v="0"/>
    <x v="8"/>
    <x v="0"/>
    <x v="1"/>
    <x v="1"/>
    <x v="27"/>
  </r>
  <r>
    <x v="530"/>
    <x v="4"/>
    <x v="630"/>
    <x v="2"/>
    <x v="4"/>
    <x v="0"/>
    <x v="1"/>
    <x v="68"/>
    <x v="9"/>
    <x v="38"/>
    <x v="28"/>
    <x v="195"/>
    <x v="8"/>
    <x v="20"/>
    <x v="17"/>
    <x v="844"/>
    <x v="502"/>
    <x v="6"/>
    <x v="56"/>
    <x v="936"/>
    <x v="1"/>
    <x v="8"/>
    <x v="0"/>
    <x v="1"/>
    <x v="0"/>
    <x v="27"/>
  </r>
  <r>
    <x v="512"/>
    <x v="3"/>
    <x v="301"/>
    <x v="6"/>
    <x v="4"/>
    <x v="0"/>
    <x v="1"/>
    <x v="92"/>
    <x v="9"/>
    <x v="55"/>
    <x v="151"/>
    <x v="147"/>
    <x v="8"/>
    <x v="332"/>
    <x v="106"/>
    <x v="295"/>
    <x v="395"/>
    <x v="5"/>
    <x v="3"/>
    <x v="935"/>
    <x v="0"/>
    <x v="8"/>
    <x v="0"/>
    <x v="1"/>
    <x v="0"/>
    <x v="27"/>
  </r>
  <r>
    <x v="267"/>
    <x v="1"/>
    <x v="693"/>
    <x v="6"/>
    <x v="4"/>
    <x v="0"/>
    <x v="1"/>
    <x v="92"/>
    <x v="9"/>
    <x v="0"/>
    <x v="92"/>
    <x v="242"/>
    <x v="8"/>
    <x v="107"/>
    <x v="641"/>
    <x v="163"/>
    <x v="256"/>
    <x v="6"/>
    <x v="56"/>
    <x v="934"/>
    <x v="0"/>
    <x v="8"/>
    <x v="0"/>
    <x v="1"/>
    <x v="0"/>
    <x v="27"/>
  </r>
  <r>
    <x v="682"/>
    <x v="5"/>
    <x v="979"/>
    <x v="6"/>
    <x v="3"/>
    <x v="0"/>
    <x v="1"/>
    <x v="93"/>
    <x v="9"/>
    <x v="0"/>
    <x v="249"/>
    <x v="123"/>
    <x v="8"/>
    <x v="20"/>
    <x v="124"/>
    <x v="961"/>
    <x v="466"/>
    <x v="6"/>
    <x v="56"/>
    <x v="933"/>
    <x v="1"/>
    <x v="8"/>
    <x v="0"/>
    <x v="1"/>
    <x v="1"/>
    <x v="27"/>
  </r>
  <r>
    <x v="569"/>
    <x v="4"/>
    <x v="956"/>
    <x v="6"/>
    <x v="3"/>
    <x v="0"/>
    <x v="1"/>
    <x v="73"/>
    <x v="9"/>
    <x v="0"/>
    <x v="248"/>
    <x v="189"/>
    <x v="8"/>
    <x v="20"/>
    <x v="122"/>
    <x v="960"/>
    <x v="448"/>
    <x v="6"/>
    <x v="56"/>
    <x v="932"/>
    <x v="0"/>
    <x v="8"/>
    <x v="0"/>
    <x v="1"/>
    <x v="0"/>
    <x v="27"/>
  </r>
  <r>
    <x v="401"/>
    <x v="2"/>
    <x v="721"/>
    <x v="8"/>
    <x v="6"/>
    <x v="0"/>
    <x v="1"/>
    <x v="122"/>
    <x v="9"/>
    <x v="0"/>
    <x v="21"/>
    <x v="159"/>
    <x v="8"/>
    <x v="94"/>
    <x v="738"/>
    <x v="528"/>
    <x v="150"/>
    <x v="1"/>
    <x v="44"/>
    <x v="931"/>
    <x v="0"/>
    <x v="8"/>
    <x v="0"/>
    <x v="1"/>
    <x v="0"/>
    <x v="27"/>
  </r>
  <r>
    <x v="808"/>
    <x v="8"/>
    <x v="511"/>
    <x v="9"/>
    <x v="7"/>
    <x v="2"/>
    <x v="1"/>
    <x v="350"/>
    <x v="9"/>
    <x v="0"/>
    <x v="262"/>
    <x v="143"/>
    <x v="8"/>
    <x v="152"/>
    <x v="854"/>
    <x v="677"/>
    <x v="291"/>
    <x v="6"/>
    <x v="56"/>
    <x v="930"/>
    <x v="0"/>
    <x v="8"/>
    <x v="0"/>
    <x v="1"/>
    <x v="1"/>
    <x v="27"/>
  </r>
  <r>
    <x v="348"/>
    <x v="2"/>
    <x v="408"/>
    <x v="9"/>
    <x v="5"/>
    <x v="0"/>
    <x v="0"/>
    <x v="46"/>
    <x v="9"/>
    <x v="0"/>
    <x v="211"/>
    <x v="192"/>
    <x v="8"/>
    <x v="111"/>
    <x v="529"/>
    <x v="451"/>
    <x v="345"/>
    <x v="1"/>
    <x v="20"/>
    <x v="929"/>
    <x v="0"/>
    <x v="8"/>
    <x v="0"/>
    <x v="1"/>
    <x v="0"/>
    <x v="27"/>
  </r>
  <r>
    <x v="305"/>
    <x v="1"/>
    <x v="41"/>
    <x v="2"/>
    <x v="6"/>
    <x v="0"/>
    <x v="1"/>
    <x v="14"/>
    <x v="9"/>
    <x v="0"/>
    <x v="81"/>
    <x v="197"/>
    <x v="8"/>
    <x v="94"/>
    <x v="75"/>
    <x v="25"/>
    <x v="193"/>
    <x v="6"/>
    <x v="56"/>
    <x v="928"/>
    <x v="1"/>
    <x v="8"/>
    <x v="0"/>
    <x v="1"/>
    <x v="0"/>
    <x v="27"/>
  </r>
  <r>
    <x v="529"/>
    <x v="3"/>
    <x v="507"/>
    <x v="2"/>
    <x v="2"/>
    <x v="0"/>
    <x v="1"/>
    <x v="50"/>
    <x v="9"/>
    <x v="0"/>
    <x v="358"/>
    <x v="17"/>
    <x v="8"/>
    <x v="361"/>
    <x v="105"/>
    <x v="0"/>
    <x v="462"/>
    <x v="6"/>
    <x v="56"/>
    <x v="927"/>
    <x v="1"/>
    <x v="8"/>
    <x v="0"/>
    <x v="1"/>
    <x v="0"/>
    <x v="27"/>
  </r>
  <r>
    <x v="94"/>
    <x v="0"/>
    <x v="74"/>
    <x v="8"/>
    <x v="5"/>
    <x v="0"/>
    <x v="0"/>
    <x v="30"/>
    <x v="9"/>
    <x v="0"/>
    <x v="268"/>
    <x v="95"/>
    <x v="8"/>
    <x v="248"/>
    <x v="453"/>
    <x v="203"/>
    <x v="50"/>
    <x v="5"/>
    <x v="37"/>
    <x v="926"/>
    <x v="0"/>
    <x v="8"/>
    <x v="0"/>
    <x v="1"/>
    <x v="0"/>
    <x v="27"/>
  </r>
  <r>
    <x v="151"/>
    <x v="0"/>
    <x v="923"/>
    <x v="7"/>
    <x v="3"/>
    <x v="0"/>
    <x v="1"/>
    <x v="1"/>
    <x v="9"/>
    <x v="0"/>
    <x v="111"/>
    <x v="222"/>
    <x v="8"/>
    <x v="9"/>
    <x v="84"/>
    <x v="38"/>
    <x v="192"/>
    <x v="6"/>
    <x v="56"/>
    <x v="925"/>
    <x v="1"/>
    <x v="8"/>
    <x v="0"/>
    <x v="1"/>
    <x v="0"/>
    <x v="27"/>
  </r>
  <r>
    <x v="289"/>
    <x v="1"/>
    <x v="437"/>
    <x v="8"/>
    <x v="5"/>
    <x v="0"/>
    <x v="0"/>
    <x v="108"/>
    <x v="9"/>
    <x v="0"/>
    <x v="226"/>
    <x v="95"/>
    <x v="8"/>
    <x v="130"/>
    <x v="352"/>
    <x v="491"/>
    <x v="221"/>
    <x v="6"/>
    <x v="20"/>
    <x v="924"/>
    <x v="0"/>
    <x v="8"/>
    <x v="0"/>
    <x v="1"/>
    <x v="0"/>
    <x v="27"/>
  </r>
  <r>
    <x v="116"/>
    <x v="0"/>
    <x v="327"/>
    <x v="0"/>
    <x v="2"/>
    <x v="4"/>
    <x v="1"/>
    <x v="0"/>
    <x v="1"/>
    <x v="24"/>
    <x v="162"/>
    <x v="245"/>
    <x v="2"/>
    <x v="140"/>
    <x v="949"/>
    <x v="66"/>
    <x v="306"/>
    <x v="6"/>
    <x v="56"/>
    <x v="923"/>
    <x v="0"/>
    <x v="2"/>
    <x v="1"/>
    <x v="0"/>
    <x v="0"/>
    <x v="27"/>
  </r>
  <r>
    <x v="116"/>
    <x v="0"/>
    <x v="327"/>
    <x v="0"/>
    <x v="2"/>
    <x v="4"/>
    <x v="1"/>
    <x v="0"/>
    <x v="8"/>
    <x v="3"/>
    <x v="0"/>
    <x v="254"/>
    <x v="2"/>
    <x v="140"/>
    <x v="949"/>
    <x v="66"/>
    <x v="306"/>
    <x v="6"/>
    <x v="56"/>
    <x v="923"/>
    <x v="0"/>
    <x v="2"/>
    <x v="1"/>
    <x v="0"/>
    <x v="0"/>
    <x v="27"/>
  </r>
  <r>
    <x v="266"/>
    <x v="1"/>
    <x v="327"/>
    <x v="8"/>
    <x v="4"/>
    <x v="0"/>
    <x v="1"/>
    <x v="18"/>
    <x v="9"/>
    <x v="0"/>
    <x v="41"/>
    <x v="208"/>
    <x v="8"/>
    <x v="65"/>
    <x v="950"/>
    <x v="65"/>
    <x v="306"/>
    <x v="6"/>
    <x v="56"/>
    <x v="923"/>
    <x v="0"/>
    <x v="8"/>
    <x v="0"/>
    <x v="1"/>
    <x v="0"/>
    <x v="27"/>
  </r>
  <r>
    <x v="414"/>
    <x v="2"/>
    <x v="326"/>
    <x v="0"/>
    <x v="3"/>
    <x v="4"/>
    <x v="1"/>
    <x v="31"/>
    <x v="1"/>
    <x v="6"/>
    <x v="95"/>
    <x v="250"/>
    <x v="2"/>
    <x v="130"/>
    <x v="948"/>
    <x v="68"/>
    <x v="306"/>
    <x v="6"/>
    <x v="56"/>
    <x v="922"/>
    <x v="0"/>
    <x v="2"/>
    <x v="1"/>
    <x v="0"/>
    <x v="0"/>
    <x v="27"/>
  </r>
  <r>
    <x v="414"/>
    <x v="2"/>
    <x v="326"/>
    <x v="0"/>
    <x v="3"/>
    <x v="4"/>
    <x v="1"/>
    <x v="31"/>
    <x v="8"/>
    <x v="2"/>
    <x v="0"/>
    <x v="253"/>
    <x v="2"/>
    <x v="130"/>
    <x v="948"/>
    <x v="68"/>
    <x v="306"/>
    <x v="6"/>
    <x v="56"/>
    <x v="922"/>
    <x v="0"/>
    <x v="2"/>
    <x v="1"/>
    <x v="0"/>
    <x v="0"/>
    <x v="27"/>
  </r>
  <r>
    <x v="430"/>
    <x v="3"/>
    <x v="326"/>
    <x v="7"/>
    <x v="5"/>
    <x v="0"/>
    <x v="1"/>
    <x v="65"/>
    <x v="9"/>
    <x v="0"/>
    <x v="94"/>
    <x v="227"/>
    <x v="8"/>
    <x v="72"/>
    <x v="952"/>
    <x v="67"/>
    <x v="306"/>
    <x v="6"/>
    <x v="56"/>
    <x v="922"/>
    <x v="0"/>
    <x v="8"/>
    <x v="0"/>
    <x v="1"/>
    <x v="0"/>
    <x v="27"/>
  </r>
  <r>
    <x v="256"/>
    <x v="1"/>
    <x v="325"/>
    <x v="6"/>
    <x v="5"/>
    <x v="0"/>
    <x v="0"/>
    <x v="214"/>
    <x v="9"/>
    <x v="0"/>
    <x v="119"/>
    <x v="87"/>
    <x v="8"/>
    <x v="79"/>
    <x v="809"/>
    <x v="355"/>
    <x v="354"/>
    <x v="1"/>
    <x v="56"/>
    <x v="921"/>
    <x v="0"/>
    <x v="8"/>
    <x v="0"/>
    <x v="1"/>
    <x v="0"/>
    <x v="27"/>
  </r>
  <r>
    <x v="309"/>
    <x v="1"/>
    <x v="191"/>
    <x v="9"/>
    <x v="7"/>
    <x v="1"/>
    <x v="0"/>
    <x v="229"/>
    <x v="9"/>
    <x v="0"/>
    <x v="247"/>
    <x v="25"/>
    <x v="8"/>
    <x v="32"/>
    <x v="857"/>
    <x v="477"/>
    <x v="313"/>
    <x v="1"/>
    <x v="36"/>
    <x v="920"/>
    <x v="1"/>
    <x v="8"/>
    <x v="0"/>
    <x v="1"/>
    <x v="0"/>
    <x v="27"/>
  </r>
  <r>
    <x v="788"/>
    <x v="8"/>
    <x v="950"/>
    <x v="8"/>
    <x v="6"/>
    <x v="0"/>
    <x v="0"/>
    <x v="190"/>
    <x v="9"/>
    <x v="0"/>
    <x v="294"/>
    <x v="71"/>
    <x v="8"/>
    <x v="297"/>
    <x v="334"/>
    <x v="599"/>
    <x v="239"/>
    <x v="6"/>
    <x v="20"/>
    <x v="919"/>
    <x v="0"/>
    <x v="8"/>
    <x v="0"/>
    <x v="1"/>
    <x v="1"/>
    <x v="26"/>
  </r>
  <r>
    <x v="814"/>
    <x v="8"/>
    <x v="474"/>
    <x v="9"/>
    <x v="4"/>
    <x v="0"/>
    <x v="1"/>
    <x v="152"/>
    <x v="9"/>
    <x v="0"/>
    <x v="102"/>
    <x v="159"/>
    <x v="8"/>
    <x v="40"/>
    <x v="333"/>
    <x v="533"/>
    <x v="127"/>
    <x v="1"/>
    <x v="20"/>
    <x v="918"/>
    <x v="1"/>
    <x v="8"/>
    <x v="0"/>
    <x v="1"/>
    <x v="1"/>
    <x v="26"/>
  </r>
  <r>
    <x v="858"/>
    <x v="10"/>
    <x v="922"/>
    <x v="8"/>
    <x v="7"/>
    <x v="3"/>
    <x v="1"/>
    <x v="254"/>
    <x v="9"/>
    <x v="0"/>
    <x v="342"/>
    <x v="185"/>
    <x v="8"/>
    <x v="268"/>
    <x v="452"/>
    <x v="204"/>
    <x v="50"/>
    <x v="5"/>
    <x v="37"/>
    <x v="917"/>
    <x v="0"/>
    <x v="8"/>
    <x v="0"/>
    <x v="1"/>
    <x v="2"/>
    <x v="26"/>
  </r>
  <r>
    <x v="203"/>
    <x v="1"/>
    <x v="319"/>
    <x v="7"/>
    <x v="3"/>
    <x v="0"/>
    <x v="1"/>
    <x v="29"/>
    <x v="9"/>
    <x v="0"/>
    <x v="279"/>
    <x v="37"/>
    <x v="8"/>
    <x v="26"/>
    <x v="740"/>
    <x v="577"/>
    <x v="147"/>
    <x v="6"/>
    <x v="56"/>
    <x v="916"/>
    <x v="0"/>
    <x v="8"/>
    <x v="0"/>
    <x v="1"/>
    <x v="0"/>
    <x v="26"/>
  </r>
  <r>
    <x v="532"/>
    <x v="4"/>
    <x v="358"/>
    <x v="8"/>
    <x v="5"/>
    <x v="0"/>
    <x v="1"/>
    <x v="223"/>
    <x v="0"/>
    <x v="0"/>
    <x v="0"/>
    <x v="0"/>
    <x v="8"/>
    <x v="180"/>
    <x v="978"/>
    <x v="77"/>
    <x v="91"/>
    <x v="3"/>
    <x v="53"/>
    <x v="915"/>
    <x v="0"/>
    <x v="8"/>
    <x v="0"/>
    <x v="1"/>
    <x v="0"/>
    <x v="26"/>
  </r>
  <r>
    <x v="613"/>
    <x v="4"/>
    <x v="271"/>
    <x v="4"/>
    <x v="2"/>
    <x v="0"/>
    <x v="1"/>
    <x v="75"/>
    <x v="9"/>
    <x v="0"/>
    <x v="337"/>
    <x v="153"/>
    <x v="8"/>
    <x v="361"/>
    <x v="148"/>
    <x v="974"/>
    <x v="488"/>
    <x v="6"/>
    <x v="56"/>
    <x v="914"/>
    <x v="1"/>
    <x v="8"/>
    <x v="0"/>
    <x v="1"/>
    <x v="0"/>
    <x v="26"/>
  </r>
  <r>
    <x v="820"/>
    <x v="8"/>
    <x v="56"/>
    <x v="4"/>
    <x v="3"/>
    <x v="0"/>
    <x v="1"/>
    <x v="133"/>
    <x v="9"/>
    <x v="0"/>
    <x v="326"/>
    <x v="159"/>
    <x v="8"/>
    <x v="358"/>
    <x v="149"/>
    <x v="975"/>
    <x v="488"/>
    <x v="6"/>
    <x v="56"/>
    <x v="913"/>
    <x v="1"/>
    <x v="8"/>
    <x v="0"/>
    <x v="1"/>
    <x v="1"/>
    <x v="26"/>
  </r>
  <r>
    <x v="124"/>
    <x v="0"/>
    <x v="737"/>
    <x v="7"/>
    <x v="4"/>
    <x v="0"/>
    <x v="1"/>
    <x v="27"/>
    <x v="9"/>
    <x v="0"/>
    <x v="99"/>
    <x v="246"/>
    <x v="8"/>
    <x v="79"/>
    <x v="650"/>
    <x v="162"/>
    <x v="171"/>
    <x v="6"/>
    <x v="56"/>
    <x v="912"/>
    <x v="0"/>
    <x v="8"/>
    <x v="0"/>
    <x v="1"/>
    <x v="0"/>
    <x v="26"/>
  </r>
  <r>
    <x v="677"/>
    <x v="5"/>
    <x v="236"/>
    <x v="8"/>
    <x v="7"/>
    <x v="2"/>
    <x v="1"/>
    <x v="351"/>
    <x v="9"/>
    <x v="0"/>
    <x v="3"/>
    <x v="192"/>
    <x v="8"/>
    <x v="72"/>
    <x v="697"/>
    <x v="128"/>
    <x v="10"/>
    <x v="3"/>
    <x v="26"/>
    <x v="911"/>
    <x v="1"/>
    <x v="8"/>
    <x v="0"/>
    <x v="1"/>
    <x v="1"/>
    <x v="26"/>
  </r>
  <r>
    <x v="739"/>
    <x v="6"/>
    <x v="736"/>
    <x v="1"/>
    <x v="3"/>
    <x v="0"/>
    <x v="1"/>
    <x v="101"/>
    <x v="9"/>
    <x v="0"/>
    <x v="393"/>
    <x v="159"/>
    <x v="8"/>
    <x v="4"/>
    <x v="3"/>
    <x v="326"/>
    <x v="436"/>
    <x v="6"/>
    <x v="2"/>
    <x v="910"/>
    <x v="1"/>
    <x v="8"/>
    <x v="0"/>
    <x v="1"/>
    <x v="1"/>
    <x v="26"/>
  </r>
  <r>
    <x v="313"/>
    <x v="1"/>
    <x v="735"/>
    <x v="1"/>
    <x v="2"/>
    <x v="0"/>
    <x v="1"/>
    <x v="14"/>
    <x v="9"/>
    <x v="0"/>
    <x v="392"/>
    <x v="71"/>
    <x v="8"/>
    <x v="7"/>
    <x v="7"/>
    <x v="327"/>
    <x v="436"/>
    <x v="6"/>
    <x v="2"/>
    <x v="909"/>
    <x v="1"/>
    <x v="8"/>
    <x v="0"/>
    <x v="1"/>
    <x v="0"/>
    <x v="26"/>
  </r>
  <r>
    <x v="546"/>
    <x v="4"/>
    <x v="604"/>
    <x v="8"/>
    <x v="6"/>
    <x v="0"/>
    <x v="1"/>
    <x v="76"/>
    <x v="9"/>
    <x v="0"/>
    <x v="47"/>
    <x v="216"/>
    <x v="8"/>
    <x v="233"/>
    <x v="232"/>
    <x v="909"/>
    <x v="359"/>
    <x v="4"/>
    <x v="54"/>
    <x v="908"/>
    <x v="0"/>
    <x v="8"/>
    <x v="0"/>
    <x v="1"/>
    <x v="0"/>
    <x v="26"/>
  </r>
  <r>
    <x v="610"/>
    <x v="4"/>
    <x v="536"/>
    <x v="6"/>
    <x v="3"/>
    <x v="0"/>
    <x v="1"/>
    <x v="69"/>
    <x v="9"/>
    <x v="0"/>
    <x v="390"/>
    <x v="204"/>
    <x v="8"/>
    <x v="55"/>
    <x v="11"/>
    <x v="328"/>
    <x v="436"/>
    <x v="6"/>
    <x v="56"/>
    <x v="907"/>
    <x v="1"/>
    <x v="8"/>
    <x v="0"/>
    <x v="1"/>
    <x v="0"/>
    <x v="26"/>
  </r>
  <r>
    <x v="780"/>
    <x v="7"/>
    <x v="460"/>
    <x v="9"/>
    <x v="7"/>
    <x v="2"/>
    <x v="1"/>
    <x v="349"/>
    <x v="9"/>
    <x v="0"/>
    <x v="121"/>
    <x v="103"/>
    <x v="8"/>
    <x v="20"/>
    <x v="709"/>
    <x v="225"/>
    <x v="307"/>
    <x v="3"/>
    <x v="17"/>
    <x v="906"/>
    <x v="1"/>
    <x v="8"/>
    <x v="0"/>
    <x v="1"/>
    <x v="1"/>
    <x v="26"/>
  </r>
  <r>
    <x v="540"/>
    <x v="4"/>
    <x v="459"/>
    <x v="5"/>
    <x v="3"/>
    <x v="0"/>
    <x v="1"/>
    <x v="73"/>
    <x v="0"/>
    <x v="0"/>
    <x v="0"/>
    <x v="0"/>
    <x v="8"/>
    <x v="131"/>
    <x v="971"/>
    <x v="75"/>
    <x v="348"/>
    <x v="6"/>
    <x v="56"/>
    <x v="905"/>
    <x v="0"/>
    <x v="8"/>
    <x v="0"/>
    <x v="1"/>
    <x v="0"/>
    <x v="26"/>
  </r>
  <r>
    <x v="537"/>
    <x v="4"/>
    <x v="459"/>
    <x v="5"/>
    <x v="3"/>
    <x v="0"/>
    <x v="1"/>
    <x v="73"/>
    <x v="9"/>
    <x v="0"/>
    <x v="120"/>
    <x v="173"/>
    <x v="8"/>
    <x v="78"/>
    <x v="972"/>
    <x v="76"/>
    <x v="348"/>
    <x v="6"/>
    <x v="56"/>
    <x v="905"/>
    <x v="0"/>
    <x v="8"/>
    <x v="0"/>
    <x v="1"/>
    <x v="0"/>
    <x v="26"/>
  </r>
  <r>
    <x v="966"/>
    <x v="17"/>
    <x v="389"/>
    <x v="0"/>
    <x v="6"/>
    <x v="0"/>
    <x v="0"/>
    <x v="228"/>
    <x v="9"/>
    <x v="0"/>
    <x v="378"/>
    <x v="237"/>
    <x v="8"/>
    <x v="87"/>
    <x v="10"/>
    <x v="322"/>
    <x v="436"/>
    <x v="6"/>
    <x v="56"/>
    <x v="904"/>
    <x v="1"/>
    <x v="8"/>
    <x v="0"/>
    <x v="1"/>
    <x v="3"/>
    <x v="26"/>
  </r>
  <r>
    <x v="867"/>
    <x v="10"/>
    <x v="388"/>
    <x v="9"/>
    <x v="5"/>
    <x v="0"/>
    <x v="1"/>
    <x v="158"/>
    <x v="9"/>
    <x v="0"/>
    <x v="375"/>
    <x v="180"/>
    <x v="8"/>
    <x v="171"/>
    <x v="12"/>
    <x v="324"/>
    <x v="436"/>
    <x v="6"/>
    <x v="56"/>
    <x v="903"/>
    <x v="1"/>
    <x v="8"/>
    <x v="0"/>
    <x v="1"/>
    <x v="2"/>
    <x v="26"/>
  </r>
  <r>
    <x v="723"/>
    <x v="6"/>
    <x v="354"/>
    <x v="9"/>
    <x v="6"/>
    <x v="0"/>
    <x v="1"/>
    <x v="147"/>
    <x v="9"/>
    <x v="0"/>
    <x v="132"/>
    <x v="115"/>
    <x v="8"/>
    <x v="186"/>
    <x v="601"/>
    <x v="582"/>
    <x v="355"/>
    <x v="6"/>
    <x v="56"/>
    <x v="902"/>
    <x v="0"/>
    <x v="8"/>
    <x v="0"/>
    <x v="1"/>
    <x v="1"/>
    <x v="26"/>
  </r>
  <r>
    <x v="969"/>
    <x v="19"/>
    <x v="936"/>
    <x v="8"/>
    <x v="5"/>
    <x v="0"/>
    <x v="1"/>
    <x v="283"/>
    <x v="9"/>
    <x v="0"/>
    <x v="86"/>
    <x v="231"/>
    <x v="8"/>
    <x v="169"/>
    <x v="974"/>
    <x v="73"/>
    <x v="348"/>
    <x v="6"/>
    <x v="56"/>
    <x v="901"/>
    <x v="0"/>
    <x v="8"/>
    <x v="0"/>
    <x v="1"/>
    <x v="3"/>
    <x v="26"/>
  </r>
  <r>
    <x v="971"/>
    <x v="19"/>
    <x v="936"/>
    <x v="8"/>
    <x v="6"/>
    <x v="3"/>
    <x v="1"/>
    <x v="287"/>
    <x v="0"/>
    <x v="0"/>
    <x v="0"/>
    <x v="0"/>
    <x v="8"/>
    <x v="136"/>
    <x v="973"/>
    <x v="74"/>
    <x v="348"/>
    <x v="6"/>
    <x v="56"/>
    <x v="901"/>
    <x v="0"/>
    <x v="8"/>
    <x v="0"/>
    <x v="1"/>
    <x v="3"/>
    <x v="26"/>
  </r>
  <r>
    <x v="343"/>
    <x v="2"/>
    <x v="768"/>
    <x v="8"/>
    <x v="4"/>
    <x v="0"/>
    <x v="1"/>
    <x v="196"/>
    <x v="9"/>
    <x v="0"/>
    <x v="388"/>
    <x v="17"/>
    <x v="8"/>
    <x v="248"/>
    <x v="665"/>
    <x v="519"/>
    <x v="151"/>
    <x v="1"/>
    <x v="38"/>
    <x v="900"/>
    <x v="0"/>
    <x v="8"/>
    <x v="0"/>
    <x v="1"/>
    <x v="0"/>
    <x v="26"/>
  </r>
  <r>
    <x v="404"/>
    <x v="2"/>
    <x v="702"/>
    <x v="6"/>
    <x v="5"/>
    <x v="0"/>
    <x v="1"/>
    <x v="135"/>
    <x v="9"/>
    <x v="0"/>
    <x v="139"/>
    <x v="227"/>
    <x v="8"/>
    <x v="20"/>
    <x v="612"/>
    <x v="176"/>
    <x v="76"/>
    <x v="6"/>
    <x v="56"/>
    <x v="899"/>
    <x v="0"/>
    <x v="8"/>
    <x v="0"/>
    <x v="1"/>
    <x v="0"/>
    <x v="26"/>
  </r>
  <r>
    <x v="152"/>
    <x v="0"/>
    <x v="667"/>
    <x v="0"/>
    <x v="3"/>
    <x v="0"/>
    <x v="1"/>
    <x v="0"/>
    <x v="9"/>
    <x v="0"/>
    <x v="386"/>
    <x v="109"/>
    <x v="8"/>
    <x v="98"/>
    <x v="72"/>
    <x v="23"/>
    <x v="193"/>
    <x v="6"/>
    <x v="56"/>
    <x v="898"/>
    <x v="1"/>
    <x v="8"/>
    <x v="0"/>
    <x v="1"/>
    <x v="0"/>
    <x v="26"/>
  </r>
  <r>
    <x v="59"/>
    <x v="0"/>
    <x v="698"/>
    <x v="5"/>
    <x v="6"/>
    <x v="0"/>
    <x v="1"/>
    <x v="2"/>
    <x v="9"/>
    <x v="0"/>
    <x v="328"/>
    <x v="193"/>
    <x v="8"/>
    <x v="20"/>
    <x v="205"/>
    <x v="31"/>
    <x v="19"/>
    <x v="6"/>
    <x v="56"/>
    <x v="897"/>
    <x v="0"/>
    <x v="8"/>
    <x v="0"/>
    <x v="1"/>
    <x v="0"/>
    <x v="26"/>
  </r>
  <r>
    <x v="819"/>
    <x v="8"/>
    <x v="697"/>
    <x v="9"/>
    <x v="8"/>
    <x v="1"/>
    <x v="0"/>
    <x v="239"/>
    <x v="9"/>
    <x v="0"/>
    <x v="333"/>
    <x v="3"/>
    <x v="8"/>
    <x v="20"/>
    <x v="805"/>
    <x v="448"/>
    <x v="438"/>
    <x v="1"/>
    <x v="36"/>
    <x v="896"/>
    <x v="1"/>
    <x v="8"/>
    <x v="0"/>
    <x v="1"/>
    <x v="1"/>
    <x v="26"/>
  </r>
  <r>
    <x v="367"/>
    <x v="2"/>
    <x v="451"/>
    <x v="8"/>
    <x v="3"/>
    <x v="0"/>
    <x v="0"/>
    <x v="37"/>
    <x v="9"/>
    <x v="0"/>
    <x v="149"/>
    <x v="175"/>
    <x v="8"/>
    <x v="22"/>
    <x v="540"/>
    <x v="439"/>
    <x v="429"/>
    <x v="6"/>
    <x v="56"/>
    <x v="895"/>
    <x v="0"/>
    <x v="8"/>
    <x v="0"/>
    <x v="1"/>
    <x v="0"/>
    <x v="26"/>
  </r>
  <r>
    <x v="423"/>
    <x v="2"/>
    <x v="382"/>
    <x v="9"/>
    <x v="2"/>
    <x v="0"/>
    <x v="0"/>
    <x v="34"/>
    <x v="9"/>
    <x v="0"/>
    <x v="395"/>
    <x v="195"/>
    <x v="8"/>
    <x v="20"/>
    <x v="197"/>
    <x v="380"/>
    <x v="263"/>
    <x v="6"/>
    <x v="56"/>
    <x v="894"/>
    <x v="1"/>
    <x v="8"/>
    <x v="0"/>
    <x v="1"/>
    <x v="0"/>
    <x v="26"/>
  </r>
  <r>
    <x v="530"/>
    <x v="4"/>
    <x v="17"/>
    <x v="7"/>
    <x v="5"/>
    <x v="0"/>
    <x v="1"/>
    <x v="189"/>
    <x v="9"/>
    <x v="0"/>
    <x v="243"/>
    <x v="172"/>
    <x v="8"/>
    <x v="157"/>
    <x v="866"/>
    <x v="681"/>
    <x v="502"/>
    <x v="1"/>
    <x v="23"/>
    <x v="893"/>
    <x v="1"/>
    <x v="8"/>
    <x v="0"/>
    <x v="1"/>
    <x v="0"/>
    <x v="26"/>
  </r>
  <r>
    <x v="47"/>
    <x v="0"/>
    <x v="821"/>
    <x v="4"/>
    <x v="3"/>
    <x v="0"/>
    <x v="0"/>
    <x v="1"/>
    <x v="9"/>
    <x v="0"/>
    <x v="361"/>
    <x v="78"/>
    <x v="8"/>
    <x v="342"/>
    <x v="138"/>
    <x v="35"/>
    <x v="141"/>
    <x v="6"/>
    <x v="56"/>
    <x v="892"/>
    <x v="0"/>
    <x v="8"/>
    <x v="0"/>
    <x v="1"/>
    <x v="0"/>
    <x v="26"/>
  </r>
  <r>
    <x v="50"/>
    <x v="0"/>
    <x v="785"/>
    <x v="6"/>
    <x v="3"/>
    <x v="0"/>
    <x v="0"/>
    <x v="2"/>
    <x v="9"/>
    <x v="0"/>
    <x v="394"/>
    <x v="71"/>
    <x v="8"/>
    <x v="346"/>
    <x v="177"/>
    <x v="44"/>
    <x v="340"/>
    <x v="6"/>
    <x v="56"/>
    <x v="891"/>
    <x v="0"/>
    <x v="8"/>
    <x v="0"/>
    <x v="1"/>
    <x v="0"/>
    <x v="26"/>
  </r>
  <r>
    <x v="651"/>
    <x v="5"/>
    <x v="661"/>
    <x v="7"/>
    <x v="6"/>
    <x v="3"/>
    <x v="1"/>
    <x v="245"/>
    <x v="9"/>
    <x v="0"/>
    <x v="223"/>
    <x v="172"/>
    <x v="8"/>
    <x v="157"/>
    <x v="872"/>
    <x v="680"/>
    <x v="164"/>
    <x v="1"/>
    <x v="23"/>
    <x v="890"/>
    <x v="0"/>
    <x v="8"/>
    <x v="0"/>
    <x v="1"/>
    <x v="1"/>
    <x v="26"/>
  </r>
  <r>
    <x v="201"/>
    <x v="1"/>
    <x v="510"/>
    <x v="5"/>
    <x v="4"/>
    <x v="0"/>
    <x v="1"/>
    <x v="16"/>
    <x v="9"/>
    <x v="0"/>
    <x v="277"/>
    <x v="62"/>
    <x v="8"/>
    <x v="33"/>
    <x v="965"/>
    <x v="871"/>
    <x v="482"/>
    <x v="6"/>
    <x v="56"/>
    <x v="889"/>
    <x v="0"/>
    <x v="8"/>
    <x v="0"/>
    <x v="1"/>
    <x v="0"/>
    <x v="26"/>
  </r>
  <r>
    <x v="151"/>
    <x v="0"/>
    <x v="109"/>
    <x v="0"/>
    <x v="3"/>
    <x v="0"/>
    <x v="0"/>
    <x v="0"/>
    <x v="9"/>
    <x v="0"/>
    <x v="398"/>
    <x v="115"/>
    <x v="6"/>
    <x v="94"/>
    <x v="90"/>
    <x v="39"/>
    <x v="192"/>
    <x v="6"/>
    <x v="56"/>
    <x v="888"/>
    <x v="1"/>
    <x v="6"/>
    <x v="0"/>
    <x v="1"/>
    <x v="0"/>
    <x v="26"/>
  </r>
  <r>
    <x v="964"/>
    <x v="17"/>
    <x v="108"/>
    <x v="9"/>
    <x v="7"/>
    <x v="0"/>
    <x v="1"/>
    <x v="236"/>
    <x v="9"/>
    <x v="0"/>
    <x v="68"/>
    <x v="87"/>
    <x v="8"/>
    <x v="119"/>
    <x v="81"/>
    <x v="33"/>
    <x v="193"/>
    <x v="6"/>
    <x v="56"/>
    <x v="887"/>
    <x v="1"/>
    <x v="8"/>
    <x v="0"/>
    <x v="1"/>
    <x v="3"/>
    <x v="26"/>
  </r>
  <r>
    <x v="839"/>
    <x v="9"/>
    <x v="107"/>
    <x v="3"/>
    <x v="6"/>
    <x v="0"/>
    <x v="1"/>
    <x v="145"/>
    <x v="9"/>
    <x v="0"/>
    <x v="36"/>
    <x v="147"/>
    <x v="8"/>
    <x v="157"/>
    <x v="82"/>
    <x v="21"/>
    <x v="193"/>
    <x v="6"/>
    <x v="56"/>
    <x v="886"/>
    <x v="1"/>
    <x v="8"/>
    <x v="0"/>
    <x v="1"/>
    <x v="1"/>
    <x v="26"/>
  </r>
  <r>
    <x v="794"/>
    <x v="8"/>
    <x v="106"/>
    <x v="7"/>
    <x v="5"/>
    <x v="0"/>
    <x v="1"/>
    <x v="194"/>
    <x v="9"/>
    <x v="0"/>
    <x v="93"/>
    <x v="109"/>
    <x v="8"/>
    <x v="20"/>
    <x v="40"/>
    <x v="990"/>
    <x v="132"/>
    <x v="6"/>
    <x v="56"/>
    <x v="885"/>
    <x v="0"/>
    <x v="8"/>
    <x v="0"/>
    <x v="1"/>
    <x v="1"/>
    <x v="26"/>
  </r>
  <r>
    <x v="727"/>
    <x v="6"/>
    <x v="407"/>
    <x v="9"/>
    <x v="7"/>
    <x v="1"/>
    <x v="1"/>
    <x v="326"/>
    <x v="9"/>
    <x v="0"/>
    <x v="269"/>
    <x v="11"/>
    <x v="8"/>
    <x v="162"/>
    <x v="853"/>
    <x v="684"/>
    <x v="291"/>
    <x v="6"/>
    <x v="56"/>
    <x v="884"/>
    <x v="0"/>
    <x v="8"/>
    <x v="0"/>
    <x v="1"/>
    <x v="1"/>
    <x v="26"/>
  </r>
  <r>
    <x v="916"/>
    <x v="12"/>
    <x v="291"/>
    <x v="9"/>
    <x v="3"/>
    <x v="0"/>
    <x v="1"/>
    <x v="188"/>
    <x v="9"/>
    <x v="0"/>
    <x v="385"/>
    <x v="37"/>
    <x v="8"/>
    <x v="20"/>
    <x v="111"/>
    <x v="966"/>
    <x v="466"/>
    <x v="6"/>
    <x v="56"/>
    <x v="883"/>
    <x v="1"/>
    <x v="8"/>
    <x v="0"/>
    <x v="1"/>
    <x v="2"/>
    <x v="26"/>
  </r>
  <r>
    <x v="611"/>
    <x v="4"/>
    <x v="751"/>
    <x v="9"/>
    <x v="4"/>
    <x v="0"/>
    <x v="1"/>
    <x v="74"/>
    <x v="9"/>
    <x v="0"/>
    <x v="157"/>
    <x v="47"/>
    <x v="8"/>
    <x v="44"/>
    <x v="0"/>
    <x v="310"/>
    <x v="437"/>
    <x v="6"/>
    <x v="2"/>
    <x v="882"/>
    <x v="1"/>
    <x v="8"/>
    <x v="0"/>
    <x v="1"/>
    <x v="0"/>
    <x v="26"/>
  </r>
  <r>
    <x v="638"/>
    <x v="5"/>
    <x v="686"/>
    <x v="7"/>
    <x v="4"/>
    <x v="0"/>
    <x v="1"/>
    <x v="118"/>
    <x v="9"/>
    <x v="0"/>
    <x v="255"/>
    <x v="37"/>
    <x v="8"/>
    <x v="222"/>
    <x v="589"/>
    <x v="598"/>
    <x v="355"/>
    <x v="6"/>
    <x v="56"/>
    <x v="881"/>
    <x v="0"/>
    <x v="8"/>
    <x v="0"/>
    <x v="1"/>
    <x v="1"/>
    <x v="26"/>
  </r>
  <r>
    <x v="371"/>
    <x v="2"/>
    <x v="324"/>
    <x v="8"/>
    <x v="7"/>
    <x v="0"/>
    <x v="0"/>
    <x v="101"/>
    <x v="9"/>
    <x v="0"/>
    <x v="204"/>
    <x v="95"/>
    <x v="8"/>
    <x v="20"/>
    <x v="934"/>
    <x v="469"/>
    <x v="479"/>
    <x v="1"/>
    <x v="27"/>
    <x v="880"/>
    <x v="0"/>
    <x v="8"/>
    <x v="0"/>
    <x v="1"/>
    <x v="0"/>
    <x v="26"/>
  </r>
  <r>
    <x v="341"/>
    <x v="2"/>
    <x v="890"/>
    <x v="5"/>
    <x v="4"/>
    <x v="0"/>
    <x v="1"/>
    <x v="101"/>
    <x v="9"/>
    <x v="0"/>
    <x v="135"/>
    <x v="71"/>
    <x v="8"/>
    <x v="20"/>
    <x v="32"/>
    <x v="216"/>
    <x v="103"/>
    <x v="6"/>
    <x v="56"/>
    <x v="879"/>
    <x v="0"/>
    <x v="8"/>
    <x v="0"/>
    <x v="1"/>
    <x v="0"/>
    <x v="25"/>
  </r>
  <r>
    <x v="626"/>
    <x v="5"/>
    <x v="974"/>
    <x v="8"/>
    <x v="6"/>
    <x v="1"/>
    <x v="0"/>
    <x v="315"/>
    <x v="9"/>
    <x v="0"/>
    <x v="153"/>
    <x v="62"/>
    <x v="8"/>
    <x v="79"/>
    <x v="859"/>
    <x v="348"/>
    <x v="300"/>
    <x v="2"/>
    <x v="15"/>
    <x v="878"/>
    <x v="0"/>
    <x v="8"/>
    <x v="0"/>
    <x v="1"/>
    <x v="1"/>
    <x v="25"/>
  </r>
  <r>
    <x v="891"/>
    <x v="11"/>
    <x v="645"/>
    <x v="9"/>
    <x v="6"/>
    <x v="3"/>
    <x v="1"/>
    <x v="272"/>
    <x v="9"/>
    <x v="0"/>
    <x v="13"/>
    <x v="173"/>
    <x v="8"/>
    <x v="112"/>
    <x v="964"/>
    <x v="71"/>
    <x v="409"/>
    <x v="3"/>
    <x v="53"/>
    <x v="877"/>
    <x v="0"/>
    <x v="8"/>
    <x v="0"/>
    <x v="1"/>
    <x v="2"/>
    <x v="25"/>
  </r>
  <r>
    <x v="601"/>
    <x v="4"/>
    <x v="606"/>
    <x v="0"/>
    <x v="2"/>
    <x v="0"/>
    <x v="1"/>
    <x v="67"/>
    <x v="9"/>
    <x v="0"/>
    <x v="396"/>
    <x v="47"/>
    <x v="8"/>
    <x v="20"/>
    <x v="551"/>
    <x v="318"/>
    <x v="85"/>
    <x v="6"/>
    <x v="56"/>
    <x v="876"/>
    <x v="1"/>
    <x v="8"/>
    <x v="0"/>
    <x v="1"/>
    <x v="0"/>
    <x v="25"/>
  </r>
  <r>
    <x v="140"/>
    <x v="0"/>
    <x v="26"/>
    <x v="6"/>
    <x v="5"/>
    <x v="0"/>
    <x v="0"/>
    <x v="18"/>
    <x v="9"/>
    <x v="0"/>
    <x v="29"/>
    <x v="208"/>
    <x v="8"/>
    <x v="49"/>
    <x v="93"/>
    <x v="258"/>
    <x v="484"/>
    <x v="6"/>
    <x v="56"/>
    <x v="875"/>
    <x v="0"/>
    <x v="8"/>
    <x v="0"/>
    <x v="1"/>
    <x v="0"/>
    <x v="25"/>
  </r>
  <r>
    <x v="513"/>
    <x v="3"/>
    <x v="25"/>
    <x v="6"/>
    <x v="6"/>
    <x v="0"/>
    <x v="1"/>
    <x v="131"/>
    <x v="9"/>
    <x v="0"/>
    <x v="22"/>
    <x v="233"/>
    <x v="8"/>
    <x v="79"/>
    <x v="92"/>
    <x v="264"/>
    <x v="484"/>
    <x v="6"/>
    <x v="9"/>
    <x v="874"/>
    <x v="0"/>
    <x v="8"/>
    <x v="0"/>
    <x v="1"/>
    <x v="0"/>
    <x v="25"/>
  </r>
  <r>
    <x v="146"/>
    <x v="0"/>
    <x v="966"/>
    <x v="4"/>
    <x v="4"/>
    <x v="0"/>
    <x v="0"/>
    <x v="1"/>
    <x v="9"/>
    <x v="0"/>
    <x v="400"/>
    <x v="153"/>
    <x v="8"/>
    <x v="20"/>
    <x v="550"/>
    <x v="315"/>
    <x v="85"/>
    <x v="6"/>
    <x v="56"/>
    <x v="873"/>
    <x v="1"/>
    <x v="8"/>
    <x v="0"/>
    <x v="1"/>
    <x v="0"/>
    <x v="25"/>
  </r>
  <r>
    <x v="557"/>
    <x v="4"/>
    <x v="706"/>
    <x v="4"/>
    <x v="2"/>
    <x v="0"/>
    <x v="0"/>
    <x v="82"/>
    <x v="9"/>
    <x v="0"/>
    <x v="214"/>
    <x v="78"/>
    <x v="8"/>
    <x v="393"/>
    <x v="361"/>
    <x v="547"/>
    <x v="186"/>
    <x v="6"/>
    <x v="20"/>
    <x v="872"/>
    <x v="0"/>
    <x v="8"/>
    <x v="0"/>
    <x v="1"/>
    <x v="0"/>
    <x v="25"/>
  </r>
  <r>
    <x v="535"/>
    <x v="4"/>
    <x v="603"/>
    <x v="4"/>
    <x v="3"/>
    <x v="0"/>
    <x v="0"/>
    <x v="70"/>
    <x v="9"/>
    <x v="0"/>
    <x v="176"/>
    <x v="115"/>
    <x v="8"/>
    <x v="103"/>
    <x v="459"/>
    <x v="476"/>
    <x v="57"/>
    <x v="6"/>
    <x v="20"/>
    <x v="871"/>
    <x v="0"/>
    <x v="8"/>
    <x v="0"/>
    <x v="1"/>
    <x v="0"/>
    <x v="25"/>
  </r>
  <r>
    <x v="447"/>
    <x v="3"/>
    <x v="602"/>
    <x v="5"/>
    <x v="3"/>
    <x v="0"/>
    <x v="0"/>
    <x v="54"/>
    <x v="9"/>
    <x v="0"/>
    <x v="185"/>
    <x v="168"/>
    <x v="8"/>
    <x v="82"/>
    <x v="456"/>
    <x v="475"/>
    <x v="57"/>
    <x v="6"/>
    <x v="20"/>
    <x v="870"/>
    <x v="0"/>
    <x v="8"/>
    <x v="0"/>
    <x v="1"/>
    <x v="0"/>
    <x v="25"/>
  </r>
  <r>
    <x v="183"/>
    <x v="1"/>
    <x v="601"/>
    <x v="9"/>
    <x v="7"/>
    <x v="3"/>
    <x v="1"/>
    <x v="107"/>
    <x v="9"/>
    <x v="0"/>
    <x v="346"/>
    <x v="30"/>
    <x v="8"/>
    <x v="20"/>
    <x v="647"/>
    <x v="551"/>
    <x v="405"/>
    <x v="6"/>
    <x v="38"/>
    <x v="869"/>
    <x v="0"/>
    <x v="8"/>
    <x v="0"/>
    <x v="1"/>
    <x v="0"/>
    <x v="25"/>
  </r>
  <r>
    <x v="932"/>
    <x v="13"/>
    <x v="733"/>
    <x v="9"/>
    <x v="6"/>
    <x v="0"/>
    <x v="1"/>
    <x v="257"/>
    <x v="9"/>
    <x v="0"/>
    <x v="52"/>
    <x v="226"/>
    <x v="8"/>
    <x v="111"/>
    <x v="969"/>
    <x v="72"/>
    <x v="348"/>
    <x v="6"/>
    <x v="56"/>
    <x v="868"/>
    <x v="0"/>
    <x v="8"/>
    <x v="0"/>
    <x v="1"/>
    <x v="2"/>
    <x v="25"/>
  </r>
  <r>
    <x v="621"/>
    <x v="5"/>
    <x v="568"/>
    <x v="6"/>
    <x v="6"/>
    <x v="0"/>
    <x v="1"/>
    <x v="129"/>
    <x v="9"/>
    <x v="0"/>
    <x v="171"/>
    <x v="62"/>
    <x v="8"/>
    <x v="218"/>
    <x v="329"/>
    <x v="742"/>
    <x v="356"/>
    <x v="6"/>
    <x v="35"/>
    <x v="867"/>
    <x v="0"/>
    <x v="8"/>
    <x v="0"/>
    <x v="1"/>
    <x v="1"/>
    <x v="25"/>
  </r>
  <r>
    <x v="298"/>
    <x v="1"/>
    <x v="178"/>
    <x v="4"/>
    <x v="1"/>
    <x v="0"/>
    <x v="0"/>
    <x v="27"/>
    <x v="9"/>
    <x v="0"/>
    <x v="148"/>
    <x v="30"/>
    <x v="8"/>
    <x v="360"/>
    <x v="405"/>
    <x v="499"/>
    <x v="52"/>
    <x v="6"/>
    <x v="20"/>
    <x v="866"/>
    <x v="0"/>
    <x v="8"/>
    <x v="0"/>
    <x v="1"/>
    <x v="0"/>
    <x v="25"/>
  </r>
  <r>
    <x v="838"/>
    <x v="9"/>
    <x v="765"/>
    <x v="8"/>
    <x v="7"/>
    <x v="1"/>
    <x v="1"/>
    <x v="312"/>
    <x v="9"/>
    <x v="0"/>
    <x v="8"/>
    <x v="147"/>
    <x v="8"/>
    <x v="72"/>
    <x v="687"/>
    <x v="137"/>
    <x v="413"/>
    <x v="3"/>
    <x v="26"/>
    <x v="865"/>
    <x v="0"/>
    <x v="8"/>
    <x v="0"/>
    <x v="1"/>
    <x v="1"/>
    <x v="25"/>
  </r>
  <r>
    <x v="840"/>
    <x v="9"/>
    <x v="597"/>
    <x v="7"/>
    <x v="6"/>
    <x v="0"/>
    <x v="1"/>
    <x v="163"/>
    <x v="9"/>
    <x v="0"/>
    <x v="312"/>
    <x v="103"/>
    <x v="8"/>
    <x v="20"/>
    <x v="53"/>
    <x v="22"/>
    <x v="464"/>
    <x v="6"/>
    <x v="56"/>
    <x v="864"/>
    <x v="1"/>
    <x v="8"/>
    <x v="0"/>
    <x v="1"/>
    <x v="1"/>
    <x v="25"/>
  </r>
  <r>
    <x v="185"/>
    <x v="1"/>
    <x v="422"/>
    <x v="5"/>
    <x v="3"/>
    <x v="0"/>
    <x v="1"/>
    <x v="69"/>
    <x v="9"/>
    <x v="0"/>
    <x v="200"/>
    <x v="62"/>
    <x v="8"/>
    <x v="296"/>
    <x v="772"/>
    <x v="605"/>
    <x v="294"/>
    <x v="6"/>
    <x v="56"/>
    <x v="863"/>
    <x v="0"/>
    <x v="8"/>
    <x v="0"/>
    <x v="1"/>
    <x v="0"/>
    <x v="25"/>
  </r>
  <r>
    <x v="484"/>
    <x v="3"/>
    <x v="90"/>
    <x v="6"/>
    <x v="5"/>
    <x v="0"/>
    <x v="1"/>
    <x v="140"/>
    <x v="9"/>
    <x v="0"/>
    <x v="117"/>
    <x v="87"/>
    <x v="8"/>
    <x v="251"/>
    <x v="110"/>
    <x v="292"/>
    <x v="404"/>
    <x v="5"/>
    <x v="9"/>
    <x v="862"/>
    <x v="0"/>
    <x v="8"/>
    <x v="0"/>
    <x v="1"/>
    <x v="0"/>
    <x v="25"/>
  </r>
  <r>
    <x v="153"/>
    <x v="0"/>
    <x v="478"/>
    <x v="7"/>
    <x v="7"/>
    <x v="0"/>
    <x v="0"/>
    <x v="293"/>
    <x v="6"/>
    <x v="4"/>
    <x v="27"/>
    <x v="220"/>
    <x v="3"/>
    <x v="0"/>
    <x v="864"/>
    <x v="103"/>
    <x v="280"/>
    <x v="3"/>
    <x v="53"/>
    <x v="861"/>
    <x v="1"/>
    <x v="3"/>
    <x v="0"/>
    <x v="1"/>
    <x v="0"/>
    <x v="25"/>
  </r>
  <r>
    <x v="202"/>
    <x v="1"/>
    <x v="381"/>
    <x v="4"/>
    <x v="5"/>
    <x v="0"/>
    <x v="1"/>
    <x v="15"/>
    <x v="9"/>
    <x v="0"/>
    <x v="285"/>
    <x v="17"/>
    <x v="8"/>
    <x v="245"/>
    <x v="263"/>
    <x v="901"/>
    <x v="226"/>
    <x v="6"/>
    <x v="56"/>
    <x v="860"/>
    <x v="0"/>
    <x v="8"/>
    <x v="0"/>
    <x v="1"/>
    <x v="0"/>
    <x v="25"/>
  </r>
  <r>
    <x v="525"/>
    <x v="3"/>
    <x v="173"/>
    <x v="4"/>
    <x v="5"/>
    <x v="0"/>
    <x v="0"/>
    <x v="73"/>
    <x v="9"/>
    <x v="0"/>
    <x v="193"/>
    <x v="47"/>
    <x v="8"/>
    <x v="236"/>
    <x v="358"/>
    <x v="616"/>
    <x v="45"/>
    <x v="6"/>
    <x v="20"/>
    <x v="859"/>
    <x v="1"/>
    <x v="8"/>
    <x v="0"/>
    <x v="1"/>
    <x v="0"/>
    <x v="25"/>
  </r>
  <r>
    <x v="137"/>
    <x v="0"/>
    <x v="45"/>
    <x v="7"/>
    <x v="5"/>
    <x v="0"/>
    <x v="0"/>
    <x v="22"/>
    <x v="9"/>
    <x v="0"/>
    <x v="133"/>
    <x v="71"/>
    <x v="8"/>
    <x v="20"/>
    <x v="802"/>
    <x v="347"/>
    <x v="296"/>
    <x v="6"/>
    <x v="56"/>
    <x v="858"/>
    <x v="0"/>
    <x v="8"/>
    <x v="0"/>
    <x v="1"/>
    <x v="0"/>
    <x v="25"/>
  </r>
  <r>
    <x v="159"/>
    <x v="0"/>
    <x v="978"/>
    <x v="8"/>
    <x v="7"/>
    <x v="0"/>
    <x v="0"/>
    <x v="303"/>
    <x v="9"/>
    <x v="0"/>
    <x v="88"/>
    <x v="153"/>
    <x v="8"/>
    <x v="27"/>
    <x v="912"/>
    <x v="107"/>
    <x v="439"/>
    <x v="3"/>
    <x v="53"/>
    <x v="857"/>
    <x v="1"/>
    <x v="8"/>
    <x v="0"/>
    <x v="1"/>
    <x v="0"/>
    <x v="25"/>
  </r>
  <r>
    <x v="851"/>
    <x v="10"/>
    <x v="818"/>
    <x v="6"/>
    <x v="4"/>
    <x v="0"/>
    <x v="1"/>
    <x v="167"/>
    <x v="9"/>
    <x v="0"/>
    <x v="315"/>
    <x v="17"/>
    <x v="8"/>
    <x v="191"/>
    <x v="921"/>
    <x v="837"/>
    <x v="423"/>
    <x v="6"/>
    <x v="56"/>
    <x v="856"/>
    <x v="0"/>
    <x v="8"/>
    <x v="0"/>
    <x v="1"/>
    <x v="2"/>
    <x v="25"/>
  </r>
  <r>
    <x v="672"/>
    <x v="5"/>
    <x v="406"/>
    <x v="5"/>
    <x v="5"/>
    <x v="3"/>
    <x v="1"/>
    <x v="96"/>
    <x v="9"/>
    <x v="0"/>
    <x v="327"/>
    <x v="115"/>
    <x v="8"/>
    <x v="281"/>
    <x v="915"/>
    <x v="750"/>
    <x v="212"/>
    <x v="1"/>
    <x v="39"/>
    <x v="855"/>
    <x v="0"/>
    <x v="8"/>
    <x v="0"/>
    <x v="1"/>
    <x v="1"/>
    <x v="25"/>
  </r>
  <r>
    <x v="896"/>
    <x v="12"/>
    <x v="894"/>
    <x v="9"/>
    <x v="5"/>
    <x v="3"/>
    <x v="1"/>
    <x v="338"/>
    <x v="9"/>
    <x v="0"/>
    <x v="170"/>
    <x v="123"/>
    <x v="8"/>
    <x v="43"/>
    <x v="722"/>
    <x v="190"/>
    <x v="240"/>
    <x v="6"/>
    <x v="56"/>
    <x v="854"/>
    <x v="0"/>
    <x v="8"/>
    <x v="0"/>
    <x v="1"/>
    <x v="2"/>
    <x v="25"/>
  </r>
  <r>
    <x v="335"/>
    <x v="2"/>
    <x v="777"/>
    <x v="8"/>
    <x v="8"/>
    <x v="1"/>
    <x v="0"/>
    <x v="285"/>
    <x v="9"/>
    <x v="0"/>
    <x v="85"/>
    <x v="208"/>
    <x v="8"/>
    <x v="20"/>
    <x v="870"/>
    <x v="362"/>
    <x v="112"/>
    <x v="1"/>
    <x v="49"/>
    <x v="853"/>
    <x v="0"/>
    <x v="8"/>
    <x v="0"/>
    <x v="1"/>
    <x v="0"/>
    <x v="25"/>
  </r>
  <r>
    <x v="500"/>
    <x v="3"/>
    <x v="502"/>
    <x v="9"/>
    <x v="6"/>
    <x v="3"/>
    <x v="1"/>
    <x v="132"/>
    <x v="9"/>
    <x v="0"/>
    <x v="45"/>
    <x v="183"/>
    <x v="8"/>
    <x v="59"/>
    <x v="604"/>
    <x v="561"/>
    <x v="250"/>
    <x v="6"/>
    <x v="38"/>
    <x v="852"/>
    <x v="0"/>
    <x v="8"/>
    <x v="0"/>
    <x v="1"/>
    <x v="0"/>
    <x v="24"/>
  </r>
  <r>
    <x v="692"/>
    <x v="6"/>
    <x v="471"/>
    <x v="6"/>
    <x v="5"/>
    <x v="0"/>
    <x v="1"/>
    <x v="116"/>
    <x v="9"/>
    <x v="0"/>
    <x v="131"/>
    <x v="11"/>
    <x v="8"/>
    <x v="130"/>
    <x v="558"/>
    <x v="575"/>
    <x v="63"/>
    <x v="6"/>
    <x v="20"/>
    <x v="851"/>
    <x v="0"/>
    <x v="8"/>
    <x v="0"/>
    <x v="1"/>
    <x v="1"/>
    <x v="24"/>
  </r>
  <r>
    <x v="36"/>
    <x v="0"/>
    <x v="248"/>
    <x v="0"/>
    <x v="1"/>
    <x v="0"/>
    <x v="0"/>
    <x v="0"/>
    <x v="9"/>
    <x v="0"/>
    <x v="336"/>
    <x v="115"/>
    <x v="8"/>
    <x v="370"/>
    <x v="135"/>
    <x v="1"/>
    <x v="295"/>
    <x v="6"/>
    <x v="56"/>
    <x v="850"/>
    <x v="0"/>
    <x v="8"/>
    <x v="0"/>
    <x v="1"/>
    <x v="0"/>
    <x v="24"/>
  </r>
  <r>
    <x v="189"/>
    <x v="1"/>
    <x v="127"/>
    <x v="4"/>
    <x v="3"/>
    <x v="0"/>
    <x v="1"/>
    <x v="17"/>
    <x v="9"/>
    <x v="0"/>
    <x v="344"/>
    <x v="204"/>
    <x v="8"/>
    <x v="20"/>
    <x v="180"/>
    <x v="47"/>
    <x v="297"/>
    <x v="6"/>
    <x v="56"/>
    <x v="849"/>
    <x v="0"/>
    <x v="8"/>
    <x v="0"/>
    <x v="1"/>
    <x v="0"/>
    <x v="24"/>
  </r>
  <r>
    <x v="62"/>
    <x v="0"/>
    <x v="989"/>
    <x v="9"/>
    <x v="6"/>
    <x v="0"/>
    <x v="1"/>
    <x v="68"/>
    <x v="9"/>
    <x v="0"/>
    <x v="34"/>
    <x v="71"/>
    <x v="8"/>
    <x v="20"/>
    <x v="608"/>
    <x v="562"/>
    <x v="200"/>
    <x v="6"/>
    <x v="38"/>
    <x v="848"/>
    <x v="0"/>
    <x v="8"/>
    <x v="0"/>
    <x v="1"/>
    <x v="0"/>
    <x v="24"/>
  </r>
  <r>
    <x v="163"/>
    <x v="1"/>
    <x v="945"/>
    <x v="9"/>
    <x v="6"/>
    <x v="3"/>
    <x v="1"/>
    <x v="104"/>
    <x v="9"/>
    <x v="0"/>
    <x v="56"/>
    <x v="109"/>
    <x v="8"/>
    <x v="44"/>
    <x v="605"/>
    <x v="557"/>
    <x v="98"/>
    <x v="6"/>
    <x v="38"/>
    <x v="847"/>
    <x v="0"/>
    <x v="8"/>
    <x v="0"/>
    <x v="1"/>
    <x v="0"/>
    <x v="24"/>
  </r>
  <r>
    <x v="403"/>
    <x v="2"/>
    <x v="943"/>
    <x v="7"/>
    <x v="5"/>
    <x v="0"/>
    <x v="1"/>
    <x v="146"/>
    <x v="9"/>
    <x v="0"/>
    <x v="130"/>
    <x v="244"/>
    <x v="8"/>
    <x v="22"/>
    <x v="46"/>
    <x v="231"/>
    <x v="99"/>
    <x v="6"/>
    <x v="56"/>
    <x v="846"/>
    <x v="0"/>
    <x v="8"/>
    <x v="0"/>
    <x v="1"/>
    <x v="0"/>
    <x v="24"/>
  </r>
  <r>
    <x v="18"/>
    <x v="0"/>
    <x v="828"/>
    <x v="7"/>
    <x v="6"/>
    <x v="3"/>
    <x v="1"/>
    <x v="6"/>
    <x v="9"/>
    <x v="0"/>
    <x v="306"/>
    <x v="37"/>
    <x v="8"/>
    <x v="29"/>
    <x v="485"/>
    <x v="606"/>
    <x v="178"/>
    <x v="6"/>
    <x v="20"/>
    <x v="845"/>
    <x v="0"/>
    <x v="8"/>
    <x v="0"/>
    <x v="1"/>
    <x v="0"/>
    <x v="24"/>
  </r>
  <r>
    <x v="241"/>
    <x v="1"/>
    <x v="24"/>
    <x v="2"/>
    <x v="2"/>
    <x v="4"/>
    <x v="1"/>
    <x v="15"/>
    <x v="9"/>
    <x v="0"/>
    <x v="316"/>
    <x v="71"/>
    <x v="8"/>
    <x v="375"/>
    <x v="156"/>
    <x v="9"/>
    <x v="295"/>
    <x v="6"/>
    <x v="14"/>
    <x v="844"/>
    <x v="0"/>
    <x v="8"/>
    <x v="0"/>
    <x v="1"/>
    <x v="0"/>
    <x v="24"/>
  </r>
  <r>
    <x v="187"/>
    <x v="1"/>
    <x v="884"/>
    <x v="0"/>
    <x v="3"/>
    <x v="0"/>
    <x v="1"/>
    <x v="14"/>
    <x v="9"/>
    <x v="0"/>
    <x v="399"/>
    <x v="71"/>
    <x v="8"/>
    <x v="49"/>
    <x v="6"/>
    <x v="319"/>
    <x v="71"/>
    <x v="6"/>
    <x v="52"/>
    <x v="843"/>
    <x v="0"/>
    <x v="8"/>
    <x v="0"/>
    <x v="1"/>
    <x v="0"/>
    <x v="24"/>
  </r>
  <r>
    <x v="544"/>
    <x v="4"/>
    <x v="50"/>
    <x v="4"/>
    <x v="5"/>
    <x v="0"/>
    <x v="0"/>
    <x v="165"/>
    <x v="9"/>
    <x v="0"/>
    <x v="258"/>
    <x v="103"/>
    <x v="8"/>
    <x v="175"/>
    <x v="343"/>
    <x v="490"/>
    <x v="221"/>
    <x v="6"/>
    <x v="56"/>
    <x v="842"/>
    <x v="0"/>
    <x v="8"/>
    <x v="0"/>
    <x v="1"/>
    <x v="0"/>
    <x v="24"/>
  </r>
  <r>
    <x v="518"/>
    <x v="3"/>
    <x v="20"/>
    <x v="6"/>
    <x v="5"/>
    <x v="0"/>
    <x v="1"/>
    <x v="202"/>
    <x v="9"/>
    <x v="0"/>
    <x v="79"/>
    <x v="172"/>
    <x v="8"/>
    <x v="98"/>
    <x v="52"/>
    <x v="237"/>
    <x v="396"/>
    <x v="6"/>
    <x v="56"/>
    <x v="841"/>
    <x v="0"/>
    <x v="8"/>
    <x v="0"/>
    <x v="1"/>
    <x v="0"/>
    <x v="24"/>
  </r>
  <r>
    <x v="272"/>
    <x v="1"/>
    <x v="982"/>
    <x v="0"/>
    <x v="3"/>
    <x v="0"/>
    <x v="1"/>
    <x v="14"/>
    <x v="9"/>
    <x v="0"/>
    <x v="363"/>
    <x v="147"/>
    <x v="8"/>
    <x v="310"/>
    <x v="208"/>
    <x v="933"/>
    <x v="224"/>
    <x v="6"/>
    <x v="54"/>
    <x v="840"/>
    <x v="0"/>
    <x v="8"/>
    <x v="0"/>
    <x v="1"/>
    <x v="0"/>
    <x v="24"/>
  </r>
  <r>
    <x v="775"/>
    <x v="7"/>
    <x v="455"/>
    <x v="7"/>
    <x v="6"/>
    <x v="0"/>
    <x v="1"/>
    <x v="124"/>
    <x v="9"/>
    <x v="0"/>
    <x v="150"/>
    <x v="180"/>
    <x v="8"/>
    <x v="64"/>
    <x v="532"/>
    <x v="603"/>
    <x v="223"/>
    <x v="6"/>
    <x v="20"/>
    <x v="839"/>
    <x v="0"/>
    <x v="8"/>
    <x v="0"/>
    <x v="1"/>
    <x v="1"/>
    <x v="24"/>
  </r>
  <r>
    <x v="211"/>
    <x v="1"/>
    <x v="454"/>
    <x v="5"/>
    <x v="4"/>
    <x v="0"/>
    <x v="0"/>
    <x v="111"/>
    <x v="9"/>
    <x v="0"/>
    <x v="265"/>
    <x v="159"/>
    <x v="8"/>
    <x v="20"/>
    <x v="186"/>
    <x v="513"/>
    <x v="72"/>
    <x v="6"/>
    <x v="56"/>
    <x v="838"/>
    <x v="0"/>
    <x v="8"/>
    <x v="0"/>
    <x v="1"/>
    <x v="0"/>
    <x v="24"/>
  </r>
  <r>
    <x v="539"/>
    <x v="4"/>
    <x v="208"/>
    <x v="7"/>
    <x v="4"/>
    <x v="0"/>
    <x v="0"/>
    <x v="81"/>
    <x v="9"/>
    <x v="0"/>
    <x v="126"/>
    <x v="87"/>
    <x v="8"/>
    <x v="136"/>
    <x v="545"/>
    <x v="569"/>
    <x v="208"/>
    <x v="6"/>
    <x v="20"/>
    <x v="837"/>
    <x v="0"/>
    <x v="8"/>
    <x v="0"/>
    <x v="1"/>
    <x v="0"/>
    <x v="24"/>
  </r>
  <r>
    <x v="700"/>
    <x v="6"/>
    <x v="177"/>
    <x v="9"/>
    <x v="8"/>
    <x v="3"/>
    <x v="0"/>
    <x v="330"/>
    <x v="2"/>
    <x v="19"/>
    <x v="1"/>
    <x v="192"/>
    <x v="5"/>
    <x v="9"/>
    <x v="816"/>
    <x v="104"/>
    <x v="421"/>
    <x v="3"/>
    <x v="53"/>
    <x v="836"/>
    <x v="0"/>
    <x v="5"/>
    <x v="0"/>
    <x v="1"/>
    <x v="1"/>
    <x v="24"/>
  </r>
  <r>
    <x v="803"/>
    <x v="8"/>
    <x v="792"/>
    <x v="4"/>
    <x v="5"/>
    <x v="0"/>
    <x v="1"/>
    <x v="205"/>
    <x v="9"/>
    <x v="0"/>
    <x v="244"/>
    <x v="47"/>
    <x v="8"/>
    <x v="330"/>
    <x v="375"/>
    <x v="613"/>
    <x v="418"/>
    <x v="6"/>
    <x v="20"/>
    <x v="835"/>
    <x v="0"/>
    <x v="8"/>
    <x v="0"/>
    <x v="1"/>
    <x v="1"/>
    <x v="24"/>
  </r>
  <r>
    <x v="786"/>
    <x v="8"/>
    <x v="483"/>
    <x v="8"/>
    <x v="5"/>
    <x v="0"/>
    <x v="1"/>
    <x v="135"/>
    <x v="9"/>
    <x v="0"/>
    <x v="141"/>
    <x v="11"/>
    <x v="8"/>
    <x v="168"/>
    <x v="69"/>
    <x v="16"/>
    <x v="215"/>
    <x v="6"/>
    <x v="56"/>
    <x v="834"/>
    <x v="0"/>
    <x v="8"/>
    <x v="0"/>
    <x v="1"/>
    <x v="1"/>
    <x v="24"/>
  </r>
  <r>
    <x v="238"/>
    <x v="1"/>
    <x v="962"/>
    <x v="7"/>
    <x v="5"/>
    <x v="3"/>
    <x v="1"/>
    <x v="168"/>
    <x v="9"/>
    <x v="0"/>
    <x v="125"/>
    <x v="95"/>
    <x v="8"/>
    <x v="192"/>
    <x v="659"/>
    <x v="153"/>
    <x v="217"/>
    <x v="6"/>
    <x v="56"/>
    <x v="833"/>
    <x v="0"/>
    <x v="8"/>
    <x v="0"/>
    <x v="1"/>
    <x v="0"/>
    <x v="24"/>
  </r>
  <r>
    <x v="959"/>
    <x v="15"/>
    <x v="853"/>
    <x v="9"/>
    <x v="7"/>
    <x v="1"/>
    <x v="1"/>
    <x v="340"/>
    <x v="9"/>
    <x v="0"/>
    <x v="276"/>
    <x v="55"/>
    <x v="8"/>
    <x v="262"/>
    <x v="397"/>
    <x v="214"/>
    <x v="293"/>
    <x v="5"/>
    <x v="37"/>
    <x v="832"/>
    <x v="0"/>
    <x v="8"/>
    <x v="0"/>
    <x v="1"/>
    <x v="3"/>
    <x v="24"/>
  </r>
  <r>
    <x v="881"/>
    <x v="11"/>
    <x v="450"/>
    <x v="7"/>
    <x v="6"/>
    <x v="0"/>
    <x v="1"/>
    <x v="192"/>
    <x v="9"/>
    <x v="0"/>
    <x v="38"/>
    <x v="47"/>
    <x v="8"/>
    <x v="20"/>
    <x v="465"/>
    <x v="786"/>
    <x v="290"/>
    <x v="6"/>
    <x v="35"/>
    <x v="831"/>
    <x v="0"/>
    <x v="8"/>
    <x v="0"/>
    <x v="1"/>
    <x v="2"/>
    <x v="24"/>
  </r>
  <r>
    <x v="715"/>
    <x v="6"/>
    <x v="172"/>
    <x v="7"/>
    <x v="5"/>
    <x v="3"/>
    <x v="1"/>
    <x v="133"/>
    <x v="9"/>
    <x v="0"/>
    <x v="236"/>
    <x v="47"/>
    <x v="8"/>
    <x v="284"/>
    <x v="350"/>
    <x v="734"/>
    <x v="74"/>
    <x v="6"/>
    <x v="35"/>
    <x v="830"/>
    <x v="0"/>
    <x v="8"/>
    <x v="0"/>
    <x v="1"/>
    <x v="1"/>
    <x v="24"/>
  </r>
  <r>
    <x v="522"/>
    <x v="3"/>
    <x v="376"/>
    <x v="5"/>
    <x v="5"/>
    <x v="0"/>
    <x v="1"/>
    <x v="55"/>
    <x v="9"/>
    <x v="0"/>
    <x v="77"/>
    <x v="137"/>
    <x v="8"/>
    <x v="47"/>
    <x v="512"/>
    <x v="536"/>
    <x v="244"/>
    <x v="6"/>
    <x v="20"/>
    <x v="829"/>
    <x v="0"/>
    <x v="8"/>
    <x v="0"/>
    <x v="1"/>
    <x v="0"/>
    <x v="24"/>
  </r>
  <r>
    <x v="130"/>
    <x v="0"/>
    <x v="260"/>
    <x v="0"/>
    <x v="4"/>
    <x v="0"/>
    <x v="1"/>
    <x v="0"/>
    <x v="9"/>
    <x v="0"/>
    <x v="382"/>
    <x v="62"/>
    <x v="8"/>
    <x v="141"/>
    <x v="8"/>
    <x v="323"/>
    <x v="71"/>
    <x v="6"/>
    <x v="56"/>
    <x v="828"/>
    <x v="0"/>
    <x v="8"/>
    <x v="0"/>
    <x v="1"/>
    <x v="0"/>
    <x v="24"/>
  </r>
  <r>
    <x v="639"/>
    <x v="5"/>
    <x v="7"/>
    <x v="7"/>
    <x v="3"/>
    <x v="0"/>
    <x v="1"/>
    <x v="159"/>
    <x v="9"/>
    <x v="0"/>
    <x v="235"/>
    <x v="189"/>
    <x v="8"/>
    <x v="343"/>
    <x v="235"/>
    <x v="287"/>
    <x v="34"/>
    <x v="5"/>
    <x v="37"/>
    <x v="827"/>
    <x v="0"/>
    <x v="8"/>
    <x v="0"/>
    <x v="1"/>
    <x v="1"/>
    <x v="24"/>
  </r>
  <r>
    <x v="842"/>
    <x v="10"/>
    <x v="720"/>
    <x v="7"/>
    <x v="6"/>
    <x v="3"/>
    <x v="1"/>
    <x v="265"/>
    <x v="9"/>
    <x v="0"/>
    <x v="205"/>
    <x v="37"/>
    <x v="8"/>
    <x v="283"/>
    <x v="505"/>
    <x v="202"/>
    <x v="336"/>
    <x v="5"/>
    <x v="12"/>
    <x v="826"/>
    <x v="0"/>
    <x v="8"/>
    <x v="0"/>
    <x v="1"/>
    <x v="2"/>
    <x v="24"/>
  </r>
  <r>
    <x v="389"/>
    <x v="2"/>
    <x v="5"/>
    <x v="6"/>
    <x v="5"/>
    <x v="3"/>
    <x v="1"/>
    <x v="181"/>
    <x v="9"/>
    <x v="0"/>
    <x v="21"/>
    <x v="192"/>
    <x v="8"/>
    <x v="210"/>
    <x v="679"/>
    <x v="144"/>
    <x v="369"/>
    <x v="6"/>
    <x v="26"/>
    <x v="825"/>
    <x v="0"/>
    <x v="8"/>
    <x v="0"/>
    <x v="1"/>
    <x v="0"/>
    <x v="24"/>
  </r>
  <r>
    <x v="425"/>
    <x v="2"/>
    <x v="718"/>
    <x v="0"/>
    <x v="2"/>
    <x v="0"/>
    <x v="0"/>
    <x v="31"/>
    <x v="9"/>
    <x v="0"/>
    <x v="381"/>
    <x v="55"/>
    <x v="8"/>
    <x v="32"/>
    <x v="26"/>
    <x v="363"/>
    <x v="364"/>
    <x v="6"/>
    <x v="56"/>
    <x v="824"/>
    <x v="1"/>
    <x v="8"/>
    <x v="0"/>
    <x v="1"/>
    <x v="0"/>
    <x v="24"/>
  </r>
  <r>
    <x v="314"/>
    <x v="2"/>
    <x v="653"/>
    <x v="8"/>
    <x v="7"/>
    <x v="1"/>
    <x v="1"/>
    <x v="325"/>
    <x v="9"/>
    <x v="0"/>
    <x v="9"/>
    <x v="95"/>
    <x v="8"/>
    <x v="205"/>
    <x v="76"/>
    <x v="259"/>
    <x v="102"/>
    <x v="5"/>
    <x v="9"/>
    <x v="823"/>
    <x v="0"/>
    <x v="8"/>
    <x v="0"/>
    <x v="1"/>
    <x v="0"/>
    <x v="24"/>
  </r>
  <r>
    <x v="296"/>
    <x v="1"/>
    <x v="475"/>
    <x v="5"/>
    <x v="3"/>
    <x v="0"/>
    <x v="1"/>
    <x v="15"/>
    <x v="9"/>
    <x v="0"/>
    <x v="383"/>
    <x v="62"/>
    <x v="8"/>
    <x v="136"/>
    <x v="254"/>
    <x v="905"/>
    <x v="433"/>
    <x v="6"/>
    <x v="54"/>
    <x v="822"/>
    <x v="0"/>
    <x v="8"/>
    <x v="0"/>
    <x v="1"/>
    <x v="0"/>
    <x v="24"/>
  </r>
  <r>
    <x v="306"/>
    <x v="1"/>
    <x v="158"/>
    <x v="2"/>
    <x v="3"/>
    <x v="0"/>
    <x v="1"/>
    <x v="16"/>
    <x v="9"/>
    <x v="0"/>
    <x v="159"/>
    <x v="162"/>
    <x v="8"/>
    <x v="159"/>
    <x v="568"/>
    <x v="583"/>
    <x v="279"/>
    <x v="6"/>
    <x v="20"/>
    <x v="821"/>
    <x v="1"/>
    <x v="8"/>
    <x v="0"/>
    <x v="1"/>
    <x v="0"/>
    <x v="24"/>
  </r>
  <r>
    <x v="516"/>
    <x v="3"/>
    <x v="131"/>
    <x v="3"/>
    <x v="2"/>
    <x v="0"/>
    <x v="0"/>
    <x v="53"/>
    <x v="9"/>
    <x v="0"/>
    <x v="123"/>
    <x v="47"/>
    <x v="8"/>
    <x v="367"/>
    <x v="327"/>
    <x v="252"/>
    <x v="451"/>
    <x v="5"/>
    <x v="7"/>
    <x v="820"/>
    <x v="0"/>
    <x v="8"/>
    <x v="0"/>
    <x v="1"/>
    <x v="0"/>
    <x v="24"/>
  </r>
  <r>
    <x v="674"/>
    <x v="5"/>
    <x v="949"/>
    <x v="5"/>
    <x v="4"/>
    <x v="0"/>
    <x v="1"/>
    <x v="119"/>
    <x v="9"/>
    <x v="0"/>
    <x v="178"/>
    <x v="87"/>
    <x v="8"/>
    <x v="197"/>
    <x v="597"/>
    <x v="588"/>
    <x v="355"/>
    <x v="6"/>
    <x v="56"/>
    <x v="819"/>
    <x v="0"/>
    <x v="8"/>
    <x v="0"/>
    <x v="1"/>
    <x v="1"/>
    <x v="23"/>
  </r>
  <r>
    <x v="795"/>
    <x v="8"/>
    <x v="682"/>
    <x v="3"/>
    <x v="6"/>
    <x v="0"/>
    <x v="1"/>
    <x v="130"/>
    <x v="9"/>
    <x v="0"/>
    <x v="317"/>
    <x v="103"/>
    <x v="8"/>
    <x v="53"/>
    <x v="968"/>
    <x v="876"/>
    <x v="482"/>
    <x v="6"/>
    <x v="56"/>
    <x v="818"/>
    <x v="0"/>
    <x v="8"/>
    <x v="0"/>
    <x v="1"/>
    <x v="1"/>
    <x v="23"/>
  </r>
  <r>
    <x v="739"/>
    <x v="6"/>
    <x v="368"/>
    <x v="0"/>
    <x v="4"/>
    <x v="0"/>
    <x v="1"/>
    <x v="101"/>
    <x v="9"/>
    <x v="0"/>
    <x v="373"/>
    <x v="78"/>
    <x v="8"/>
    <x v="273"/>
    <x v="9"/>
    <x v="320"/>
    <x v="436"/>
    <x v="6"/>
    <x v="43"/>
    <x v="817"/>
    <x v="1"/>
    <x v="8"/>
    <x v="0"/>
    <x v="1"/>
    <x v="1"/>
    <x v="23"/>
  </r>
  <r>
    <x v="207"/>
    <x v="1"/>
    <x v="157"/>
    <x v="0"/>
    <x v="3"/>
    <x v="0"/>
    <x v="1"/>
    <x v="14"/>
    <x v="9"/>
    <x v="0"/>
    <x v="246"/>
    <x v="153"/>
    <x v="8"/>
    <x v="20"/>
    <x v="130"/>
    <x v="955"/>
    <x v="448"/>
    <x v="6"/>
    <x v="56"/>
    <x v="816"/>
    <x v="0"/>
    <x v="8"/>
    <x v="0"/>
    <x v="1"/>
    <x v="0"/>
    <x v="23"/>
  </r>
  <r>
    <x v="848"/>
    <x v="10"/>
    <x v="156"/>
    <x v="3"/>
    <x v="5"/>
    <x v="0"/>
    <x v="1"/>
    <x v="161"/>
    <x v="9"/>
    <x v="0"/>
    <x v="224"/>
    <x v="62"/>
    <x v="8"/>
    <x v="20"/>
    <x v="134"/>
    <x v="952"/>
    <x v="448"/>
    <x v="6"/>
    <x v="56"/>
    <x v="815"/>
    <x v="0"/>
    <x v="8"/>
    <x v="0"/>
    <x v="1"/>
    <x v="2"/>
    <x v="23"/>
  </r>
  <r>
    <x v="685"/>
    <x v="6"/>
    <x v="976"/>
    <x v="8"/>
    <x v="7"/>
    <x v="1"/>
    <x v="1"/>
    <x v="336"/>
    <x v="0"/>
    <x v="0"/>
    <x v="0"/>
    <x v="0"/>
    <x v="5"/>
    <x v="170"/>
    <x v="989"/>
    <x v="86"/>
    <x v="353"/>
    <x v="3"/>
    <x v="53"/>
    <x v="814"/>
    <x v="0"/>
    <x v="5"/>
    <x v="0"/>
    <x v="1"/>
    <x v="1"/>
    <x v="23"/>
  </r>
  <r>
    <x v="458"/>
    <x v="3"/>
    <x v="615"/>
    <x v="0"/>
    <x v="2"/>
    <x v="0"/>
    <x v="1"/>
    <x v="49"/>
    <x v="9"/>
    <x v="0"/>
    <x v="260"/>
    <x v="183"/>
    <x v="8"/>
    <x v="362"/>
    <x v="188"/>
    <x v="5"/>
    <x v="232"/>
    <x v="6"/>
    <x v="14"/>
    <x v="813"/>
    <x v="0"/>
    <x v="8"/>
    <x v="0"/>
    <x v="1"/>
    <x v="0"/>
    <x v="23"/>
  </r>
  <r>
    <x v="328"/>
    <x v="2"/>
    <x v="276"/>
    <x v="3"/>
    <x v="3"/>
    <x v="0"/>
    <x v="1"/>
    <x v="33"/>
    <x v="9"/>
    <x v="0"/>
    <x v="384"/>
    <x v="71"/>
    <x v="8"/>
    <x v="20"/>
    <x v="995"/>
    <x v="331"/>
    <x v="325"/>
    <x v="6"/>
    <x v="56"/>
    <x v="812"/>
    <x v="0"/>
    <x v="8"/>
    <x v="0"/>
    <x v="1"/>
    <x v="0"/>
    <x v="23"/>
  </r>
  <r>
    <x v="475"/>
    <x v="3"/>
    <x v="832"/>
    <x v="8"/>
    <x v="6"/>
    <x v="3"/>
    <x v="0"/>
    <x v="206"/>
    <x v="9"/>
    <x v="0"/>
    <x v="215"/>
    <x v="37"/>
    <x v="8"/>
    <x v="37"/>
    <x v="847"/>
    <x v="335"/>
    <x v="236"/>
    <x v="2"/>
    <x v="56"/>
    <x v="811"/>
    <x v="0"/>
    <x v="8"/>
    <x v="0"/>
    <x v="1"/>
    <x v="0"/>
    <x v="23"/>
  </r>
  <r>
    <x v="54"/>
    <x v="0"/>
    <x v="741"/>
    <x v="2"/>
    <x v="3"/>
    <x v="0"/>
    <x v="0"/>
    <x v="5"/>
    <x v="9"/>
    <x v="0"/>
    <x v="173"/>
    <x v="232"/>
    <x v="8"/>
    <x v="20"/>
    <x v="925"/>
    <x v="92"/>
    <x v="358"/>
    <x v="6"/>
    <x v="56"/>
    <x v="810"/>
    <x v="0"/>
    <x v="8"/>
    <x v="0"/>
    <x v="1"/>
    <x v="0"/>
    <x v="23"/>
  </r>
  <r>
    <x v="461"/>
    <x v="3"/>
    <x v="740"/>
    <x v="4"/>
    <x v="3"/>
    <x v="0"/>
    <x v="1"/>
    <x v="101"/>
    <x v="9"/>
    <x v="0"/>
    <x v="151"/>
    <x v="173"/>
    <x v="8"/>
    <x v="20"/>
    <x v="926"/>
    <x v="94"/>
    <x v="358"/>
    <x v="6"/>
    <x v="56"/>
    <x v="809"/>
    <x v="0"/>
    <x v="8"/>
    <x v="0"/>
    <x v="1"/>
    <x v="0"/>
    <x v="23"/>
  </r>
  <r>
    <x v="49"/>
    <x v="0"/>
    <x v="739"/>
    <x v="3"/>
    <x v="3"/>
    <x v="0"/>
    <x v="1"/>
    <x v="13"/>
    <x v="9"/>
    <x v="0"/>
    <x v="161"/>
    <x v="230"/>
    <x v="8"/>
    <x v="20"/>
    <x v="922"/>
    <x v="93"/>
    <x v="358"/>
    <x v="6"/>
    <x v="56"/>
    <x v="808"/>
    <x v="0"/>
    <x v="8"/>
    <x v="0"/>
    <x v="1"/>
    <x v="0"/>
    <x v="23"/>
  </r>
  <r>
    <x v="38"/>
    <x v="0"/>
    <x v="545"/>
    <x v="0"/>
    <x v="3"/>
    <x v="0"/>
    <x v="1"/>
    <x v="0"/>
    <x v="9"/>
    <x v="0"/>
    <x v="206"/>
    <x v="95"/>
    <x v="8"/>
    <x v="56"/>
    <x v="136"/>
    <x v="953"/>
    <x v="448"/>
    <x v="6"/>
    <x v="56"/>
    <x v="807"/>
    <x v="0"/>
    <x v="8"/>
    <x v="0"/>
    <x v="1"/>
    <x v="0"/>
    <x v="23"/>
  </r>
  <r>
    <x v="368"/>
    <x v="2"/>
    <x v="428"/>
    <x v="0"/>
    <x v="2"/>
    <x v="0"/>
    <x v="1"/>
    <x v="31"/>
    <x v="9"/>
    <x v="0"/>
    <x v="249"/>
    <x v="55"/>
    <x v="8"/>
    <x v="355"/>
    <x v="955"/>
    <x v="800"/>
    <x v="327"/>
    <x v="6"/>
    <x v="56"/>
    <x v="806"/>
    <x v="0"/>
    <x v="8"/>
    <x v="0"/>
    <x v="1"/>
    <x v="0"/>
    <x v="23"/>
  </r>
  <r>
    <x v="34"/>
    <x v="0"/>
    <x v="318"/>
    <x v="0"/>
    <x v="3"/>
    <x v="0"/>
    <x v="1"/>
    <x v="0"/>
    <x v="9"/>
    <x v="0"/>
    <x v="307"/>
    <x v="30"/>
    <x v="8"/>
    <x v="72"/>
    <x v="924"/>
    <x v="829"/>
    <x v="423"/>
    <x v="6"/>
    <x v="56"/>
    <x v="805"/>
    <x v="0"/>
    <x v="8"/>
    <x v="0"/>
    <x v="1"/>
    <x v="0"/>
    <x v="23"/>
  </r>
  <r>
    <x v="624"/>
    <x v="5"/>
    <x v="317"/>
    <x v="6"/>
    <x v="5"/>
    <x v="0"/>
    <x v="1"/>
    <x v="88"/>
    <x v="9"/>
    <x v="0"/>
    <x v="179"/>
    <x v="62"/>
    <x v="8"/>
    <x v="144"/>
    <x v="403"/>
    <x v="768"/>
    <x v="197"/>
    <x v="6"/>
    <x v="35"/>
    <x v="804"/>
    <x v="0"/>
    <x v="8"/>
    <x v="0"/>
    <x v="1"/>
    <x v="1"/>
    <x v="23"/>
  </r>
  <r>
    <x v="369"/>
    <x v="2"/>
    <x v="971"/>
    <x v="2"/>
    <x v="2"/>
    <x v="0"/>
    <x v="1"/>
    <x v="31"/>
    <x v="9"/>
    <x v="0"/>
    <x v="298"/>
    <x v="103"/>
    <x v="8"/>
    <x v="363"/>
    <x v="183"/>
    <x v="17"/>
    <x v="232"/>
    <x v="6"/>
    <x v="14"/>
    <x v="803"/>
    <x v="0"/>
    <x v="8"/>
    <x v="0"/>
    <x v="1"/>
    <x v="0"/>
    <x v="23"/>
  </r>
  <r>
    <x v="862"/>
    <x v="10"/>
    <x v="917"/>
    <x v="8"/>
    <x v="7"/>
    <x v="2"/>
    <x v="0"/>
    <x v="344"/>
    <x v="9"/>
    <x v="0"/>
    <x v="169"/>
    <x v="25"/>
    <x v="8"/>
    <x v="72"/>
    <x v="538"/>
    <x v="510"/>
    <x v="337"/>
    <x v="6"/>
    <x v="20"/>
    <x v="802"/>
    <x v="0"/>
    <x v="8"/>
    <x v="0"/>
    <x v="1"/>
    <x v="2"/>
    <x v="23"/>
  </r>
  <r>
    <x v="156"/>
    <x v="0"/>
    <x v="541"/>
    <x v="4"/>
    <x v="0"/>
    <x v="0"/>
    <x v="0"/>
    <x v="1"/>
    <x v="9"/>
    <x v="0"/>
    <x v="348"/>
    <x v="62"/>
    <x v="8"/>
    <x v="369"/>
    <x v="101"/>
    <x v="979"/>
    <x v="462"/>
    <x v="6"/>
    <x v="56"/>
    <x v="801"/>
    <x v="1"/>
    <x v="8"/>
    <x v="0"/>
    <x v="1"/>
    <x v="0"/>
    <x v="23"/>
  </r>
  <r>
    <x v="605"/>
    <x v="4"/>
    <x v="313"/>
    <x v="3"/>
    <x v="3"/>
    <x v="0"/>
    <x v="0"/>
    <x v="70"/>
    <x v="9"/>
    <x v="0"/>
    <x v="252"/>
    <x v="62"/>
    <x v="8"/>
    <x v="254"/>
    <x v="58"/>
    <x v="3"/>
    <x v="192"/>
    <x v="6"/>
    <x v="56"/>
    <x v="800"/>
    <x v="1"/>
    <x v="8"/>
    <x v="0"/>
    <x v="1"/>
    <x v="0"/>
    <x v="23"/>
  </r>
  <r>
    <x v="112"/>
    <x v="0"/>
    <x v="267"/>
    <x v="3"/>
    <x v="5"/>
    <x v="0"/>
    <x v="1"/>
    <x v="1"/>
    <x v="9"/>
    <x v="0"/>
    <x v="167"/>
    <x v="115"/>
    <x v="8"/>
    <x v="212"/>
    <x v="298"/>
    <x v="862"/>
    <x v="199"/>
    <x v="6"/>
    <x v="42"/>
    <x v="799"/>
    <x v="0"/>
    <x v="8"/>
    <x v="0"/>
    <x v="1"/>
    <x v="0"/>
    <x v="23"/>
  </r>
  <r>
    <x v="944"/>
    <x v="14"/>
    <x v="180"/>
    <x v="7"/>
    <x v="3"/>
    <x v="0"/>
    <x v="1"/>
    <x v="215"/>
    <x v="9"/>
    <x v="0"/>
    <x v="145"/>
    <x v="17"/>
    <x v="8"/>
    <x v="400"/>
    <x v="181"/>
    <x v="988"/>
    <x v="232"/>
    <x v="6"/>
    <x v="14"/>
    <x v="798"/>
    <x v="0"/>
    <x v="8"/>
    <x v="0"/>
    <x v="1"/>
    <x v="2"/>
    <x v="23"/>
  </r>
  <r>
    <x v="230"/>
    <x v="1"/>
    <x v="151"/>
    <x v="8"/>
    <x v="8"/>
    <x v="1"/>
    <x v="1"/>
    <x v="250"/>
    <x v="9"/>
    <x v="0"/>
    <x v="113"/>
    <x v="159"/>
    <x v="8"/>
    <x v="136"/>
    <x v="905"/>
    <x v="683"/>
    <x v="94"/>
    <x v="1"/>
    <x v="23"/>
    <x v="797"/>
    <x v="0"/>
    <x v="8"/>
    <x v="0"/>
    <x v="1"/>
    <x v="0"/>
    <x v="23"/>
  </r>
  <r>
    <x v="703"/>
    <x v="6"/>
    <x v="938"/>
    <x v="2"/>
    <x v="4"/>
    <x v="0"/>
    <x v="1"/>
    <x v="101"/>
    <x v="9"/>
    <x v="0"/>
    <x v="238"/>
    <x v="103"/>
    <x v="8"/>
    <x v="81"/>
    <x v="131"/>
    <x v="958"/>
    <x v="448"/>
    <x v="6"/>
    <x v="56"/>
    <x v="796"/>
    <x v="0"/>
    <x v="8"/>
    <x v="0"/>
    <x v="1"/>
    <x v="1"/>
    <x v="23"/>
  </r>
  <r>
    <x v="689"/>
    <x v="6"/>
    <x v="798"/>
    <x v="0"/>
    <x v="2"/>
    <x v="0"/>
    <x v="0"/>
    <x v="101"/>
    <x v="9"/>
    <x v="0"/>
    <x v="299"/>
    <x v="17"/>
    <x v="8"/>
    <x v="396"/>
    <x v="274"/>
    <x v="272"/>
    <x v="155"/>
    <x v="5"/>
    <x v="37"/>
    <x v="795"/>
    <x v="0"/>
    <x v="8"/>
    <x v="0"/>
    <x v="1"/>
    <x v="1"/>
    <x v="23"/>
  </r>
  <r>
    <x v="119"/>
    <x v="0"/>
    <x v="705"/>
    <x v="6"/>
    <x v="6"/>
    <x v="0"/>
    <x v="1"/>
    <x v="2"/>
    <x v="9"/>
    <x v="0"/>
    <x v="338"/>
    <x v="5"/>
    <x v="8"/>
    <x v="16"/>
    <x v="212"/>
    <x v="937"/>
    <x v="224"/>
    <x v="6"/>
    <x v="54"/>
    <x v="794"/>
    <x v="0"/>
    <x v="8"/>
    <x v="0"/>
    <x v="1"/>
    <x v="0"/>
    <x v="23"/>
  </r>
  <r>
    <x v="805"/>
    <x v="8"/>
    <x v="704"/>
    <x v="8"/>
    <x v="5"/>
    <x v="3"/>
    <x v="1"/>
    <x v="323"/>
    <x v="9"/>
    <x v="0"/>
    <x v="186"/>
    <x v="37"/>
    <x v="8"/>
    <x v="285"/>
    <x v="634"/>
    <x v="304"/>
    <x v="84"/>
    <x v="6"/>
    <x v="55"/>
    <x v="793"/>
    <x v="0"/>
    <x v="8"/>
    <x v="0"/>
    <x v="1"/>
    <x v="1"/>
    <x v="23"/>
  </r>
  <r>
    <x v="551"/>
    <x v="4"/>
    <x v="637"/>
    <x v="7"/>
    <x v="6"/>
    <x v="0"/>
    <x v="0"/>
    <x v="279"/>
    <x v="9"/>
    <x v="0"/>
    <x v="229"/>
    <x v="153"/>
    <x v="8"/>
    <x v="79"/>
    <x v="318"/>
    <x v="503"/>
    <x v="220"/>
    <x v="6"/>
    <x v="20"/>
    <x v="792"/>
    <x v="0"/>
    <x v="8"/>
    <x v="0"/>
    <x v="1"/>
    <x v="0"/>
    <x v="23"/>
  </r>
  <r>
    <x v="968"/>
    <x v="19"/>
    <x v="636"/>
    <x v="5"/>
    <x v="3"/>
    <x v="0"/>
    <x v="1"/>
    <x v="244"/>
    <x v="9"/>
    <x v="0"/>
    <x v="290"/>
    <x v="25"/>
    <x v="8"/>
    <x v="384"/>
    <x v="187"/>
    <x v="15"/>
    <x v="232"/>
    <x v="6"/>
    <x v="14"/>
    <x v="791"/>
    <x v="0"/>
    <x v="8"/>
    <x v="0"/>
    <x v="1"/>
    <x v="3"/>
    <x v="23"/>
  </r>
  <r>
    <x v="22"/>
    <x v="0"/>
    <x v="571"/>
    <x v="5"/>
    <x v="2"/>
    <x v="0"/>
    <x v="0"/>
    <x v="78"/>
    <x v="9"/>
    <x v="0"/>
    <x v="250"/>
    <x v="103"/>
    <x v="8"/>
    <x v="359"/>
    <x v="340"/>
    <x v="509"/>
    <x v="219"/>
    <x v="6"/>
    <x v="20"/>
    <x v="790"/>
    <x v="0"/>
    <x v="8"/>
    <x v="0"/>
    <x v="1"/>
    <x v="0"/>
    <x v="23"/>
  </r>
  <r>
    <x v="9"/>
    <x v="0"/>
    <x v="490"/>
    <x v="6"/>
    <x v="5"/>
    <x v="0"/>
    <x v="1"/>
    <x v="5"/>
    <x v="9"/>
    <x v="0"/>
    <x v="46"/>
    <x v="95"/>
    <x v="8"/>
    <x v="133"/>
    <x v="935"/>
    <x v="18"/>
    <x v="12"/>
    <x v="3"/>
    <x v="53"/>
    <x v="789"/>
    <x v="0"/>
    <x v="8"/>
    <x v="0"/>
    <x v="1"/>
    <x v="0"/>
    <x v="23"/>
  </r>
  <r>
    <x v="573"/>
    <x v="4"/>
    <x v="145"/>
    <x v="9"/>
    <x v="7"/>
    <x v="1"/>
    <x v="0"/>
    <x v="332"/>
    <x v="9"/>
    <x v="0"/>
    <x v="216"/>
    <x v="37"/>
    <x v="8"/>
    <x v="134"/>
    <x v="321"/>
    <x v="502"/>
    <x v="220"/>
    <x v="6"/>
    <x v="20"/>
    <x v="788"/>
    <x v="0"/>
    <x v="8"/>
    <x v="0"/>
    <x v="1"/>
    <x v="0"/>
    <x v="23"/>
  </r>
  <r>
    <x v="547"/>
    <x v="4"/>
    <x v="113"/>
    <x v="7"/>
    <x v="7"/>
    <x v="3"/>
    <x v="1"/>
    <x v="301"/>
    <x v="4"/>
    <x v="10"/>
    <x v="4"/>
    <x v="255"/>
    <x v="5"/>
    <x v="3"/>
    <x v="721"/>
    <x v="80"/>
    <x v="230"/>
    <x v="6"/>
    <x v="53"/>
    <x v="787"/>
    <x v="0"/>
    <x v="5"/>
    <x v="0"/>
    <x v="1"/>
    <x v="0"/>
    <x v="23"/>
  </r>
  <r>
    <x v="480"/>
    <x v="3"/>
    <x v="43"/>
    <x v="5"/>
    <x v="2"/>
    <x v="0"/>
    <x v="0"/>
    <x v="68"/>
    <x v="9"/>
    <x v="0"/>
    <x v="353"/>
    <x v="47"/>
    <x v="8"/>
    <x v="366"/>
    <x v="151"/>
    <x v="303"/>
    <x v="69"/>
    <x v="5"/>
    <x v="5"/>
    <x v="786"/>
    <x v="0"/>
    <x v="8"/>
    <x v="0"/>
    <x v="1"/>
    <x v="0"/>
    <x v="23"/>
  </r>
  <r>
    <x v="542"/>
    <x v="4"/>
    <x v="926"/>
    <x v="9"/>
    <x v="5"/>
    <x v="0"/>
    <x v="1"/>
    <x v="76"/>
    <x v="9"/>
    <x v="0"/>
    <x v="149"/>
    <x v="62"/>
    <x v="8"/>
    <x v="136"/>
    <x v="409"/>
    <x v="772"/>
    <x v="197"/>
    <x v="6"/>
    <x v="35"/>
    <x v="785"/>
    <x v="0"/>
    <x v="8"/>
    <x v="0"/>
    <x v="1"/>
    <x v="0"/>
    <x v="23"/>
  </r>
  <r>
    <x v="339"/>
    <x v="2"/>
    <x v="848"/>
    <x v="5"/>
    <x v="5"/>
    <x v="0"/>
    <x v="1"/>
    <x v="35"/>
    <x v="9"/>
    <x v="0"/>
    <x v="152"/>
    <x v="37"/>
    <x v="8"/>
    <x v="147"/>
    <x v="410"/>
    <x v="770"/>
    <x v="197"/>
    <x v="6"/>
    <x v="35"/>
    <x v="784"/>
    <x v="0"/>
    <x v="8"/>
    <x v="0"/>
    <x v="1"/>
    <x v="0"/>
    <x v="23"/>
  </r>
  <r>
    <x v="431"/>
    <x v="3"/>
    <x v="229"/>
    <x v="6"/>
    <x v="5"/>
    <x v="0"/>
    <x v="1"/>
    <x v="57"/>
    <x v="9"/>
    <x v="0"/>
    <x v="104"/>
    <x v="47"/>
    <x v="8"/>
    <x v="89"/>
    <x v="455"/>
    <x v="795"/>
    <x v="204"/>
    <x v="6"/>
    <x v="35"/>
    <x v="783"/>
    <x v="0"/>
    <x v="8"/>
    <x v="0"/>
    <x v="1"/>
    <x v="0"/>
    <x v="23"/>
  </r>
  <r>
    <x v="398"/>
    <x v="2"/>
    <x v="168"/>
    <x v="8"/>
    <x v="6"/>
    <x v="0"/>
    <x v="1"/>
    <x v="36"/>
    <x v="9"/>
    <x v="0"/>
    <x v="354"/>
    <x v="71"/>
    <x v="8"/>
    <x v="75"/>
    <x v="377"/>
    <x v="698"/>
    <x v="453"/>
    <x v="6"/>
    <x v="35"/>
    <x v="782"/>
    <x v="0"/>
    <x v="8"/>
    <x v="0"/>
    <x v="1"/>
    <x v="0"/>
    <x v="23"/>
  </r>
  <r>
    <x v="854"/>
    <x v="10"/>
    <x v="813"/>
    <x v="9"/>
    <x v="7"/>
    <x v="3"/>
    <x v="1"/>
    <x v="199"/>
    <x v="9"/>
    <x v="0"/>
    <x v="355"/>
    <x v="55"/>
    <x v="8"/>
    <x v="100"/>
    <x v="384"/>
    <x v="701"/>
    <x v="453"/>
    <x v="6"/>
    <x v="35"/>
    <x v="781"/>
    <x v="0"/>
    <x v="8"/>
    <x v="0"/>
    <x v="1"/>
    <x v="2"/>
    <x v="23"/>
  </r>
  <r>
    <x v="759"/>
    <x v="7"/>
    <x v="506"/>
    <x v="7"/>
    <x v="6"/>
    <x v="3"/>
    <x v="1"/>
    <x v="298"/>
    <x v="9"/>
    <x v="0"/>
    <x v="7"/>
    <x v="240"/>
    <x v="8"/>
    <x v="82"/>
    <x v="692"/>
    <x v="134"/>
    <x v="350"/>
    <x v="3"/>
    <x v="26"/>
    <x v="780"/>
    <x v="0"/>
    <x v="8"/>
    <x v="0"/>
    <x v="1"/>
    <x v="1"/>
    <x v="23"/>
  </r>
  <r>
    <x v="942"/>
    <x v="14"/>
    <x v="750"/>
    <x v="9"/>
    <x v="3"/>
    <x v="0"/>
    <x v="1"/>
    <x v="339"/>
    <x v="9"/>
    <x v="0"/>
    <x v="239"/>
    <x v="147"/>
    <x v="8"/>
    <x v="38"/>
    <x v="977"/>
    <x v="87"/>
    <x v="92"/>
    <x v="6"/>
    <x v="56"/>
    <x v="779"/>
    <x v="0"/>
    <x v="8"/>
    <x v="0"/>
    <x v="1"/>
    <x v="2"/>
    <x v="23"/>
  </r>
  <r>
    <x v="718"/>
    <x v="6"/>
    <x v="436"/>
    <x v="9"/>
    <x v="6"/>
    <x v="0"/>
    <x v="1"/>
    <x v="250"/>
    <x v="9"/>
    <x v="0"/>
    <x v="320"/>
    <x v="103"/>
    <x v="8"/>
    <x v="144"/>
    <x v="217"/>
    <x v="217"/>
    <x v="29"/>
    <x v="6"/>
    <x v="37"/>
    <x v="778"/>
    <x v="0"/>
    <x v="8"/>
    <x v="0"/>
    <x v="1"/>
    <x v="1"/>
    <x v="23"/>
  </r>
  <r>
    <x v="849"/>
    <x v="10"/>
    <x v="289"/>
    <x v="8"/>
    <x v="4"/>
    <x v="0"/>
    <x v="1"/>
    <x v="327"/>
    <x v="9"/>
    <x v="0"/>
    <x v="330"/>
    <x v="17"/>
    <x v="8"/>
    <x v="65"/>
    <x v="701"/>
    <x v="175"/>
    <x v="49"/>
    <x v="6"/>
    <x v="56"/>
    <x v="777"/>
    <x v="0"/>
    <x v="8"/>
    <x v="0"/>
    <x v="1"/>
    <x v="2"/>
    <x v="23"/>
  </r>
  <r>
    <x v="20"/>
    <x v="0"/>
    <x v="501"/>
    <x v="8"/>
    <x v="6"/>
    <x v="0"/>
    <x v="0"/>
    <x v="224"/>
    <x v="9"/>
    <x v="0"/>
    <x v="222"/>
    <x v="137"/>
    <x v="8"/>
    <x v="229"/>
    <x v="337"/>
    <x v="498"/>
    <x v="189"/>
    <x v="6"/>
    <x v="20"/>
    <x v="776"/>
    <x v="0"/>
    <x v="8"/>
    <x v="0"/>
    <x v="1"/>
    <x v="0"/>
    <x v="22"/>
  </r>
  <r>
    <x v="145"/>
    <x v="0"/>
    <x v="434"/>
    <x v="1"/>
    <x v="4"/>
    <x v="0"/>
    <x v="1"/>
    <x v="1"/>
    <x v="9"/>
    <x v="0"/>
    <x v="401"/>
    <x v="103"/>
    <x v="8"/>
    <x v="56"/>
    <x v="16"/>
    <x v="332"/>
    <x v="68"/>
    <x v="6"/>
    <x v="56"/>
    <x v="775"/>
    <x v="1"/>
    <x v="8"/>
    <x v="0"/>
    <x v="1"/>
    <x v="0"/>
    <x v="22"/>
  </r>
  <r>
    <x v="670"/>
    <x v="5"/>
    <x v="650"/>
    <x v="4"/>
    <x v="5"/>
    <x v="0"/>
    <x v="1"/>
    <x v="97"/>
    <x v="9"/>
    <x v="0"/>
    <x v="51"/>
    <x v="30"/>
    <x v="8"/>
    <x v="20"/>
    <x v="145"/>
    <x v="945"/>
    <x v="448"/>
    <x v="6"/>
    <x v="56"/>
    <x v="774"/>
    <x v="0"/>
    <x v="8"/>
    <x v="0"/>
    <x v="1"/>
    <x v="1"/>
    <x v="22"/>
  </r>
  <r>
    <x v="280"/>
    <x v="1"/>
    <x v="649"/>
    <x v="4"/>
    <x v="4"/>
    <x v="0"/>
    <x v="1"/>
    <x v="20"/>
    <x v="9"/>
    <x v="0"/>
    <x v="44"/>
    <x v="87"/>
    <x v="8"/>
    <x v="32"/>
    <x v="142"/>
    <x v="944"/>
    <x v="448"/>
    <x v="6"/>
    <x v="56"/>
    <x v="773"/>
    <x v="0"/>
    <x v="8"/>
    <x v="0"/>
    <x v="1"/>
    <x v="0"/>
    <x v="22"/>
  </r>
  <r>
    <x v="42"/>
    <x v="0"/>
    <x v="433"/>
    <x v="8"/>
    <x v="7"/>
    <x v="3"/>
    <x v="1"/>
    <x v="268"/>
    <x v="9"/>
    <x v="0"/>
    <x v="12"/>
    <x v="175"/>
    <x v="8"/>
    <x v="68"/>
    <x v="625"/>
    <x v="173"/>
    <x v="346"/>
    <x v="6"/>
    <x v="11"/>
    <x v="772"/>
    <x v="0"/>
    <x v="8"/>
    <x v="0"/>
    <x v="1"/>
    <x v="0"/>
    <x v="22"/>
  </r>
  <r>
    <x v="801"/>
    <x v="8"/>
    <x v="397"/>
    <x v="8"/>
    <x v="8"/>
    <x v="2"/>
    <x v="0"/>
    <x v="352"/>
    <x v="9"/>
    <x v="0"/>
    <x v="20"/>
    <x v="162"/>
    <x v="8"/>
    <x v="65"/>
    <x v="807"/>
    <x v="365"/>
    <x v="0"/>
    <x v="1"/>
    <x v="21"/>
    <x v="771"/>
    <x v="0"/>
    <x v="8"/>
    <x v="0"/>
    <x v="1"/>
    <x v="1"/>
    <x v="22"/>
  </r>
  <r>
    <x v="115"/>
    <x v="0"/>
    <x v="217"/>
    <x v="6"/>
    <x v="4"/>
    <x v="0"/>
    <x v="1"/>
    <x v="9"/>
    <x v="9"/>
    <x v="0"/>
    <x v="325"/>
    <x v="5"/>
    <x v="8"/>
    <x v="250"/>
    <x v="460"/>
    <x v="710"/>
    <x v="23"/>
    <x v="6"/>
    <x v="35"/>
    <x v="770"/>
    <x v="0"/>
    <x v="8"/>
    <x v="0"/>
    <x v="1"/>
    <x v="0"/>
    <x v="22"/>
  </r>
  <r>
    <x v="519"/>
    <x v="3"/>
    <x v="126"/>
    <x v="5"/>
    <x v="4"/>
    <x v="0"/>
    <x v="1"/>
    <x v="64"/>
    <x v="9"/>
    <x v="0"/>
    <x v="341"/>
    <x v="87"/>
    <x v="8"/>
    <x v="20"/>
    <x v="225"/>
    <x v="57"/>
    <x v="145"/>
    <x v="6"/>
    <x v="56"/>
    <x v="769"/>
    <x v="0"/>
    <x v="8"/>
    <x v="0"/>
    <x v="1"/>
    <x v="0"/>
    <x v="22"/>
  </r>
  <r>
    <x v="166"/>
    <x v="1"/>
    <x v="32"/>
    <x v="3"/>
    <x v="4"/>
    <x v="0"/>
    <x v="1"/>
    <x v="18"/>
    <x v="9"/>
    <x v="0"/>
    <x v="75"/>
    <x v="143"/>
    <x v="8"/>
    <x v="82"/>
    <x v="140"/>
    <x v="947"/>
    <x v="448"/>
    <x v="6"/>
    <x v="56"/>
    <x v="768"/>
    <x v="0"/>
    <x v="8"/>
    <x v="0"/>
    <x v="1"/>
    <x v="0"/>
    <x v="22"/>
  </r>
  <r>
    <x v="337"/>
    <x v="2"/>
    <x v="988"/>
    <x v="3"/>
    <x v="3"/>
    <x v="0"/>
    <x v="1"/>
    <x v="31"/>
    <x v="9"/>
    <x v="0"/>
    <x v="105"/>
    <x v="218"/>
    <x v="8"/>
    <x v="94"/>
    <x v="137"/>
    <x v="949"/>
    <x v="448"/>
    <x v="6"/>
    <x v="56"/>
    <x v="767"/>
    <x v="0"/>
    <x v="8"/>
    <x v="0"/>
    <x v="1"/>
    <x v="0"/>
    <x v="22"/>
  </r>
  <r>
    <x v="352"/>
    <x v="2"/>
    <x v="805"/>
    <x v="3"/>
    <x v="2"/>
    <x v="0"/>
    <x v="0"/>
    <x v="34"/>
    <x v="9"/>
    <x v="0"/>
    <x v="164"/>
    <x v="47"/>
    <x v="8"/>
    <x v="365"/>
    <x v="345"/>
    <x v="542"/>
    <x v="262"/>
    <x v="6"/>
    <x v="20"/>
    <x v="766"/>
    <x v="0"/>
    <x v="8"/>
    <x v="0"/>
    <x v="1"/>
    <x v="0"/>
    <x v="22"/>
  </r>
  <r>
    <x v="57"/>
    <x v="0"/>
    <x v="242"/>
    <x v="3"/>
    <x v="4"/>
    <x v="0"/>
    <x v="1"/>
    <x v="1"/>
    <x v="9"/>
    <x v="0"/>
    <x v="116"/>
    <x v="11"/>
    <x v="8"/>
    <x v="258"/>
    <x v="947"/>
    <x v="977"/>
    <x v="32"/>
    <x v="3"/>
    <x v="56"/>
    <x v="765"/>
    <x v="0"/>
    <x v="8"/>
    <x v="0"/>
    <x v="1"/>
    <x v="0"/>
    <x v="22"/>
  </r>
  <r>
    <x v="684"/>
    <x v="6"/>
    <x v="638"/>
    <x v="9"/>
    <x v="7"/>
    <x v="4"/>
    <x v="0"/>
    <x v="331"/>
    <x v="9"/>
    <x v="0"/>
    <x v="98"/>
    <x v="103"/>
    <x v="8"/>
    <x v="174"/>
    <x v="714"/>
    <x v="130"/>
    <x v="260"/>
    <x v="3"/>
    <x v="26"/>
    <x v="764"/>
    <x v="0"/>
    <x v="8"/>
    <x v="0"/>
    <x v="1"/>
    <x v="1"/>
    <x v="22"/>
  </r>
  <r>
    <x v="972"/>
    <x v="19"/>
    <x v="235"/>
    <x v="9"/>
    <x v="6"/>
    <x v="2"/>
    <x v="1"/>
    <x v="355"/>
    <x v="9"/>
    <x v="0"/>
    <x v="96"/>
    <x v="95"/>
    <x v="8"/>
    <x v="172"/>
    <x v="683"/>
    <x v="140"/>
    <x v="90"/>
    <x v="6"/>
    <x v="56"/>
    <x v="763"/>
    <x v="1"/>
    <x v="8"/>
    <x v="0"/>
    <x v="1"/>
    <x v="3"/>
    <x v="22"/>
  </r>
  <r>
    <x v="37"/>
    <x v="0"/>
    <x v="232"/>
    <x v="5"/>
    <x v="6"/>
    <x v="3"/>
    <x v="0"/>
    <x v="45"/>
    <x v="9"/>
    <x v="0"/>
    <x v="397"/>
    <x v="95"/>
    <x v="8"/>
    <x v="16"/>
    <x v="795"/>
    <x v="489"/>
    <x v="265"/>
    <x v="1"/>
    <x v="36"/>
    <x v="762"/>
    <x v="0"/>
    <x v="8"/>
    <x v="0"/>
    <x v="1"/>
    <x v="0"/>
    <x v="22"/>
  </r>
  <r>
    <x v="172"/>
    <x v="1"/>
    <x v="668"/>
    <x v="7"/>
    <x v="6"/>
    <x v="3"/>
    <x v="0"/>
    <x v="249"/>
    <x v="9"/>
    <x v="0"/>
    <x v="91"/>
    <x v="47"/>
    <x v="8"/>
    <x v="7"/>
    <x v="835"/>
    <x v="349"/>
    <x v="207"/>
    <x v="1"/>
    <x v="49"/>
    <x v="761"/>
    <x v="0"/>
    <x v="8"/>
    <x v="0"/>
    <x v="1"/>
    <x v="0"/>
    <x v="22"/>
  </r>
  <r>
    <x v="913"/>
    <x v="12"/>
    <x v="567"/>
    <x v="8"/>
    <x v="6"/>
    <x v="0"/>
    <x v="1"/>
    <x v="188"/>
    <x v="9"/>
    <x v="0"/>
    <x v="287"/>
    <x v="25"/>
    <x v="8"/>
    <x v="20"/>
    <x v="962"/>
    <x v="946"/>
    <x v="205"/>
    <x v="6"/>
    <x v="56"/>
    <x v="760"/>
    <x v="1"/>
    <x v="8"/>
    <x v="0"/>
    <x v="1"/>
    <x v="2"/>
    <x v="22"/>
  </r>
  <r>
    <x v="304"/>
    <x v="1"/>
    <x v="353"/>
    <x v="5"/>
    <x v="3"/>
    <x v="0"/>
    <x v="1"/>
    <x v="42"/>
    <x v="9"/>
    <x v="0"/>
    <x v="300"/>
    <x v="175"/>
    <x v="8"/>
    <x v="20"/>
    <x v="18"/>
    <x v="874"/>
    <x v="33"/>
    <x v="6"/>
    <x v="56"/>
    <x v="759"/>
    <x v="1"/>
    <x v="8"/>
    <x v="0"/>
    <x v="1"/>
    <x v="0"/>
    <x v="22"/>
  </r>
  <r>
    <x v="46"/>
    <x v="0"/>
    <x v="176"/>
    <x v="9"/>
    <x v="7"/>
    <x v="3"/>
    <x v="1"/>
    <x v="75"/>
    <x v="9"/>
    <x v="0"/>
    <x v="318"/>
    <x v="147"/>
    <x v="8"/>
    <x v="16"/>
    <x v="638"/>
    <x v="553"/>
    <x v="234"/>
    <x v="6"/>
    <x v="38"/>
    <x v="758"/>
    <x v="0"/>
    <x v="8"/>
    <x v="0"/>
    <x v="1"/>
    <x v="0"/>
    <x v="22"/>
  </r>
  <r>
    <x v="470"/>
    <x v="3"/>
    <x v="731"/>
    <x v="6"/>
    <x v="5"/>
    <x v="3"/>
    <x v="1"/>
    <x v="241"/>
    <x v="9"/>
    <x v="0"/>
    <x v="107"/>
    <x v="180"/>
    <x v="8"/>
    <x v="142"/>
    <x v="666"/>
    <x v="150"/>
    <x v="370"/>
    <x v="6"/>
    <x v="56"/>
    <x v="757"/>
    <x v="0"/>
    <x v="8"/>
    <x v="0"/>
    <x v="1"/>
    <x v="0"/>
    <x v="22"/>
  </r>
  <r>
    <x v="550"/>
    <x v="4"/>
    <x v="452"/>
    <x v="8"/>
    <x v="5"/>
    <x v="3"/>
    <x v="1"/>
    <x v="277"/>
    <x v="9"/>
    <x v="0"/>
    <x v="14"/>
    <x v="172"/>
    <x v="8"/>
    <x v="233"/>
    <x v="681"/>
    <x v="147"/>
    <x v="403"/>
    <x v="6"/>
    <x v="16"/>
    <x v="756"/>
    <x v="0"/>
    <x v="8"/>
    <x v="0"/>
    <x v="1"/>
    <x v="0"/>
    <x v="22"/>
  </r>
  <r>
    <x v="460"/>
    <x v="3"/>
    <x v="46"/>
    <x v="0"/>
    <x v="3"/>
    <x v="0"/>
    <x v="1"/>
    <x v="49"/>
    <x v="9"/>
    <x v="0"/>
    <x v="219"/>
    <x v="17"/>
    <x v="8"/>
    <x v="2"/>
    <x v="960"/>
    <x v="965"/>
    <x v="32"/>
    <x v="6"/>
    <x v="56"/>
    <x v="755"/>
    <x v="0"/>
    <x v="8"/>
    <x v="0"/>
    <x v="1"/>
    <x v="0"/>
    <x v="22"/>
  </r>
  <r>
    <x v="243"/>
    <x v="1"/>
    <x v="930"/>
    <x v="7"/>
    <x v="6"/>
    <x v="0"/>
    <x v="0"/>
    <x v="22"/>
    <x v="9"/>
    <x v="0"/>
    <x v="220"/>
    <x v="62"/>
    <x v="8"/>
    <x v="26"/>
    <x v="520"/>
    <x v="514"/>
    <x v="361"/>
    <x v="6"/>
    <x v="20"/>
    <x v="754"/>
    <x v="0"/>
    <x v="8"/>
    <x v="0"/>
    <x v="1"/>
    <x v="0"/>
    <x v="22"/>
  </r>
  <r>
    <x v="158"/>
    <x v="0"/>
    <x v="300"/>
    <x v="0"/>
    <x v="3"/>
    <x v="0"/>
    <x v="1"/>
    <x v="0"/>
    <x v="9"/>
    <x v="0"/>
    <x v="368"/>
    <x v="55"/>
    <x v="8"/>
    <x v="44"/>
    <x v="13"/>
    <x v="321"/>
    <x v="436"/>
    <x v="6"/>
    <x v="56"/>
    <x v="753"/>
    <x v="1"/>
    <x v="8"/>
    <x v="0"/>
    <x v="1"/>
    <x v="0"/>
    <x v="22"/>
  </r>
  <r>
    <x v="493"/>
    <x v="3"/>
    <x v="262"/>
    <x v="6"/>
    <x v="4"/>
    <x v="0"/>
    <x v="1"/>
    <x v="51"/>
    <x v="9"/>
    <x v="0"/>
    <x v="379"/>
    <x v="71"/>
    <x v="8"/>
    <x v="301"/>
    <x v="238"/>
    <x v="925"/>
    <x v="359"/>
    <x v="6"/>
    <x v="54"/>
    <x v="752"/>
    <x v="0"/>
    <x v="8"/>
    <x v="0"/>
    <x v="1"/>
    <x v="0"/>
    <x v="22"/>
  </r>
  <r>
    <x v="570"/>
    <x v="4"/>
    <x v="902"/>
    <x v="9"/>
    <x v="5"/>
    <x v="0"/>
    <x v="1"/>
    <x v="127"/>
    <x v="9"/>
    <x v="0"/>
    <x v="166"/>
    <x v="30"/>
    <x v="8"/>
    <x v="103"/>
    <x v="595"/>
    <x v="558"/>
    <x v="75"/>
    <x v="6"/>
    <x v="38"/>
    <x v="751"/>
    <x v="0"/>
    <x v="8"/>
    <x v="0"/>
    <x v="1"/>
    <x v="0"/>
    <x v="22"/>
  </r>
  <r>
    <x v="577"/>
    <x v="4"/>
    <x v="784"/>
    <x v="9"/>
    <x v="6"/>
    <x v="3"/>
    <x v="1"/>
    <x v="329"/>
    <x v="9"/>
    <x v="0"/>
    <x v="26"/>
    <x v="183"/>
    <x v="8"/>
    <x v="111"/>
    <x v="54"/>
    <x v="240"/>
    <x v="485"/>
    <x v="6"/>
    <x v="56"/>
    <x v="750"/>
    <x v="0"/>
    <x v="8"/>
    <x v="0"/>
    <x v="1"/>
    <x v="0"/>
    <x v="22"/>
  </r>
  <r>
    <x v="28"/>
    <x v="0"/>
    <x v="85"/>
    <x v="7"/>
    <x v="7"/>
    <x v="0"/>
    <x v="0"/>
    <x v="291"/>
    <x v="9"/>
    <x v="0"/>
    <x v="221"/>
    <x v="37"/>
    <x v="8"/>
    <x v="120"/>
    <x v="123"/>
    <x v="345"/>
    <x v="278"/>
    <x v="0"/>
    <x v="6"/>
    <x v="749"/>
    <x v="0"/>
    <x v="8"/>
    <x v="0"/>
    <x v="1"/>
    <x v="0"/>
    <x v="22"/>
  </r>
  <r>
    <x v="291"/>
    <x v="1"/>
    <x v="925"/>
    <x v="6"/>
    <x v="6"/>
    <x v="3"/>
    <x v="1"/>
    <x v="15"/>
    <x v="9"/>
    <x v="0"/>
    <x v="331"/>
    <x v="30"/>
    <x v="8"/>
    <x v="56"/>
    <x v="981"/>
    <x v="870"/>
    <x v="482"/>
    <x v="1"/>
    <x v="39"/>
    <x v="748"/>
    <x v="0"/>
    <x v="8"/>
    <x v="0"/>
    <x v="1"/>
    <x v="0"/>
    <x v="22"/>
  </r>
  <r>
    <x v="609"/>
    <x v="4"/>
    <x v="780"/>
    <x v="2"/>
    <x v="2"/>
    <x v="0"/>
    <x v="1"/>
    <x v="68"/>
    <x v="9"/>
    <x v="0"/>
    <x v="362"/>
    <x v="71"/>
    <x v="8"/>
    <x v="352"/>
    <x v="112"/>
    <x v="6"/>
    <x v="462"/>
    <x v="6"/>
    <x v="56"/>
    <x v="747"/>
    <x v="1"/>
    <x v="8"/>
    <x v="0"/>
    <x v="1"/>
    <x v="0"/>
    <x v="22"/>
  </r>
  <r>
    <x v="82"/>
    <x v="0"/>
    <x v="688"/>
    <x v="3"/>
    <x v="2"/>
    <x v="0"/>
    <x v="0"/>
    <x v="3"/>
    <x v="9"/>
    <x v="0"/>
    <x v="319"/>
    <x v="30"/>
    <x v="8"/>
    <x v="379"/>
    <x v="175"/>
    <x v="300"/>
    <x v="332"/>
    <x v="5"/>
    <x v="5"/>
    <x v="746"/>
    <x v="0"/>
    <x v="8"/>
    <x v="0"/>
    <x v="1"/>
    <x v="0"/>
    <x v="22"/>
  </r>
  <r>
    <x v="11"/>
    <x v="0"/>
    <x v="290"/>
    <x v="8"/>
    <x v="6"/>
    <x v="3"/>
    <x v="1"/>
    <x v="56"/>
    <x v="9"/>
    <x v="0"/>
    <x v="256"/>
    <x v="173"/>
    <x v="8"/>
    <x v="44"/>
    <x v="628"/>
    <x v="566"/>
    <x v="245"/>
    <x v="6"/>
    <x v="38"/>
    <x v="745"/>
    <x v="0"/>
    <x v="8"/>
    <x v="0"/>
    <x v="1"/>
    <x v="0"/>
    <x v="22"/>
  </r>
  <r>
    <x v="943"/>
    <x v="14"/>
    <x v="717"/>
    <x v="9"/>
    <x v="6"/>
    <x v="3"/>
    <x v="1"/>
    <x v="219"/>
    <x v="9"/>
    <x v="0"/>
    <x v="289"/>
    <x v="3"/>
    <x v="8"/>
    <x v="275"/>
    <x v="378"/>
    <x v="823"/>
    <x v="341"/>
    <x v="6"/>
    <x v="35"/>
    <x v="744"/>
    <x v="0"/>
    <x v="8"/>
    <x v="0"/>
    <x v="1"/>
    <x v="2"/>
    <x v="22"/>
  </r>
  <r>
    <x v="111"/>
    <x v="0"/>
    <x v="620"/>
    <x v="6"/>
    <x v="5"/>
    <x v="0"/>
    <x v="1"/>
    <x v="4"/>
    <x v="9"/>
    <x v="0"/>
    <x v="168"/>
    <x v="87"/>
    <x v="8"/>
    <x v="138"/>
    <x v="296"/>
    <x v="858"/>
    <x v="199"/>
    <x v="6"/>
    <x v="42"/>
    <x v="743"/>
    <x v="0"/>
    <x v="8"/>
    <x v="0"/>
    <x v="1"/>
    <x v="0"/>
    <x v="22"/>
  </r>
  <r>
    <x v="796"/>
    <x v="8"/>
    <x v="288"/>
    <x v="6"/>
    <x v="2"/>
    <x v="0"/>
    <x v="1"/>
    <x v="150"/>
    <x v="9"/>
    <x v="0"/>
    <x v="303"/>
    <x v="62"/>
    <x v="8"/>
    <x v="395"/>
    <x v="586"/>
    <x v="538"/>
    <x v="446"/>
    <x v="6"/>
    <x v="56"/>
    <x v="742"/>
    <x v="0"/>
    <x v="8"/>
    <x v="0"/>
    <x v="1"/>
    <x v="1"/>
    <x v="22"/>
  </r>
  <r>
    <x v="558"/>
    <x v="4"/>
    <x v="71"/>
    <x v="6"/>
    <x v="3"/>
    <x v="0"/>
    <x v="1"/>
    <x v="77"/>
    <x v="9"/>
    <x v="0"/>
    <x v="234"/>
    <x v="25"/>
    <x v="8"/>
    <x v="26"/>
    <x v="173"/>
    <x v="976"/>
    <x v="287"/>
    <x v="6"/>
    <x v="56"/>
    <x v="741"/>
    <x v="0"/>
    <x v="8"/>
    <x v="0"/>
    <x v="1"/>
    <x v="0"/>
    <x v="22"/>
  </r>
  <r>
    <x v="880"/>
    <x v="11"/>
    <x v="843"/>
    <x v="9"/>
    <x v="7"/>
    <x v="3"/>
    <x v="1"/>
    <x v="267"/>
    <x v="9"/>
    <x v="0"/>
    <x v="25"/>
    <x v="143"/>
    <x v="8"/>
    <x v="141"/>
    <x v="25"/>
    <x v="222"/>
    <x v="379"/>
    <x v="5"/>
    <x v="9"/>
    <x v="740"/>
    <x v="0"/>
    <x v="8"/>
    <x v="0"/>
    <x v="1"/>
    <x v="2"/>
    <x v="21"/>
  </r>
  <r>
    <x v="345"/>
    <x v="2"/>
    <x v="715"/>
    <x v="5"/>
    <x v="4"/>
    <x v="0"/>
    <x v="0"/>
    <x v="63"/>
    <x v="9"/>
    <x v="0"/>
    <x v="284"/>
    <x v="55"/>
    <x v="8"/>
    <x v="289"/>
    <x v="336"/>
    <x v="601"/>
    <x v="239"/>
    <x v="6"/>
    <x v="20"/>
    <x v="739"/>
    <x v="0"/>
    <x v="8"/>
    <x v="0"/>
    <x v="1"/>
    <x v="0"/>
    <x v="21"/>
  </r>
  <r>
    <x v="939"/>
    <x v="14"/>
    <x v="584"/>
    <x v="9"/>
    <x v="6"/>
    <x v="3"/>
    <x v="1"/>
    <x v="213"/>
    <x v="9"/>
    <x v="0"/>
    <x v="138"/>
    <x v="25"/>
    <x v="8"/>
    <x v="235"/>
    <x v="451"/>
    <x v="805"/>
    <x v="204"/>
    <x v="6"/>
    <x v="35"/>
    <x v="738"/>
    <x v="0"/>
    <x v="8"/>
    <x v="0"/>
    <x v="1"/>
    <x v="2"/>
    <x v="21"/>
  </r>
  <r>
    <x v="598"/>
    <x v="4"/>
    <x v="281"/>
    <x v="8"/>
    <x v="5"/>
    <x v="0"/>
    <x v="1"/>
    <x v="72"/>
    <x v="9"/>
    <x v="0"/>
    <x v="177"/>
    <x v="123"/>
    <x v="8"/>
    <x v="70"/>
    <x v="287"/>
    <x v="854"/>
    <x v="199"/>
    <x v="6"/>
    <x v="56"/>
    <x v="737"/>
    <x v="0"/>
    <x v="8"/>
    <x v="0"/>
    <x v="1"/>
    <x v="0"/>
    <x v="21"/>
  </r>
  <r>
    <x v="121"/>
    <x v="0"/>
    <x v="252"/>
    <x v="0"/>
    <x v="4"/>
    <x v="0"/>
    <x v="0"/>
    <x v="0"/>
    <x v="9"/>
    <x v="0"/>
    <x v="195"/>
    <x v="62"/>
    <x v="8"/>
    <x v="29"/>
    <x v="283"/>
    <x v="856"/>
    <x v="199"/>
    <x v="6"/>
    <x v="56"/>
    <x v="736"/>
    <x v="0"/>
    <x v="8"/>
    <x v="0"/>
    <x v="1"/>
    <x v="0"/>
    <x v="21"/>
  </r>
  <r>
    <x v="929"/>
    <x v="13"/>
    <x v="251"/>
    <x v="9"/>
    <x v="7"/>
    <x v="0"/>
    <x v="1"/>
    <x v="209"/>
    <x v="9"/>
    <x v="0"/>
    <x v="187"/>
    <x v="25"/>
    <x v="8"/>
    <x v="147"/>
    <x v="288"/>
    <x v="857"/>
    <x v="199"/>
    <x v="6"/>
    <x v="42"/>
    <x v="735"/>
    <x v="0"/>
    <x v="8"/>
    <x v="0"/>
    <x v="1"/>
    <x v="2"/>
    <x v="21"/>
  </r>
  <r>
    <x v="199"/>
    <x v="1"/>
    <x v="250"/>
    <x v="5"/>
    <x v="3"/>
    <x v="0"/>
    <x v="1"/>
    <x v="260"/>
    <x v="9"/>
    <x v="0"/>
    <x v="142"/>
    <x v="218"/>
    <x v="8"/>
    <x v="13"/>
    <x v="893"/>
    <x v="97"/>
    <x v="124"/>
    <x v="6"/>
    <x v="56"/>
    <x v="734"/>
    <x v="0"/>
    <x v="8"/>
    <x v="0"/>
    <x v="1"/>
    <x v="0"/>
    <x v="21"/>
  </r>
  <r>
    <x v="31"/>
    <x v="0"/>
    <x v="189"/>
    <x v="9"/>
    <x v="7"/>
    <x v="3"/>
    <x v="0"/>
    <x v="66"/>
    <x v="9"/>
    <x v="0"/>
    <x v="73"/>
    <x v="130"/>
    <x v="8"/>
    <x v="32"/>
    <x v="591"/>
    <x v="437"/>
    <x v="385"/>
    <x v="6"/>
    <x v="20"/>
    <x v="733"/>
    <x v="0"/>
    <x v="8"/>
    <x v="0"/>
    <x v="1"/>
    <x v="0"/>
    <x v="21"/>
  </r>
  <r>
    <x v="177"/>
    <x v="1"/>
    <x v="839"/>
    <x v="8"/>
    <x v="6"/>
    <x v="0"/>
    <x v="0"/>
    <x v="33"/>
    <x v="9"/>
    <x v="0"/>
    <x v="174"/>
    <x v="78"/>
    <x v="8"/>
    <x v="56"/>
    <x v="881"/>
    <x v="397"/>
    <x v="284"/>
    <x v="1"/>
    <x v="36"/>
    <x v="732"/>
    <x v="0"/>
    <x v="8"/>
    <x v="0"/>
    <x v="1"/>
    <x v="0"/>
    <x v="21"/>
  </r>
  <r>
    <x v="545"/>
    <x v="4"/>
    <x v="808"/>
    <x v="5"/>
    <x v="3"/>
    <x v="0"/>
    <x v="1"/>
    <x v="153"/>
    <x v="9"/>
    <x v="0"/>
    <x v="183"/>
    <x v="78"/>
    <x v="8"/>
    <x v="20"/>
    <x v="646"/>
    <x v="155"/>
    <x v="368"/>
    <x v="6"/>
    <x v="56"/>
    <x v="731"/>
    <x v="0"/>
    <x v="8"/>
    <x v="0"/>
    <x v="1"/>
    <x v="0"/>
    <x v="21"/>
  </r>
  <r>
    <x v="571"/>
    <x v="4"/>
    <x v="712"/>
    <x v="9"/>
    <x v="5"/>
    <x v="0"/>
    <x v="1"/>
    <x v="264"/>
    <x v="9"/>
    <x v="0"/>
    <x v="59"/>
    <x v="5"/>
    <x v="8"/>
    <x v="16"/>
    <x v="845"/>
    <x v="671"/>
    <x v="291"/>
    <x v="1"/>
    <x v="56"/>
    <x v="730"/>
    <x v="0"/>
    <x v="8"/>
    <x v="0"/>
    <x v="1"/>
    <x v="0"/>
    <x v="21"/>
  </r>
  <r>
    <x v="118"/>
    <x v="0"/>
    <x v="470"/>
    <x v="7"/>
    <x v="6"/>
    <x v="3"/>
    <x v="1"/>
    <x v="10"/>
    <x v="9"/>
    <x v="0"/>
    <x v="19"/>
    <x v="221"/>
    <x v="8"/>
    <x v="16"/>
    <x v="28"/>
    <x v="970"/>
    <x v="21"/>
    <x v="6"/>
    <x v="31"/>
    <x v="729"/>
    <x v="0"/>
    <x v="8"/>
    <x v="0"/>
    <x v="1"/>
    <x v="0"/>
    <x v="21"/>
  </r>
  <r>
    <x v="139"/>
    <x v="0"/>
    <x v="432"/>
    <x v="6"/>
    <x v="6"/>
    <x v="3"/>
    <x v="1"/>
    <x v="6"/>
    <x v="9"/>
    <x v="0"/>
    <x v="6"/>
    <x v="224"/>
    <x v="8"/>
    <x v="20"/>
    <x v="29"/>
    <x v="971"/>
    <x v="64"/>
    <x v="6"/>
    <x v="31"/>
    <x v="728"/>
    <x v="0"/>
    <x v="8"/>
    <x v="0"/>
    <x v="1"/>
    <x v="0"/>
    <x v="21"/>
  </r>
  <r>
    <x v="927"/>
    <x v="13"/>
    <x v="431"/>
    <x v="9"/>
    <x v="8"/>
    <x v="1"/>
    <x v="1"/>
    <x v="317"/>
    <x v="9"/>
    <x v="0"/>
    <x v="40"/>
    <x v="87"/>
    <x v="8"/>
    <x v="45"/>
    <x v="27"/>
    <x v="968"/>
    <x v="21"/>
    <x v="6"/>
    <x v="31"/>
    <x v="727"/>
    <x v="0"/>
    <x v="8"/>
    <x v="0"/>
    <x v="1"/>
    <x v="2"/>
    <x v="21"/>
  </r>
  <r>
    <x v="258"/>
    <x v="1"/>
    <x v="973"/>
    <x v="9"/>
    <x v="7"/>
    <x v="2"/>
    <x v="0"/>
    <x v="354"/>
    <x v="9"/>
    <x v="0"/>
    <x v="10"/>
    <x v="115"/>
    <x v="8"/>
    <x v="9"/>
    <x v="907"/>
    <x v="334"/>
    <x v="363"/>
    <x v="2"/>
    <x v="22"/>
    <x v="726"/>
    <x v="0"/>
    <x v="8"/>
    <x v="0"/>
    <x v="1"/>
    <x v="0"/>
    <x v="21"/>
  </r>
  <r>
    <x v="194"/>
    <x v="1"/>
    <x v="644"/>
    <x v="3"/>
    <x v="2"/>
    <x v="0"/>
    <x v="0"/>
    <x v="21"/>
    <x v="9"/>
    <x v="0"/>
    <x v="202"/>
    <x v="47"/>
    <x v="8"/>
    <x v="389"/>
    <x v="435"/>
    <x v="497"/>
    <x v="338"/>
    <x v="6"/>
    <x v="20"/>
    <x v="725"/>
    <x v="0"/>
    <x v="8"/>
    <x v="0"/>
    <x v="1"/>
    <x v="0"/>
    <x v="21"/>
  </r>
  <r>
    <x v="505"/>
    <x v="3"/>
    <x v="577"/>
    <x v="3"/>
    <x v="5"/>
    <x v="0"/>
    <x v="1"/>
    <x v="54"/>
    <x v="9"/>
    <x v="0"/>
    <x v="295"/>
    <x v="11"/>
    <x v="8"/>
    <x v="154"/>
    <x v="387"/>
    <x v="749"/>
    <x v="182"/>
    <x v="6"/>
    <x v="35"/>
    <x v="724"/>
    <x v="0"/>
    <x v="8"/>
    <x v="0"/>
    <x v="1"/>
    <x v="0"/>
    <x v="21"/>
  </r>
  <r>
    <x v="603"/>
    <x v="4"/>
    <x v="801"/>
    <x v="2"/>
    <x v="2"/>
    <x v="0"/>
    <x v="1"/>
    <x v="68"/>
    <x v="9"/>
    <x v="0"/>
    <x v="313"/>
    <x v="3"/>
    <x v="8"/>
    <x v="380"/>
    <x v="167"/>
    <x v="13"/>
    <x v="125"/>
    <x v="6"/>
    <x v="14"/>
    <x v="723"/>
    <x v="1"/>
    <x v="8"/>
    <x v="0"/>
    <x v="1"/>
    <x v="0"/>
    <x v="21"/>
  </r>
  <r>
    <x v="633"/>
    <x v="5"/>
    <x v="23"/>
    <x v="5"/>
    <x v="5"/>
    <x v="0"/>
    <x v="1"/>
    <x v="175"/>
    <x v="9"/>
    <x v="0"/>
    <x v="63"/>
    <x v="87"/>
    <x v="8"/>
    <x v="65"/>
    <x v="41"/>
    <x v="987"/>
    <x v="132"/>
    <x v="6"/>
    <x v="56"/>
    <x v="722"/>
    <x v="0"/>
    <x v="8"/>
    <x v="0"/>
    <x v="1"/>
    <x v="1"/>
    <x v="21"/>
  </r>
  <r>
    <x v="514"/>
    <x v="3"/>
    <x v="984"/>
    <x v="4"/>
    <x v="2"/>
    <x v="0"/>
    <x v="1"/>
    <x v="51"/>
    <x v="9"/>
    <x v="0"/>
    <x v="78"/>
    <x v="17"/>
    <x v="8"/>
    <x v="356"/>
    <x v="476"/>
    <x v="789"/>
    <x v="382"/>
    <x v="6"/>
    <x v="35"/>
    <x v="721"/>
    <x v="0"/>
    <x v="8"/>
    <x v="0"/>
    <x v="1"/>
    <x v="0"/>
    <x v="21"/>
  </r>
  <r>
    <x v="468"/>
    <x v="3"/>
    <x v="797"/>
    <x v="6"/>
    <x v="5"/>
    <x v="3"/>
    <x v="0"/>
    <x v="216"/>
    <x v="9"/>
    <x v="0"/>
    <x v="184"/>
    <x v="55"/>
    <x v="8"/>
    <x v="224"/>
    <x v="727"/>
    <x v="425"/>
    <x v="89"/>
    <x v="1"/>
    <x v="29"/>
    <x v="720"/>
    <x v="0"/>
    <x v="8"/>
    <x v="0"/>
    <x v="1"/>
    <x v="0"/>
    <x v="21"/>
  </r>
  <r>
    <x v="784"/>
    <x v="7"/>
    <x v="387"/>
    <x v="6"/>
    <x v="4"/>
    <x v="0"/>
    <x v="1"/>
    <x v="116"/>
    <x v="9"/>
    <x v="0"/>
    <x v="339"/>
    <x v="30"/>
    <x v="8"/>
    <x v="51"/>
    <x v="125"/>
    <x v="969"/>
    <x v="466"/>
    <x v="6"/>
    <x v="56"/>
    <x v="719"/>
    <x v="1"/>
    <x v="8"/>
    <x v="0"/>
    <x v="1"/>
    <x v="1"/>
    <x v="21"/>
  </r>
  <r>
    <x v="914"/>
    <x v="12"/>
    <x v="935"/>
    <x v="5"/>
    <x v="5"/>
    <x v="0"/>
    <x v="1"/>
    <x v="212"/>
    <x v="9"/>
    <x v="0"/>
    <x v="282"/>
    <x v="30"/>
    <x v="8"/>
    <x v="318"/>
    <x v="713"/>
    <x v="730"/>
    <x v="333"/>
    <x v="6"/>
    <x v="56"/>
    <x v="718"/>
    <x v="1"/>
    <x v="8"/>
    <x v="0"/>
    <x v="1"/>
    <x v="2"/>
    <x v="21"/>
  </r>
  <r>
    <x v="290"/>
    <x v="1"/>
    <x v="18"/>
    <x v="4"/>
    <x v="5"/>
    <x v="0"/>
    <x v="0"/>
    <x v="15"/>
    <x v="9"/>
    <x v="0"/>
    <x v="228"/>
    <x v="47"/>
    <x v="8"/>
    <x v="178"/>
    <x v="508"/>
    <x v="470"/>
    <x v="445"/>
    <x v="6"/>
    <x v="20"/>
    <x v="717"/>
    <x v="0"/>
    <x v="8"/>
    <x v="0"/>
    <x v="1"/>
    <x v="0"/>
    <x v="21"/>
  </r>
  <r>
    <x v="783"/>
    <x v="7"/>
    <x v="907"/>
    <x v="1"/>
    <x v="5"/>
    <x v="0"/>
    <x v="1"/>
    <x v="115"/>
    <x v="9"/>
    <x v="0"/>
    <x v="360"/>
    <x v="109"/>
    <x v="8"/>
    <x v="220"/>
    <x v="14"/>
    <x v="317"/>
    <x v="436"/>
    <x v="6"/>
    <x v="56"/>
    <x v="716"/>
    <x v="1"/>
    <x v="8"/>
    <x v="0"/>
    <x v="1"/>
    <x v="1"/>
    <x v="21"/>
  </r>
  <r>
    <x v="530"/>
    <x v="4"/>
    <x v="906"/>
    <x v="3"/>
    <x v="2"/>
    <x v="0"/>
    <x v="1"/>
    <x v="68"/>
    <x v="9"/>
    <x v="0"/>
    <x v="357"/>
    <x v="71"/>
    <x v="8"/>
    <x v="351"/>
    <x v="133"/>
    <x v="14"/>
    <x v="502"/>
    <x v="6"/>
    <x v="56"/>
    <x v="715"/>
    <x v="1"/>
    <x v="8"/>
    <x v="0"/>
    <x v="1"/>
    <x v="0"/>
    <x v="21"/>
  </r>
  <r>
    <x v="561"/>
    <x v="4"/>
    <x v="594"/>
    <x v="8"/>
    <x v="6"/>
    <x v="0"/>
    <x v="1"/>
    <x v="104"/>
    <x v="9"/>
    <x v="0"/>
    <x v="124"/>
    <x v="55"/>
    <x v="8"/>
    <x v="121"/>
    <x v="544"/>
    <x v="188"/>
    <x v="388"/>
    <x v="5"/>
    <x v="12"/>
    <x v="714"/>
    <x v="0"/>
    <x v="8"/>
    <x v="0"/>
    <x v="1"/>
    <x v="0"/>
    <x v="21"/>
  </r>
  <r>
    <x v="376"/>
    <x v="2"/>
    <x v="593"/>
    <x v="5"/>
    <x v="6"/>
    <x v="0"/>
    <x v="1"/>
    <x v="79"/>
    <x v="9"/>
    <x v="0"/>
    <x v="136"/>
    <x v="87"/>
    <x v="8"/>
    <x v="49"/>
    <x v="543"/>
    <x v="187"/>
    <x v="283"/>
    <x v="5"/>
    <x v="12"/>
    <x v="713"/>
    <x v="0"/>
    <x v="8"/>
    <x v="0"/>
    <x v="1"/>
    <x v="0"/>
    <x v="21"/>
  </r>
  <r>
    <x v="650"/>
    <x v="5"/>
    <x v="901"/>
    <x v="7"/>
    <x v="6"/>
    <x v="0"/>
    <x v="1"/>
    <x v="85"/>
    <x v="9"/>
    <x v="0"/>
    <x v="50"/>
    <x v="30"/>
    <x v="8"/>
    <x v="94"/>
    <x v="211"/>
    <x v="926"/>
    <x v="311"/>
    <x v="6"/>
    <x v="54"/>
    <x v="712"/>
    <x v="0"/>
    <x v="8"/>
    <x v="0"/>
    <x v="1"/>
    <x v="1"/>
    <x v="21"/>
  </r>
  <r>
    <x v="926"/>
    <x v="13"/>
    <x v="515"/>
    <x v="9"/>
    <x v="8"/>
    <x v="1"/>
    <x v="1"/>
    <x v="271"/>
    <x v="9"/>
    <x v="0"/>
    <x v="146"/>
    <x v="37"/>
    <x v="8"/>
    <x v="77"/>
    <x v="542"/>
    <x v="185"/>
    <x v="283"/>
    <x v="5"/>
    <x v="12"/>
    <x v="711"/>
    <x v="0"/>
    <x v="8"/>
    <x v="0"/>
    <x v="1"/>
    <x v="2"/>
    <x v="21"/>
  </r>
  <r>
    <x v="662"/>
    <x v="5"/>
    <x v="477"/>
    <x v="9"/>
    <x v="8"/>
    <x v="2"/>
    <x v="1"/>
    <x v="346"/>
    <x v="9"/>
    <x v="0"/>
    <x v="24"/>
    <x v="159"/>
    <x v="8"/>
    <x v="20"/>
    <x v="789"/>
    <x v="624"/>
    <x v="209"/>
    <x v="1"/>
    <x v="23"/>
    <x v="710"/>
    <x v="0"/>
    <x v="8"/>
    <x v="0"/>
    <x v="1"/>
    <x v="1"/>
    <x v="21"/>
  </r>
  <r>
    <x v="587"/>
    <x v="4"/>
    <x v="413"/>
    <x v="6"/>
    <x v="5"/>
    <x v="3"/>
    <x v="0"/>
    <x v="178"/>
    <x v="9"/>
    <x v="0"/>
    <x v="267"/>
    <x v="30"/>
    <x v="8"/>
    <x v="276"/>
    <x v="736"/>
    <x v="427"/>
    <x v="264"/>
    <x v="1"/>
    <x v="29"/>
    <x v="709"/>
    <x v="0"/>
    <x v="8"/>
    <x v="0"/>
    <x v="1"/>
    <x v="0"/>
    <x v="21"/>
  </r>
  <r>
    <x v="248"/>
    <x v="1"/>
    <x v="296"/>
    <x v="6"/>
    <x v="3"/>
    <x v="0"/>
    <x v="0"/>
    <x v="73"/>
    <x v="9"/>
    <x v="0"/>
    <x v="76"/>
    <x v="55"/>
    <x v="8"/>
    <x v="330"/>
    <x v="827"/>
    <x v="391"/>
    <x v="27"/>
    <x v="1"/>
    <x v="0"/>
    <x v="708"/>
    <x v="0"/>
    <x v="8"/>
    <x v="0"/>
    <x v="1"/>
    <x v="0"/>
    <x v="21"/>
  </r>
  <r>
    <x v="319"/>
    <x v="2"/>
    <x v="199"/>
    <x v="7"/>
    <x v="4"/>
    <x v="0"/>
    <x v="1"/>
    <x v="32"/>
    <x v="9"/>
    <x v="0"/>
    <x v="371"/>
    <x v="115"/>
    <x v="8"/>
    <x v="109"/>
    <x v="244"/>
    <x v="898"/>
    <x v="433"/>
    <x v="6"/>
    <x v="54"/>
    <x v="707"/>
    <x v="0"/>
    <x v="8"/>
    <x v="0"/>
    <x v="1"/>
    <x v="0"/>
    <x v="21"/>
  </r>
  <r>
    <x v="317"/>
    <x v="2"/>
    <x v="171"/>
    <x v="7"/>
    <x v="5"/>
    <x v="0"/>
    <x v="1"/>
    <x v="31"/>
    <x v="9"/>
    <x v="0"/>
    <x v="369"/>
    <x v="71"/>
    <x v="8"/>
    <x v="94"/>
    <x v="243"/>
    <x v="899"/>
    <x v="433"/>
    <x v="6"/>
    <x v="54"/>
    <x v="706"/>
    <x v="0"/>
    <x v="8"/>
    <x v="0"/>
    <x v="1"/>
    <x v="0"/>
    <x v="21"/>
  </r>
  <r>
    <x v="592"/>
    <x v="4"/>
    <x v="84"/>
    <x v="7"/>
    <x v="5"/>
    <x v="0"/>
    <x v="1"/>
    <x v="69"/>
    <x v="9"/>
    <x v="0"/>
    <x v="118"/>
    <x v="115"/>
    <x v="8"/>
    <x v="103"/>
    <x v="241"/>
    <x v="904"/>
    <x v="359"/>
    <x v="6"/>
    <x v="54"/>
    <x v="705"/>
    <x v="0"/>
    <x v="8"/>
    <x v="0"/>
    <x v="1"/>
    <x v="0"/>
    <x v="21"/>
  </r>
  <r>
    <x v="936"/>
    <x v="13"/>
    <x v="40"/>
    <x v="4"/>
    <x v="2"/>
    <x v="0"/>
    <x v="0"/>
    <x v="203"/>
    <x v="9"/>
    <x v="0"/>
    <x v="372"/>
    <x v="78"/>
    <x v="8"/>
    <x v="94"/>
    <x v="433"/>
    <x v="424"/>
    <x v="443"/>
    <x v="6"/>
    <x v="56"/>
    <x v="704"/>
    <x v="1"/>
    <x v="8"/>
    <x v="0"/>
    <x v="1"/>
    <x v="2"/>
    <x v="21"/>
  </r>
  <r>
    <x v="773"/>
    <x v="7"/>
    <x v="953"/>
    <x v="3"/>
    <x v="6"/>
    <x v="0"/>
    <x v="1"/>
    <x v="116"/>
    <x v="9"/>
    <x v="0"/>
    <x v="97"/>
    <x v="55"/>
    <x v="8"/>
    <x v="308"/>
    <x v="959"/>
    <x v="843"/>
    <x v="272"/>
    <x v="1"/>
    <x v="39"/>
    <x v="703"/>
    <x v="0"/>
    <x v="8"/>
    <x v="0"/>
    <x v="1"/>
    <x v="1"/>
    <x v="21"/>
  </r>
  <r>
    <x v="720"/>
    <x v="6"/>
    <x v="776"/>
    <x v="7"/>
    <x v="6"/>
    <x v="0"/>
    <x v="1"/>
    <x v="313"/>
    <x v="0"/>
    <x v="0"/>
    <x v="0"/>
    <x v="0"/>
    <x v="5"/>
    <x v="267"/>
    <x v="985"/>
    <x v="84"/>
    <x v="347"/>
    <x v="3"/>
    <x v="53"/>
    <x v="702"/>
    <x v="0"/>
    <x v="5"/>
    <x v="0"/>
    <x v="1"/>
    <x v="1"/>
    <x v="21"/>
  </r>
  <r>
    <x v="212"/>
    <x v="1"/>
    <x v="685"/>
    <x v="3"/>
    <x v="3"/>
    <x v="0"/>
    <x v="1"/>
    <x v="17"/>
    <x v="9"/>
    <x v="0"/>
    <x v="225"/>
    <x v="236"/>
    <x v="8"/>
    <x v="20"/>
    <x v="718"/>
    <x v="115"/>
    <x v="216"/>
    <x v="6"/>
    <x v="56"/>
    <x v="701"/>
    <x v="0"/>
    <x v="8"/>
    <x v="0"/>
    <x v="1"/>
    <x v="0"/>
    <x v="21"/>
  </r>
  <r>
    <x v="391"/>
    <x v="2"/>
    <x v="435"/>
    <x v="5"/>
    <x v="5"/>
    <x v="0"/>
    <x v="1"/>
    <x v="55"/>
    <x v="9"/>
    <x v="0"/>
    <x v="18"/>
    <x v="95"/>
    <x v="8"/>
    <x v="168"/>
    <x v="902"/>
    <x v="703"/>
    <x v="427"/>
    <x v="1"/>
    <x v="23"/>
    <x v="700"/>
    <x v="0"/>
    <x v="8"/>
    <x v="0"/>
    <x v="1"/>
    <x v="0"/>
    <x v="21"/>
  </r>
  <r>
    <x v="51"/>
    <x v="0"/>
    <x v="323"/>
    <x v="3"/>
    <x v="5"/>
    <x v="0"/>
    <x v="1"/>
    <x v="1"/>
    <x v="9"/>
    <x v="0"/>
    <x v="274"/>
    <x v="95"/>
    <x v="8"/>
    <x v="32"/>
    <x v="585"/>
    <x v="586"/>
    <x v="416"/>
    <x v="6"/>
    <x v="20"/>
    <x v="699"/>
    <x v="0"/>
    <x v="8"/>
    <x v="0"/>
    <x v="1"/>
    <x v="0"/>
    <x v="21"/>
  </r>
  <r>
    <x v="372"/>
    <x v="2"/>
    <x v="70"/>
    <x v="8"/>
    <x v="6"/>
    <x v="1"/>
    <x v="0"/>
    <x v="314"/>
    <x v="9"/>
    <x v="0"/>
    <x v="182"/>
    <x v="47"/>
    <x v="8"/>
    <x v="185"/>
    <x v="747"/>
    <x v="423"/>
    <x v="154"/>
    <x v="1"/>
    <x v="19"/>
    <x v="698"/>
    <x v="0"/>
    <x v="8"/>
    <x v="0"/>
    <x v="1"/>
    <x v="0"/>
    <x v="21"/>
  </r>
  <r>
    <x v="245"/>
    <x v="1"/>
    <x v="583"/>
    <x v="8"/>
    <x v="5"/>
    <x v="0"/>
    <x v="1"/>
    <x v="94"/>
    <x v="9"/>
    <x v="0"/>
    <x v="33"/>
    <x v="172"/>
    <x v="8"/>
    <x v="226"/>
    <x v="686"/>
    <x v="141"/>
    <x v="255"/>
    <x v="6"/>
    <x v="26"/>
    <x v="697"/>
    <x v="0"/>
    <x v="8"/>
    <x v="0"/>
    <x v="1"/>
    <x v="0"/>
    <x v="20"/>
  </r>
  <r>
    <x v="531"/>
    <x v="4"/>
    <x v="280"/>
    <x v="8"/>
    <x v="4"/>
    <x v="0"/>
    <x v="0"/>
    <x v="73"/>
    <x v="9"/>
    <x v="0"/>
    <x v="266"/>
    <x v="30"/>
    <x v="8"/>
    <x v="79"/>
    <x v="463"/>
    <x v="614"/>
    <x v="20"/>
    <x v="6"/>
    <x v="20"/>
    <x v="696"/>
    <x v="0"/>
    <x v="8"/>
    <x v="0"/>
    <x v="1"/>
    <x v="0"/>
    <x v="20"/>
  </r>
  <r>
    <x v="743"/>
    <x v="7"/>
    <x v="220"/>
    <x v="4"/>
    <x v="6"/>
    <x v="0"/>
    <x v="0"/>
    <x v="134"/>
    <x v="9"/>
    <x v="0"/>
    <x v="112"/>
    <x v="62"/>
    <x v="8"/>
    <x v="82"/>
    <x v="865"/>
    <x v="393"/>
    <x v="284"/>
    <x v="1"/>
    <x v="45"/>
    <x v="695"/>
    <x v="0"/>
    <x v="8"/>
    <x v="0"/>
    <x v="1"/>
    <x v="1"/>
    <x v="20"/>
  </r>
  <r>
    <x v="330"/>
    <x v="2"/>
    <x v="866"/>
    <x v="2"/>
    <x v="2"/>
    <x v="0"/>
    <x v="0"/>
    <x v="31"/>
    <x v="9"/>
    <x v="0"/>
    <x v="203"/>
    <x v="71"/>
    <x v="8"/>
    <x v="386"/>
    <x v="309"/>
    <x v="262"/>
    <x v="452"/>
    <x v="5"/>
    <x v="7"/>
    <x v="694"/>
    <x v="0"/>
    <x v="8"/>
    <x v="0"/>
    <x v="1"/>
    <x v="0"/>
    <x v="20"/>
  </r>
  <r>
    <x v="874"/>
    <x v="11"/>
    <x v="807"/>
    <x v="5"/>
    <x v="3"/>
    <x v="0"/>
    <x v="0"/>
    <x v="174"/>
    <x v="9"/>
    <x v="0"/>
    <x v="259"/>
    <x v="5"/>
    <x v="8"/>
    <x v="391"/>
    <x v="297"/>
    <x v="269"/>
    <x v="155"/>
    <x v="5"/>
    <x v="37"/>
    <x v="693"/>
    <x v="0"/>
    <x v="8"/>
    <x v="0"/>
    <x v="1"/>
    <x v="2"/>
    <x v="20"/>
  </r>
  <r>
    <x v="872"/>
    <x v="11"/>
    <x v="806"/>
    <x v="6"/>
    <x v="4"/>
    <x v="0"/>
    <x v="1"/>
    <x v="207"/>
    <x v="9"/>
    <x v="0"/>
    <x v="281"/>
    <x v="5"/>
    <x v="8"/>
    <x v="387"/>
    <x v="291"/>
    <x v="271"/>
    <x v="155"/>
    <x v="5"/>
    <x v="37"/>
    <x v="692"/>
    <x v="0"/>
    <x v="8"/>
    <x v="0"/>
    <x v="1"/>
    <x v="2"/>
    <x v="20"/>
  </r>
  <r>
    <x v="451"/>
    <x v="3"/>
    <x v="614"/>
    <x v="5"/>
    <x v="5"/>
    <x v="0"/>
    <x v="1"/>
    <x v="53"/>
    <x v="9"/>
    <x v="0"/>
    <x v="160"/>
    <x v="71"/>
    <x v="8"/>
    <x v="31"/>
    <x v="312"/>
    <x v="841"/>
    <x v="73"/>
    <x v="6"/>
    <x v="42"/>
    <x v="691"/>
    <x v="0"/>
    <x v="8"/>
    <x v="0"/>
    <x v="1"/>
    <x v="0"/>
    <x v="20"/>
  </r>
  <r>
    <x v="45"/>
    <x v="0"/>
    <x v="582"/>
    <x v="7"/>
    <x v="6"/>
    <x v="1"/>
    <x v="0"/>
    <x v="234"/>
    <x v="9"/>
    <x v="0"/>
    <x v="0"/>
    <x v="0"/>
    <x v="8"/>
    <x v="22"/>
    <x v="874"/>
    <x v="336"/>
    <x v="229"/>
    <x v="2"/>
    <x v="15"/>
    <x v="690"/>
    <x v="0"/>
    <x v="8"/>
    <x v="0"/>
    <x v="1"/>
    <x v="0"/>
    <x v="20"/>
  </r>
  <r>
    <x v="340"/>
    <x v="2"/>
    <x v="430"/>
    <x v="5"/>
    <x v="3"/>
    <x v="0"/>
    <x v="0"/>
    <x v="40"/>
    <x v="9"/>
    <x v="0"/>
    <x v="147"/>
    <x v="55"/>
    <x v="8"/>
    <x v="26"/>
    <x v="784"/>
    <x v="609"/>
    <x v="251"/>
    <x v="6"/>
    <x v="56"/>
    <x v="689"/>
    <x v="0"/>
    <x v="8"/>
    <x v="0"/>
    <x v="1"/>
    <x v="0"/>
    <x v="20"/>
  </r>
  <r>
    <x v="594"/>
    <x v="4"/>
    <x v="364"/>
    <x v="5"/>
    <x v="5"/>
    <x v="0"/>
    <x v="0"/>
    <x v="79"/>
    <x v="9"/>
    <x v="0"/>
    <x v="80"/>
    <x v="192"/>
    <x v="8"/>
    <x v="20"/>
    <x v="85"/>
    <x v="241"/>
    <x v="102"/>
    <x v="6"/>
    <x v="56"/>
    <x v="688"/>
    <x v="0"/>
    <x v="8"/>
    <x v="0"/>
    <x v="1"/>
    <x v="0"/>
    <x v="20"/>
  </r>
  <r>
    <x v="590"/>
    <x v="4"/>
    <x v="363"/>
    <x v="6"/>
    <x v="5"/>
    <x v="0"/>
    <x v="1"/>
    <x v="91"/>
    <x v="9"/>
    <x v="0"/>
    <x v="74"/>
    <x v="159"/>
    <x v="8"/>
    <x v="26"/>
    <x v="86"/>
    <x v="242"/>
    <x v="102"/>
    <x v="6"/>
    <x v="56"/>
    <x v="687"/>
    <x v="0"/>
    <x v="8"/>
    <x v="0"/>
    <x v="1"/>
    <x v="0"/>
    <x v="20"/>
  </r>
  <r>
    <x v="307"/>
    <x v="1"/>
    <x v="247"/>
    <x v="7"/>
    <x v="3"/>
    <x v="0"/>
    <x v="0"/>
    <x v="19"/>
    <x v="9"/>
    <x v="0"/>
    <x v="253"/>
    <x v="153"/>
    <x v="8"/>
    <x v="20"/>
    <x v="606"/>
    <x v="426"/>
    <x v="305"/>
    <x v="6"/>
    <x v="56"/>
    <x v="686"/>
    <x v="1"/>
    <x v="8"/>
    <x v="0"/>
    <x v="1"/>
    <x v="0"/>
    <x v="20"/>
  </r>
  <r>
    <x v="481"/>
    <x v="3"/>
    <x v="216"/>
    <x v="7"/>
    <x v="6"/>
    <x v="0"/>
    <x v="1"/>
    <x v="143"/>
    <x v="9"/>
    <x v="0"/>
    <x v="15"/>
    <x v="188"/>
    <x v="8"/>
    <x v="168"/>
    <x v="67"/>
    <x v="254"/>
    <x v="326"/>
    <x v="5"/>
    <x v="9"/>
    <x v="685"/>
    <x v="0"/>
    <x v="8"/>
    <x v="0"/>
    <x v="1"/>
    <x v="0"/>
    <x v="20"/>
  </r>
  <r>
    <x v="91"/>
    <x v="0"/>
    <x v="125"/>
    <x v="5"/>
    <x v="6"/>
    <x v="0"/>
    <x v="0"/>
    <x v="7"/>
    <x v="9"/>
    <x v="0"/>
    <x v="155"/>
    <x v="87"/>
    <x v="8"/>
    <x v="72"/>
    <x v="317"/>
    <x v="555"/>
    <x v="261"/>
    <x v="6"/>
    <x v="20"/>
    <x v="684"/>
    <x v="0"/>
    <x v="8"/>
    <x v="0"/>
    <x v="1"/>
    <x v="0"/>
    <x v="20"/>
  </r>
  <r>
    <x v="864"/>
    <x v="10"/>
    <x v="862"/>
    <x v="8"/>
    <x v="6"/>
    <x v="1"/>
    <x v="0"/>
    <x v="308"/>
    <x v="9"/>
    <x v="0"/>
    <x v="53"/>
    <x v="62"/>
    <x v="8"/>
    <x v="340"/>
    <x v="833"/>
    <x v="384"/>
    <x v="146"/>
    <x v="1"/>
    <x v="0"/>
    <x v="683"/>
    <x v="1"/>
    <x v="8"/>
    <x v="0"/>
    <x v="1"/>
    <x v="2"/>
    <x v="20"/>
  </r>
  <r>
    <x v="713"/>
    <x v="6"/>
    <x v="678"/>
    <x v="6"/>
    <x v="5"/>
    <x v="0"/>
    <x v="1"/>
    <x v="104"/>
    <x v="9"/>
    <x v="0"/>
    <x v="48"/>
    <x v="11"/>
    <x v="8"/>
    <x v="275"/>
    <x v="234"/>
    <x v="922"/>
    <x v="359"/>
    <x v="6"/>
    <x v="54"/>
    <x v="682"/>
    <x v="0"/>
    <x v="8"/>
    <x v="0"/>
    <x v="1"/>
    <x v="1"/>
    <x v="20"/>
  </r>
  <r>
    <x v="232"/>
    <x v="1"/>
    <x v="800"/>
    <x v="7"/>
    <x v="6"/>
    <x v="0"/>
    <x v="0"/>
    <x v="15"/>
    <x v="9"/>
    <x v="0"/>
    <x v="232"/>
    <x v="25"/>
    <x v="8"/>
    <x v="59"/>
    <x v="530"/>
    <x v="626"/>
    <x v="434"/>
    <x v="6"/>
    <x v="20"/>
    <x v="681"/>
    <x v="0"/>
    <x v="8"/>
    <x v="0"/>
    <x v="1"/>
    <x v="0"/>
    <x v="20"/>
  </r>
  <r>
    <x v="219"/>
    <x v="1"/>
    <x v="708"/>
    <x v="5"/>
    <x v="6"/>
    <x v="0"/>
    <x v="1"/>
    <x v="129"/>
    <x v="9"/>
    <x v="0"/>
    <x v="106"/>
    <x v="30"/>
    <x v="8"/>
    <x v="136"/>
    <x v="59"/>
    <x v="260"/>
    <x v="153"/>
    <x v="5"/>
    <x v="9"/>
    <x v="680"/>
    <x v="0"/>
    <x v="8"/>
    <x v="0"/>
    <x v="1"/>
    <x v="0"/>
    <x v="20"/>
  </r>
  <r>
    <x v="397"/>
    <x v="2"/>
    <x v="574"/>
    <x v="5"/>
    <x v="6"/>
    <x v="0"/>
    <x v="0"/>
    <x v="56"/>
    <x v="9"/>
    <x v="0"/>
    <x v="84"/>
    <x v="172"/>
    <x v="8"/>
    <x v="92"/>
    <x v="62"/>
    <x v="245"/>
    <x v="153"/>
    <x v="6"/>
    <x v="9"/>
    <x v="679"/>
    <x v="0"/>
    <x v="8"/>
    <x v="0"/>
    <x v="1"/>
    <x v="0"/>
    <x v="20"/>
  </r>
  <r>
    <x v="103"/>
    <x v="0"/>
    <x v="573"/>
    <x v="6"/>
    <x v="6"/>
    <x v="0"/>
    <x v="0"/>
    <x v="7"/>
    <x v="9"/>
    <x v="0"/>
    <x v="70"/>
    <x v="229"/>
    <x v="8"/>
    <x v="107"/>
    <x v="63"/>
    <x v="248"/>
    <x v="153"/>
    <x v="6"/>
    <x v="9"/>
    <x v="678"/>
    <x v="0"/>
    <x v="8"/>
    <x v="0"/>
    <x v="1"/>
    <x v="0"/>
    <x v="20"/>
  </r>
  <r>
    <x v="642"/>
    <x v="5"/>
    <x v="540"/>
    <x v="8"/>
    <x v="6"/>
    <x v="0"/>
    <x v="0"/>
    <x v="116"/>
    <x v="9"/>
    <x v="0"/>
    <x v="89"/>
    <x v="25"/>
    <x v="8"/>
    <x v="114"/>
    <x v="61"/>
    <x v="255"/>
    <x v="153"/>
    <x v="5"/>
    <x v="9"/>
    <x v="677"/>
    <x v="0"/>
    <x v="8"/>
    <x v="0"/>
    <x v="1"/>
    <x v="1"/>
    <x v="20"/>
  </r>
  <r>
    <x v="974"/>
    <x v="20"/>
    <x v="539"/>
    <x v="9"/>
    <x v="7"/>
    <x v="1"/>
    <x v="1"/>
    <x v="341"/>
    <x v="9"/>
    <x v="0"/>
    <x v="62"/>
    <x v="71"/>
    <x v="8"/>
    <x v="85"/>
    <x v="60"/>
    <x v="249"/>
    <x v="153"/>
    <x v="6"/>
    <x v="9"/>
    <x v="676"/>
    <x v="0"/>
    <x v="8"/>
    <x v="0"/>
    <x v="1"/>
    <x v="3"/>
    <x v="20"/>
  </r>
  <r>
    <x v="417"/>
    <x v="2"/>
    <x v="427"/>
    <x v="5"/>
    <x v="4"/>
    <x v="0"/>
    <x v="1"/>
    <x v="46"/>
    <x v="9"/>
    <x v="0"/>
    <x v="129"/>
    <x v="248"/>
    <x v="8"/>
    <x v="20"/>
    <x v="748"/>
    <x v="113"/>
    <x v="474"/>
    <x v="6"/>
    <x v="56"/>
    <x v="675"/>
    <x v="0"/>
    <x v="8"/>
    <x v="0"/>
    <x v="1"/>
    <x v="0"/>
    <x v="20"/>
  </r>
  <r>
    <x v="40"/>
    <x v="0"/>
    <x v="386"/>
    <x v="0"/>
    <x v="4"/>
    <x v="0"/>
    <x v="1"/>
    <x v="0"/>
    <x v="9"/>
    <x v="0"/>
    <x v="205"/>
    <x v="47"/>
    <x v="8"/>
    <x v="5"/>
    <x v="306"/>
    <x v="838"/>
    <x v="133"/>
    <x v="6"/>
    <x v="56"/>
    <x v="674"/>
    <x v="0"/>
    <x v="8"/>
    <x v="0"/>
    <x v="1"/>
    <x v="0"/>
    <x v="20"/>
  </r>
  <r>
    <x v="206"/>
    <x v="1"/>
    <x v="311"/>
    <x v="3"/>
    <x v="4"/>
    <x v="0"/>
    <x v="1"/>
    <x v="15"/>
    <x v="9"/>
    <x v="0"/>
    <x v="190"/>
    <x v="78"/>
    <x v="8"/>
    <x v="82"/>
    <x v="305"/>
    <x v="839"/>
    <x v="252"/>
    <x v="6"/>
    <x v="56"/>
    <x v="673"/>
    <x v="0"/>
    <x v="8"/>
    <x v="0"/>
    <x v="1"/>
    <x v="0"/>
    <x v="20"/>
  </r>
  <r>
    <x v="641"/>
    <x v="5"/>
    <x v="881"/>
    <x v="9"/>
    <x v="6"/>
    <x v="0"/>
    <x v="1"/>
    <x v="92"/>
    <x v="9"/>
    <x v="0"/>
    <x v="365"/>
    <x v="17"/>
    <x v="8"/>
    <x v="174"/>
    <x v="495"/>
    <x v="657"/>
    <x v="8"/>
    <x v="6"/>
    <x v="20"/>
    <x v="672"/>
    <x v="0"/>
    <x v="8"/>
    <x v="0"/>
    <x v="1"/>
    <x v="1"/>
    <x v="20"/>
  </r>
  <r>
    <x v="604"/>
    <x v="4"/>
    <x v="880"/>
    <x v="4"/>
    <x v="6"/>
    <x v="0"/>
    <x v="1"/>
    <x v="69"/>
    <x v="9"/>
    <x v="0"/>
    <x v="37"/>
    <x v="183"/>
    <x v="8"/>
    <x v="120"/>
    <x v="946"/>
    <x v="63"/>
    <x v="128"/>
    <x v="6"/>
    <x v="56"/>
    <x v="671"/>
    <x v="1"/>
    <x v="8"/>
    <x v="0"/>
    <x v="1"/>
    <x v="0"/>
    <x v="20"/>
  </r>
  <r>
    <x v="669"/>
    <x v="5"/>
    <x v="600"/>
    <x v="8"/>
    <x v="5"/>
    <x v="0"/>
    <x v="1"/>
    <x v="89"/>
    <x v="9"/>
    <x v="0"/>
    <x v="350"/>
    <x v="95"/>
    <x v="8"/>
    <x v="22"/>
    <x v="294"/>
    <x v="880"/>
    <x v="226"/>
    <x v="6"/>
    <x v="56"/>
    <x v="670"/>
    <x v="0"/>
    <x v="8"/>
    <x v="0"/>
    <x v="1"/>
    <x v="1"/>
    <x v="20"/>
  </r>
  <r>
    <x v="23"/>
    <x v="0"/>
    <x v="527"/>
    <x v="4"/>
    <x v="3"/>
    <x v="0"/>
    <x v="1"/>
    <x v="28"/>
    <x v="9"/>
    <x v="0"/>
    <x v="127"/>
    <x v="78"/>
    <x v="8"/>
    <x v="72"/>
    <x v="669"/>
    <x v="309"/>
    <x v="53"/>
    <x v="6"/>
    <x v="56"/>
    <x v="669"/>
    <x v="0"/>
    <x v="8"/>
    <x v="0"/>
    <x v="1"/>
    <x v="0"/>
    <x v="20"/>
  </r>
  <r>
    <x v="344"/>
    <x v="2"/>
    <x v="307"/>
    <x v="4"/>
    <x v="4"/>
    <x v="0"/>
    <x v="1"/>
    <x v="31"/>
    <x v="9"/>
    <x v="0"/>
    <x v="154"/>
    <x v="11"/>
    <x v="8"/>
    <x v="26"/>
    <x v="307"/>
    <x v="840"/>
    <x v="252"/>
    <x v="6"/>
    <x v="42"/>
    <x v="668"/>
    <x v="0"/>
    <x v="8"/>
    <x v="0"/>
    <x v="1"/>
    <x v="0"/>
    <x v="20"/>
  </r>
  <r>
    <x v="144"/>
    <x v="0"/>
    <x v="764"/>
    <x v="3"/>
    <x v="3"/>
    <x v="0"/>
    <x v="0"/>
    <x v="2"/>
    <x v="9"/>
    <x v="0"/>
    <x v="217"/>
    <x v="11"/>
    <x v="8"/>
    <x v="354"/>
    <x v="757"/>
    <x v="663"/>
    <x v="67"/>
    <x v="6"/>
    <x v="56"/>
    <x v="667"/>
    <x v="1"/>
    <x v="8"/>
    <x v="0"/>
    <x v="1"/>
    <x v="0"/>
    <x v="20"/>
  </r>
  <r>
    <x v="933"/>
    <x v="13"/>
    <x v="961"/>
    <x v="6"/>
    <x v="2"/>
    <x v="0"/>
    <x v="1"/>
    <x v="266"/>
    <x v="9"/>
    <x v="0"/>
    <x v="172"/>
    <x v="17"/>
    <x v="8"/>
    <x v="399"/>
    <x v="760"/>
    <x v="667"/>
    <x v="67"/>
    <x v="6"/>
    <x v="56"/>
    <x v="666"/>
    <x v="1"/>
    <x v="8"/>
    <x v="0"/>
    <x v="1"/>
    <x v="2"/>
    <x v="20"/>
  </r>
  <r>
    <x v="437"/>
    <x v="3"/>
    <x v="929"/>
    <x v="5"/>
    <x v="5"/>
    <x v="0"/>
    <x v="1"/>
    <x v="92"/>
    <x v="0"/>
    <x v="0"/>
    <x v="0"/>
    <x v="0"/>
    <x v="5"/>
    <x v="217"/>
    <x v="979"/>
    <x v="78"/>
    <x v="480"/>
    <x v="6"/>
    <x v="56"/>
    <x v="665"/>
    <x v="0"/>
    <x v="5"/>
    <x v="0"/>
    <x v="1"/>
    <x v="0"/>
    <x v="20"/>
  </r>
  <r>
    <x v="455"/>
    <x v="3"/>
    <x v="728"/>
    <x v="1"/>
    <x v="4"/>
    <x v="0"/>
    <x v="1"/>
    <x v="49"/>
    <x v="9"/>
    <x v="0"/>
    <x v="288"/>
    <x v="62"/>
    <x v="8"/>
    <x v="20"/>
    <x v="271"/>
    <x v="872"/>
    <x v="199"/>
    <x v="6"/>
    <x v="56"/>
    <x v="664"/>
    <x v="0"/>
    <x v="8"/>
    <x v="0"/>
    <x v="1"/>
    <x v="0"/>
    <x v="20"/>
  </r>
  <r>
    <x v="554"/>
    <x v="4"/>
    <x v="727"/>
    <x v="1"/>
    <x v="3"/>
    <x v="0"/>
    <x v="1"/>
    <x v="67"/>
    <x v="9"/>
    <x v="0"/>
    <x v="311"/>
    <x v="95"/>
    <x v="8"/>
    <x v="24"/>
    <x v="272"/>
    <x v="873"/>
    <x v="199"/>
    <x v="6"/>
    <x v="56"/>
    <x v="663"/>
    <x v="0"/>
    <x v="8"/>
    <x v="0"/>
    <x v="1"/>
    <x v="0"/>
    <x v="20"/>
  </r>
  <r>
    <x v="457"/>
    <x v="3"/>
    <x v="664"/>
    <x v="1"/>
    <x v="3"/>
    <x v="0"/>
    <x v="1"/>
    <x v="49"/>
    <x v="9"/>
    <x v="0"/>
    <x v="322"/>
    <x v="37"/>
    <x v="8"/>
    <x v="22"/>
    <x v="281"/>
    <x v="875"/>
    <x v="226"/>
    <x v="6"/>
    <x v="56"/>
    <x v="662"/>
    <x v="0"/>
    <x v="8"/>
    <x v="0"/>
    <x v="1"/>
    <x v="0"/>
    <x v="20"/>
  </r>
  <r>
    <x v="474"/>
    <x v="3"/>
    <x v="380"/>
    <x v="8"/>
    <x v="5"/>
    <x v="0"/>
    <x v="1"/>
    <x v="136"/>
    <x v="9"/>
    <x v="0"/>
    <x v="144"/>
    <x v="1"/>
    <x v="8"/>
    <x v="136"/>
    <x v="877"/>
    <x v="685"/>
    <x v="2"/>
    <x v="1"/>
    <x v="23"/>
    <x v="661"/>
    <x v="0"/>
    <x v="8"/>
    <x v="0"/>
    <x v="1"/>
    <x v="0"/>
    <x v="20"/>
  </r>
  <r>
    <x v="816"/>
    <x v="8"/>
    <x v="379"/>
    <x v="8"/>
    <x v="6"/>
    <x v="1"/>
    <x v="0"/>
    <x v="322"/>
    <x v="9"/>
    <x v="0"/>
    <x v="60"/>
    <x v="11"/>
    <x v="8"/>
    <x v="44"/>
    <x v="759"/>
    <x v="406"/>
    <x v="301"/>
    <x v="1"/>
    <x v="30"/>
    <x v="660"/>
    <x v="1"/>
    <x v="8"/>
    <x v="0"/>
    <x v="1"/>
    <x v="1"/>
    <x v="20"/>
  </r>
  <r>
    <x v="694"/>
    <x v="6"/>
    <x v="201"/>
    <x v="1"/>
    <x v="5"/>
    <x v="0"/>
    <x v="1"/>
    <x v="101"/>
    <x v="9"/>
    <x v="0"/>
    <x v="305"/>
    <x v="11"/>
    <x v="8"/>
    <x v="20"/>
    <x v="344"/>
    <x v="815"/>
    <x v="341"/>
    <x v="6"/>
    <x v="56"/>
    <x v="659"/>
    <x v="0"/>
    <x v="8"/>
    <x v="0"/>
    <x v="1"/>
    <x v="1"/>
    <x v="20"/>
  </r>
  <r>
    <x v="845"/>
    <x v="10"/>
    <x v="142"/>
    <x v="7"/>
    <x v="7"/>
    <x v="0"/>
    <x v="1"/>
    <x v="159"/>
    <x v="9"/>
    <x v="0"/>
    <x v="134"/>
    <x v="95"/>
    <x v="8"/>
    <x v="185"/>
    <x v="414"/>
    <x v="779"/>
    <x v="204"/>
    <x v="6"/>
    <x v="35"/>
    <x v="658"/>
    <x v="0"/>
    <x v="8"/>
    <x v="0"/>
    <x v="1"/>
    <x v="2"/>
    <x v="20"/>
  </r>
  <r>
    <x v="434"/>
    <x v="3"/>
    <x v="16"/>
    <x v="5"/>
    <x v="5"/>
    <x v="0"/>
    <x v="1"/>
    <x v="52"/>
    <x v="9"/>
    <x v="0"/>
    <x v="108"/>
    <x v="103"/>
    <x v="8"/>
    <x v="163"/>
    <x v="423"/>
    <x v="776"/>
    <x v="204"/>
    <x v="6"/>
    <x v="35"/>
    <x v="657"/>
    <x v="0"/>
    <x v="8"/>
    <x v="0"/>
    <x v="1"/>
    <x v="0"/>
    <x v="20"/>
  </r>
  <r>
    <x v="332"/>
    <x v="2"/>
    <x v="959"/>
    <x v="5"/>
    <x v="5"/>
    <x v="0"/>
    <x v="1"/>
    <x v="32"/>
    <x v="9"/>
    <x v="0"/>
    <x v="128"/>
    <x v="17"/>
    <x v="8"/>
    <x v="124"/>
    <x v="418"/>
    <x v="775"/>
    <x v="204"/>
    <x v="6"/>
    <x v="35"/>
    <x v="656"/>
    <x v="0"/>
    <x v="8"/>
    <x v="0"/>
    <x v="1"/>
    <x v="0"/>
    <x v="20"/>
  </r>
  <r>
    <x v="363"/>
    <x v="2"/>
    <x v="850"/>
    <x v="7"/>
    <x v="6"/>
    <x v="3"/>
    <x v="0"/>
    <x v="232"/>
    <x v="9"/>
    <x v="0"/>
    <x v="66"/>
    <x v="25"/>
    <x v="8"/>
    <x v="91"/>
    <x v="758"/>
    <x v="405"/>
    <x v="202"/>
    <x v="1"/>
    <x v="30"/>
    <x v="655"/>
    <x v="0"/>
    <x v="8"/>
    <x v="0"/>
    <x v="1"/>
    <x v="0"/>
    <x v="20"/>
  </r>
  <r>
    <x v="278"/>
    <x v="1"/>
    <x v="820"/>
    <x v="8"/>
    <x v="6"/>
    <x v="3"/>
    <x v="0"/>
    <x v="68"/>
    <x v="9"/>
    <x v="0"/>
    <x v="179"/>
    <x v="47"/>
    <x v="8"/>
    <x v="20"/>
    <x v="765"/>
    <x v="404"/>
    <x v="59"/>
    <x v="1"/>
    <x v="30"/>
    <x v="654"/>
    <x v="0"/>
    <x v="8"/>
    <x v="0"/>
    <x v="1"/>
    <x v="0"/>
    <x v="20"/>
  </r>
  <r>
    <x v="928"/>
    <x v="13"/>
    <x v="819"/>
    <x v="8"/>
    <x v="8"/>
    <x v="2"/>
    <x v="0"/>
    <x v="353"/>
    <x v="9"/>
    <x v="0"/>
    <x v="188"/>
    <x v="17"/>
    <x v="8"/>
    <x v="11"/>
    <x v="766"/>
    <x v="403"/>
    <x v="59"/>
    <x v="1"/>
    <x v="30"/>
    <x v="653"/>
    <x v="0"/>
    <x v="8"/>
    <x v="0"/>
    <x v="1"/>
    <x v="2"/>
    <x v="20"/>
  </r>
  <r>
    <x v="44"/>
    <x v="0"/>
    <x v="560"/>
    <x v="0"/>
    <x v="4"/>
    <x v="0"/>
    <x v="1"/>
    <x v="0"/>
    <x v="9"/>
    <x v="0"/>
    <x v="293"/>
    <x v="189"/>
    <x v="8"/>
    <x v="20"/>
    <x v="213"/>
    <x v="8"/>
    <x v="19"/>
    <x v="6"/>
    <x v="56"/>
    <x v="652"/>
    <x v="0"/>
    <x v="8"/>
    <x v="0"/>
    <x v="1"/>
    <x v="0"/>
    <x v="20"/>
  </r>
  <r>
    <x v="142"/>
    <x v="0"/>
    <x v="955"/>
    <x v="2"/>
    <x v="4"/>
    <x v="0"/>
    <x v="1"/>
    <x v="0"/>
    <x v="9"/>
    <x v="0"/>
    <x v="332"/>
    <x v="173"/>
    <x v="8"/>
    <x v="22"/>
    <x v="220"/>
    <x v="58"/>
    <x v="145"/>
    <x v="6"/>
    <x v="56"/>
    <x v="651"/>
    <x v="0"/>
    <x v="8"/>
    <x v="0"/>
    <x v="1"/>
    <x v="0"/>
    <x v="20"/>
  </r>
  <r>
    <x v="859"/>
    <x v="10"/>
    <x v="924"/>
    <x v="6"/>
    <x v="6"/>
    <x v="0"/>
    <x v="1"/>
    <x v="162"/>
    <x v="9"/>
    <x v="0"/>
    <x v="58"/>
    <x v="71"/>
    <x v="8"/>
    <x v="152"/>
    <x v="442"/>
    <x v="785"/>
    <x v="204"/>
    <x v="6"/>
    <x v="35"/>
    <x v="650"/>
    <x v="0"/>
    <x v="8"/>
    <x v="0"/>
    <x v="1"/>
    <x v="2"/>
    <x v="20"/>
  </r>
  <r>
    <x v="629"/>
    <x v="5"/>
    <x v="876"/>
    <x v="4"/>
    <x v="5"/>
    <x v="0"/>
    <x v="0"/>
    <x v="90"/>
    <x v="9"/>
    <x v="0"/>
    <x v="137"/>
    <x v="17"/>
    <x v="8"/>
    <x v="364"/>
    <x v="342"/>
    <x v="534"/>
    <x v="262"/>
    <x v="6"/>
    <x v="20"/>
    <x v="649"/>
    <x v="0"/>
    <x v="8"/>
    <x v="0"/>
    <x v="1"/>
    <x v="1"/>
    <x v="20"/>
  </r>
  <r>
    <x v="411"/>
    <x v="2"/>
    <x v="505"/>
    <x v="5"/>
    <x v="4"/>
    <x v="0"/>
    <x v="1"/>
    <x v="52"/>
    <x v="9"/>
    <x v="0"/>
    <x v="194"/>
    <x v="78"/>
    <x v="8"/>
    <x v="92"/>
    <x v="886"/>
    <x v="706"/>
    <x v="274"/>
    <x v="6"/>
    <x v="56"/>
    <x v="648"/>
    <x v="0"/>
    <x v="8"/>
    <x v="0"/>
    <x v="1"/>
    <x v="0"/>
    <x v="20"/>
  </r>
  <r>
    <x v="318"/>
    <x v="2"/>
    <x v="330"/>
    <x v="4"/>
    <x v="5"/>
    <x v="0"/>
    <x v="1"/>
    <x v="38"/>
    <x v="9"/>
    <x v="0"/>
    <x v="207"/>
    <x v="47"/>
    <x v="8"/>
    <x v="333"/>
    <x v="114"/>
    <x v="296"/>
    <x v="118"/>
    <x v="5"/>
    <x v="3"/>
    <x v="647"/>
    <x v="0"/>
    <x v="8"/>
    <x v="0"/>
    <x v="1"/>
    <x v="0"/>
    <x v="20"/>
  </r>
  <r>
    <x v="509"/>
    <x v="3"/>
    <x v="749"/>
    <x v="1"/>
    <x v="3"/>
    <x v="0"/>
    <x v="1"/>
    <x v="49"/>
    <x v="9"/>
    <x v="0"/>
    <x v="201"/>
    <x v="25"/>
    <x v="8"/>
    <x v="331"/>
    <x v="200"/>
    <x v="943"/>
    <x v="360"/>
    <x v="6"/>
    <x v="54"/>
    <x v="646"/>
    <x v="0"/>
    <x v="8"/>
    <x v="0"/>
    <x v="1"/>
    <x v="0"/>
    <x v="20"/>
  </r>
  <r>
    <x v="53"/>
    <x v="0"/>
    <x v="190"/>
    <x v="1"/>
    <x v="3"/>
    <x v="0"/>
    <x v="1"/>
    <x v="0"/>
    <x v="9"/>
    <x v="0"/>
    <x v="321"/>
    <x v="227"/>
    <x v="8"/>
    <x v="9"/>
    <x v="598"/>
    <x v="180"/>
    <x v="376"/>
    <x v="6"/>
    <x v="56"/>
    <x v="645"/>
    <x v="0"/>
    <x v="8"/>
    <x v="0"/>
    <x v="1"/>
    <x v="0"/>
    <x v="20"/>
  </r>
  <r>
    <x v="216"/>
    <x v="1"/>
    <x v="249"/>
    <x v="7"/>
    <x v="5"/>
    <x v="0"/>
    <x v="1"/>
    <x v="47"/>
    <x v="9"/>
    <x v="0"/>
    <x v="231"/>
    <x v="192"/>
    <x v="8"/>
    <x v="72"/>
    <x v="618"/>
    <x v="179"/>
    <x v="376"/>
    <x v="6"/>
    <x v="34"/>
    <x v="644"/>
    <x v="0"/>
    <x v="8"/>
    <x v="0"/>
    <x v="1"/>
    <x v="0"/>
    <x v="19"/>
  </r>
  <r>
    <x v="176"/>
    <x v="1"/>
    <x v="219"/>
    <x v="1"/>
    <x v="4"/>
    <x v="0"/>
    <x v="1"/>
    <x v="14"/>
    <x v="9"/>
    <x v="0"/>
    <x v="278"/>
    <x v="17"/>
    <x v="8"/>
    <x v="92"/>
    <x v="370"/>
    <x v="813"/>
    <x v="341"/>
    <x v="6"/>
    <x v="56"/>
    <x v="643"/>
    <x v="0"/>
    <x v="8"/>
    <x v="0"/>
    <x v="1"/>
    <x v="0"/>
    <x v="19"/>
  </r>
  <r>
    <x v="169"/>
    <x v="1"/>
    <x v="63"/>
    <x v="1"/>
    <x v="2"/>
    <x v="0"/>
    <x v="0"/>
    <x v="14"/>
    <x v="9"/>
    <x v="0"/>
    <x v="242"/>
    <x v="3"/>
    <x v="8"/>
    <x v="389"/>
    <x v="600"/>
    <x v="543"/>
    <x v="410"/>
    <x v="6"/>
    <x v="38"/>
    <x v="642"/>
    <x v="0"/>
    <x v="8"/>
    <x v="0"/>
    <x v="1"/>
    <x v="0"/>
    <x v="19"/>
  </r>
  <r>
    <x v="453"/>
    <x v="3"/>
    <x v="865"/>
    <x v="6"/>
    <x v="4"/>
    <x v="0"/>
    <x v="1"/>
    <x v="51"/>
    <x v="9"/>
    <x v="0"/>
    <x v="143"/>
    <x v="71"/>
    <x v="8"/>
    <x v="144"/>
    <x v="563"/>
    <x v="579"/>
    <x v="459"/>
    <x v="6"/>
    <x v="20"/>
    <x v="641"/>
    <x v="0"/>
    <x v="8"/>
    <x v="0"/>
    <x v="1"/>
    <x v="0"/>
    <x v="19"/>
  </r>
  <r>
    <x v="21"/>
    <x v="0"/>
    <x v="711"/>
    <x v="5"/>
    <x v="4"/>
    <x v="0"/>
    <x v="1"/>
    <x v="2"/>
    <x v="9"/>
    <x v="0"/>
    <x v="156"/>
    <x v="3"/>
    <x v="8"/>
    <x v="136"/>
    <x v="569"/>
    <x v="591"/>
    <x v="470"/>
    <x v="6"/>
    <x v="20"/>
    <x v="640"/>
    <x v="0"/>
    <x v="8"/>
    <x v="0"/>
    <x v="1"/>
    <x v="0"/>
    <x v="19"/>
  </r>
  <r>
    <x v="353"/>
    <x v="2"/>
    <x v="552"/>
    <x v="7"/>
    <x v="3"/>
    <x v="0"/>
    <x v="1"/>
    <x v="37"/>
    <x v="9"/>
    <x v="0"/>
    <x v="110"/>
    <x v="115"/>
    <x v="8"/>
    <x v="82"/>
    <x v="39"/>
    <x v="991"/>
    <x v="132"/>
    <x v="6"/>
    <x v="56"/>
    <x v="639"/>
    <x v="0"/>
    <x v="8"/>
    <x v="0"/>
    <x v="1"/>
    <x v="0"/>
    <x v="19"/>
  </r>
  <r>
    <x v="695"/>
    <x v="6"/>
    <x v="500"/>
    <x v="4"/>
    <x v="5"/>
    <x v="0"/>
    <x v="1"/>
    <x v="103"/>
    <x v="9"/>
    <x v="0"/>
    <x v="140"/>
    <x v="62"/>
    <x v="8"/>
    <x v="165"/>
    <x v="561"/>
    <x v="578"/>
    <x v="459"/>
    <x v="6"/>
    <x v="20"/>
    <x v="638"/>
    <x v="0"/>
    <x v="8"/>
    <x v="0"/>
    <x v="1"/>
    <x v="1"/>
    <x v="19"/>
  </r>
  <r>
    <x v="284"/>
    <x v="1"/>
    <x v="215"/>
    <x v="2"/>
    <x v="5"/>
    <x v="0"/>
    <x v="1"/>
    <x v="15"/>
    <x v="9"/>
    <x v="0"/>
    <x v="286"/>
    <x v="25"/>
    <x v="8"/>
    <x v="183"/>
    <x v="389"/>
    <x v="746"/>
    <x v="126"/>
    <x v="6"/>
    <x v="35"/>
    <x v="637"/>
    <x v="0"/>
    <x v="8"/>
    <x v="0"/>
    <x v="1"/>
    <x v="0"/>
    <x v="19"/>
  </r>
  <r>
    <x v="735"/>
    <x v="6"/>
    <x v="31"/>
    <x v="3"/>
    <x v="5"/>
    <x v="0"/>
    <x v="1"/>
    <x v="101"/>
    <x v="9"/>
    <x v="0"/>
    <x v="323"/>
    <x v="25"/>
    <x v="8"/>
    <x v="353"/>
    <x v="169"/>
    <x v="24"/>
    <x v="125"/>
    <x v="6"/>
    <x v="56"/>
    <x v="636"/>
    <x v="1"/>
    <x v="8"/>
    <x v="0"/>
    <x v="1"/>
    <x v="1"/>
    <x v="19"/>
  </r>
  <r>
    <x v="811"/>
    <x v="8"/>
    <x v="467"/>
    <x v="8"/>
    <x v="5"/>
    <x v="3"/>
    <x v="1"/>
    <x v="217"/>
    <x v="9"/>
    <x v="0"/>
    <x v="109"/>
    <x v="62"/>
    <x v="8"/>
    <x v="147"/>
    <x v="651"/>
    <x v="161"/>
    <x v="159"/>
    <x v="6"/>
    <x v="56"/>
    <x v="635"/>
    <x v="0"/>
    <x v="8"/>
    <x v="0"/>
    <x v="1"/>
    <x v="1"/>
    <x v="19"/>
  </r>
  <r>
    <x v="384"/>
    <x v="2"/>
    <x v="572"/>
    <x v="5"/>
    <x v="4"/>
    <x v="0"/>
    <x v="1"/>
    <x v="62"/>
    <x v="9"/>
    <x v="0"/>
    <x v="39"/>
    <x v="11"/>
    <x v="8"/>
    <x v="271"/>
    <x v="667"/>
    <x v="718"/>
    <x v="351"/>
    <x v="6"/>
    <x v="56"/>
    <x v="634"/>
    <x v="0"/>
    <x v="8"/>
    <x v="0"/>
    <x v="1"/>
    <x v="0"/>
    <x v="19"/>
  </r>
  <r>
    <x v="479"/>
    <x v="3"/>
    <x v="796"/>
    <x v="6"/>
    <x v="5"/>
    <x v="0"/>
    <x v="1"/>
    <x v="76"/>
    <x v="9"/>
    <x v="0"/>
    <x v="314"/>
    <x v="62"/>
    <x v="8"/>
    <x v="238"/>
    <x v="237"/>
    <x v="224"/>
    <x v="24"/>
    <x v="5"/>
    <x v="37"/>
    <x v="633"/>
    <x v="0"/>
    <x v="8"/>
    <x v="0"/>
    <x v="1"/>
    <x v="0"/>
    <x v="19"/>
  </r>
  <r>
    <x v="602"/>
    <x v="4"/>
    <x v="93"/>
    <x v="0"/>
    <x v="3"/>
    <x v="0"/>
    <x v="1"/>
    <x v="67"/>
    <x v="9"/>
    <x v="0"/>
    <x v="366"/>
    <x v="17"/>
    <x v="8"/>
    <x v="32"/>
    <x v="549"/>
    <x v="732"/>
    <x v="270"/>
    <x v="6"/>
    <x v="56"/>
    <x v="632"/>
    <x v="1"/>
    <x v="8"/>
    <x v="0"/>
    <x v="1"/>
    <x v="0"/>
    <x v="19"/>
  </r>
  <r>
    <x v="603"/>
    <x v="4"/>
    <x v="701"/>
    <x v="0"/>
    <x v="5"/>
    <x v="0"/>
    <x v="1"/>
    <x v="67"/>
    <x v="9"/>
    <x v="0"/>
    <x v="308"/>
    <x v="37"/>
    <x v="8"/>
    <x v="390"/>
    <x v="166"/>
    <x v="10"/>
    <x v="125"/>
    <x v="6"/>
    <x v="14"/>
    <x v="631"/>
    <x v="1"/>
    <x v="8"/>
    <x v="0"/>
    <x v="1"/>
    <x v="0"/>
    <x v="19"/>
  </r>
  <r>
    <x v="29"/>
    <x v="0"/>
    <x v="352"/>
    <x v="5"/>
    <x v="3"/>
    <x v="0"/>
    <x v="1"/>
    <x v="44"/>
    <x v="9"/>
    <x v="0"/>
    <x v="227"/>
    <x v="3"/>
    <x v="8"/>
    <x v="72"/>
    <x v="838"/>
    <x v="694"/>
    <x v="291"/>
    <x v="6"/>
    <x v="56"/>
    <x v="630"/>
    <x v="0"/>
    <x v="8"/>
    <x v="0"/>
    <x v="1"/>
    <x v="0"/>
    <x v="19"/>
  </r>
  <r>
    <x v="576"/>
    <x v="4"/>
    <x v="207"/>
    <x v="8"/>
    <x v="6"/>
    <x v="1"/>
    <x v="1"/>
    <x v="251"/>
    <x v="9"/>
    <x v="0"/>
    <x v="16"/>
    <x v="212"/>
    <x v="8"/>
    <x v="182"/>
    <x v="680"/>
    <x v="143"/>
    <x v="369"/>
    <x v="6"/>
    <x v="26"/>
    <x v="629"/>
    <x v="0"/>
    <x v="8"/>
    <x v="0"/>
    <x v="1"/>
    <x v="0"/>
    <x v="19"/>
  </r>
  <r>
    <x v="48"/>
    <x v="0"/>
    <x v="116"/>
    <x v="0"/>
    <x v="3"/>
    <x v="0"/>
    <x v="1"/>
    <x v="0"/>
    <x v="9"/>
    <x v="0"/>
    <x v="208"/>
    <x v="37"/>
    <x v="8"/>
    <x v="72"/>
    <x v="380"/>
    <x v="790"/>
    <x v="204"/>
    <x v="6"/>
    <x v="56"/>
    <x v="628"/>
    <x v="0"/>
    <x v="8"/>
    <x v="0"/>
    <x v="1"/>
    <x v="0"/>
    <x v="19"/>
  </r>
  <r>
    <x v="361"/>
    <x v="2"/>
    <x v="933"/>
    <x v="0"/>
    <x v="4"/>
    <x v="0"/>
    <x v="1"/>
    <x v="31"/>
    <x v="9"/>
    <x v="0"/>
    <x v="370"/>
    <x v="195"/>
    <x v="8"/>
    <x v="59"/>
    <x v="229"/>
    <x v="46"/>
    <x v="257"/>
    <x v="6"/>
    <x v="56"/>
    <x v="627"/>
    <x v="0"/>
    <x v="8"/>
    <x v="0"/>
    <x v="1"/>
    <x v="0"/>
    <x v="19"/>
  </r>
  <r>
    <x v="610"/>
    <x v="4"/>
    <x v="932"/>
    <x v="0"/>
    <x v="4"/>
    <x v="0"/>
    <x v="1"/>
    <x v="67"/>
    <x v="9"/>
    <x v="0"/>
    <x v="340"/>
    <x v="115"/>
    <x v="8"/>
    <x v="9"/>
    <x v="15"/>
    <x v="316"/>
    <x v="436"/>
    <x v="6"/>
    <x v="56"/>
    <x v="626"/>
    <x v="1"/>
    <x v="8"/>
    <x v="0"/>
    <x v="1"/>
    <x v="0"/>
    <x v="19"/>
  </r>
  <r>
    <x v="950"/>
    <x v="14"/>
    <x v="763"/>
    <x v="6"/>
    <x v="7"/>
    <x v="0"/>
    <x v="1"/>
    <x v="210"/>
    <x v="9"/>
    <x v="0"/>
    <x v="5"/>
    <x v="95"/>
    <x v="8"/>
    <x v="247"/>
    <x v="943"/>
    <x v="986"/>
    <x v="383"/>
    <x v="3"/>
    <x v="53"/>
    <x v="625"/>
    <x v="1"/>
    <x v="8"/>
    <x v="0"/>
    <x v="1"/>
    <x v="2"/>
    <x v="19"/>
  </r>
  <r>
    <x v="422"/>
    <x v="2"/>
    <x v="762"/>
    <x v="0"/>
    <x v="4"/>
    <x v="0"/>
    <x v="0"/>
    <x v="31"/>
    <x v="9"/>
    <x v="0"/>
    <x v="69"/>
    <x v="192"/>
    <x v="7"/>
    <x v="105"/>
    <x v="79"/>
    <x v="29"/>
    <x v="193"/>
    <x v="6"/>
    <x v="56"/>
    <x v="624"/>
    <x v="1"/>
    <x v="7"/>
    <x v="0"/>
    <x v="1"/>
    <x v="0"/>
    <x v="19"/>
  </r>
  <r>
    <x v="152"/>
    <x v="0"/>
    <x v="761"/>
    <x v="0"/>
    <x v="4"/>
    <x v="0"/>
    <x v="0"/>
    <x v="0"/>
    <x v="9"/>
    <x v="0"/>
    <x v="73"/>
    <x v="147"/>
    <x v="7"/>
    <x v="20"/>
    <x v="80"/>
    <x v="30"/>
    <x v="193"/>
    <x v="6"/>
    <x v="56"/>
    <x v="623"/>
    <x v="1"/>
    <x v="7"/>
    <x v="0"/>
    <x v="1"/>
    <x v="0"/>
    <x v="19"/>
  </r>
  <r>
    <x v="606"/>
    <x v="4"/>
    <x v="760"/>
    <x v="0"/>
    <x v="4"/>
    <x v="0"/>
    <x v="1"/>
    <x v="67"/>
    <x v="9"/>
    <x v="0"/>
    <x v="71"/>
    <x v="172"/>
    <x v="8"/>
    <x v="72"/>
    <x v="78"/>
    <x v="26"/>
    <x v="193"/>
    <x v="6"/>
    <x v="56"/>
    <x v="622"/>
    <x v="1"/>
    <x v="8"/>
    <x v="0"/>
    <x v="1"/>
    <x v="0"/>
    <x v="19"/>
  </r>
  <r>
    <x v="556"/>
    <x v="4"/>
    <x v="790"/>
    <x v="9"/>
    <x v="6"/>
    <x v="0"/>
    <x v="0"/>
    <x v="204"/>
    <x v="9"/>
    <x v="0"/>
    <x v="31"/>
    <x v="115"/>
    <x v="8"/>
    <x v="5"/>
    <x v="892"/>
    <x v="346"/>
    <x v="181"/>
    <x v="2"/>
    <x v="15"/>
    <x v="621"/>
    <x v="0"/>
    <x v="8"/>
    <x v="0"/>
    <x v="1"/>
    <x v="0"/>
    <x v="19"/>
  </r>
  <r>
    <x v="12"/>
    <x v="0"/>
    <x v="417"/>
    <x v="7"/>
    <x v="4"/>
    <x v="0"/>
    <x v="1"/>
    <x v="34"/>
    <x v="9"/>
    <x v="0"/>
    <x v="272"/>
    <x v="162"/>
    <x v="8"/>
    <x v="20"/>
    <x v="611"/>
    <x v="182"/>
    <x v="376"/>
    <x v="6"/>
    <x v="56"/>
    <x v="620"/>
    <x v="0"/>
    <x v="8"/>
    <x v="0"/>
    <x v="1"/>
    <x v="0"/>
    <x v="19"/>
  </r>
  <r>
    <x v="223"/>
    <x v="1"/>
    <x v="15"/>
    <x v="0"/>
    <x v="4"/>
    <x v="0"/>
    <x v="1"/>
    <x v="14"/>
    <x v="9"/>
    <x v="0"/>
    <x v="283"/>
    <x v="5"/>
    <x v="8"/>
    <x v="244"/>
    <x v="143"/>
    <x v="962"/>
    <x v="161"/>
    <x v="6"/>
    <x v="56"/>
    <x v="619"/>
    <x v="0"/>
    <x v="8"/>
    <x v="0"/>
    <x v="1"/>
    <x v="0"/>
    <x v="19"/>
  </r>
  <r>
    <x v="6"/>
    <x v="0"/>
    <x v="783"/>
    <x v="4"/>
    <x v="5"/>
    <x v="0"/>
    <x v="1"/>
    <x v="141"/>
    <x v="9"/>
    <x v="0"/>
    <x v="0"/>
    <x v="0"/>
    <x v="8"/>
    <x v="20"/>
    <x v="927"/>
    <x v="96"/>
    <x v="490"/>
    <x v="6"/>
    <x v="56"/>
    <x v="618"/>
    <x v="0"/>
    <x v="8"/>
    <x v="0"/>
    <x v="1"/>
    <x v="0"/>
    <x v="19"/>
  </r>
  <r>
    <x v="861"/>
    <x v="10"/>
    <x v="628"/>
    <x v="0"/>
    <x v="5"/>
    <x v="0"/>
    <x v="1"/>
    <x v="157"/>
    <x v="9"/>
    <x v="0"/>
    <x v="304"/>
    <x v="47"/>
    <x v="8"/>
    <x v="160"/>
    <x v="360"/>
    <x v="820"/>
    <x v="341"/>
    <x v="6"/>
    <x v="56"/>
    <x v="617"/>
    <x v="0"/>
    <x v="8"/>
    <x v="0"/>
    <x v="1"/>
    <x v="2"/>
    <x v="19"/>
  </r>
  <r>
    <x v="269"/>
    <x v="1"/>
    <x v="627"/>
    <x v="0"/>
    <x v="5"/>
    <x v="0"/>
    <x v="1"/>
    <x v="14"/>
    <x v="9"/>
    <x v="0"/>
    <x v="302"/>
    <x v="11"/>
    <x v="8"/>
    <x v="120"/>
    <x v="362"/>
    <x v="822"/>
    <x v="341"/>
    <x v="6"/>
    <x v="35"/>
    <x v="616"/>
    <x v="0"/>
    <x v="8"/>
    <x v="0"/>
    <x v="1"/>
    <x v="0"/>
    <x v="19"/>
  </r>
  <r>
    <x v="774"/>
    <x v="7"/>
    <x v="591"/>
    <x v="8"/>
    <x v="6"/>
    <x v="3"/>
    <x v="1"/>
    <x v="233"/>
    <x v="9"/>
    <x v="0"/>
    <x v="213"/>
    <x v="197"/>
    <x v="8"/>
    <x v="94"/>
    <x v="700"/>
    <x v="124"/>
    <x v="106"/>
    <x v="3"/>
    <x v="26"/>
    <x v="615"/>
    <x v="0"/>
    <x v="8"/>
    <x v="0"/>
    <x v="1"/>
    <x v="1"/>
    <x v="19"/>
  </r>
  <r>
    <x v="282"/>
    <x v="1"/>
    <x v="412"/>
    <x v="0"/>
    <x v="5"/>
    <x v="0"/>
    <x v="0"/>
    <x v="14"/>
    <x v="9"/>
    <x v="0"/>
    <x v="245"/>
    <x v="95"/>
    <x v="8"/>
    <x v="20"/>
    <x v="269"/>
    <x v="865"/>
    <x v="199"/>
    <x v="6"/>
    <x v="56"/>
    <x v="614"/>
    <x v="0"/>
    <x v="8"/>
    <x v="0"/>
    <x v="1"/>
    <x v="0"/>
    <x v="19"/>
  </r>
  <r>
    <x v="822"/>
    <x v="9"/>
    <x v="411"/>
    <x v="0"/>
    <x v="5"/>
    <x v="0"/>
    <x v="1"/>
    <x v="144"/>
    <x v="9"/>
    <x v="0"/>
    <x v="261"/>
    <x v="55"/>
    <x v="8"/>
    <x v="144"/>
    <x v="266"/>
    <x v="864"/>
    <x v="199"/>
    <x v="6"/>
    <x v="56"/>
    <x v="613"/>
    <x v="0"/>
    <x v="8"/>
    <x v="0"/>
    <x v="1"/>
    <x v="1"/>
    <x v="19"/>
  </r>
  <r>
    <x v="889"/>
    <x v="11"/>
    <x v="375"/>
    <x v="0"/>
    <x v="6"/>
    <x v="0"/>
    <x v="1"/>
    <x v="171"/>
    <x v="9"/>
    <x v="0"/>
    <x v="257"/>
    <x v="25"/>
    <x v="8"/>
    <x v="86"/>
    <x v="267"/>
    <x v="866"/>
    <x v="199"/>
    <x v="6"/>
    <x v="56"/>
    <x v="612"/>
    <x v="0"/>
    <x v="8"/>
    <x v="0"/>
    <x v="1"/>
    <x v="2"/>
    <x v="19"/>
  </r>
  <r>
    <x v="191"/>
    <x v="1"/>
    <x v="347"/>
    <x v="6"/>
    <x v="4"/>
    <x v="0"/>
    <x v="1"/>
    <x v="21"/>
    <x v="9"/>
    <x v="0"/>
    <x v="72"/>
    <x v="78"/>
    <x v="8"/>
    <x v="275"/>
    <x v="642"/>
    <x v="170"/>
    <x v="56"/>
    <x v="6"/>
    <x v="32"/>
    <x v="611"/>
    <x v="0"/>
    <x v="8"/>
    <x v="0"/>
    <x v="1"/>
    <x v="0"/>
    <x v="19"/>
  </r>
  <r>
    <x v="120"/>
    <x v="0"/>
    <x v="346"/>
    <x v="0"/>
    <x v="5"/>
    <x v="0"/>
    <x v="1"/>
    <x v="0"/>
    <x v="9"/>
    <x v="0"/>
    <x v="301"/>
    <x v="47"/>
    <x v="8"/>
    <x v="72"/>
    <x v="357"/>
    <x v="818"/>
    <x v="341"/>
    <x v="6"/>
    <x v="56"/>
    <x v="610"/>
    <x v="0"/>
    <x v="8"/>
    <x v="0"/>
    <x v="1"/>
    <x v="0"/>
    <x v="19"/>
  </r>
  <r>
    <x v="722"/>
    <x v="6"/>
    <x v="345"/>
    <x v="0"/>
    <x v="6"/>
    <x v="0"/>
    <x v="1"/>
    <x v="101"/>
    <x v="9"/>
    <x v="0"/>
    <x v="296"/>
    <x v="87"/>
    <x v="8"/>
    <x v="199"/>
    <x v="364"/>
    <x v="821"/>
    <x v="341"/>
    <x v="6"/>
    <x v="35"/>
    <x v="609"/>
    <x v="0"/>
    <x v="8"/>
    <x v="0"/>
    <x v="1"/>
    <x v="1"/>
    <x v="19"/>
  </r>
  <r>
    <x v="910"/>
    <x v="12"/>
    <x v="83"/>
    <x v="8"/>
    <x v="8"/>
    <x v="3"/>
    <x v="1"/>
    <x v="248"/>
    <x v="9"/>
    <x v="0"/>
    <x v="103"/>
    <x v="193"/>
    <x v="8"/>
    <x v="84"/>
    <x v="154"/>
    <x v="279"/>
    <x v="160"/>
    <x v="6"/>
    <x v="56"/>
    <x v="608"/>
    <x v="0"/>
    <x v="8"/>
    <x v="0"/>
    <x v="1"/>
    <x v="2"/>
    <x v="19"/>
  </r>
  <r>
    <x v="89"/>
    <x v="0"/>
    <x v="82"/>
    <x v="7"/>
    <x v="6"/>
    <x v="0"/>
    <x v="0"/>
    <x v="14"/>
    <x v="9"/>
    <x v="0"/>
    <x v="82"/>
    <x v="240"/>
    <x v="8"/>
    <x v="95"/>
    <x v="157"/>
    <x v="277"/>
    <x v="160"/>
    <x v="6"/>
    <x v="56"/>
    <x v="607"/>
    <x v="0"/>
    <x v="8"/>
    <x v="0"/>
    <x v="1"/>
    <x v="0"/>
    <x v="19"/>
  </r>
  <r>
    <x v="597"/>
    <x v="4"/>
    <x v="14"/>
    <x v="0"/>
    <x v="4"/>
    <x v="0"/>
    <x v="0"/>
    <x v="67"/>
    <x v="9"/>
    <x v="0"/>
    <x v="82"/>
    <x v="247"/>
    <x v="8"/>
    <x v="115"/>
    <x v="165"/>
    <x v="270"/>
    <x v="160"/>
    <x v="6"/>
    <x v="56"/>
    <x v="606"/>
    <x v="0"/>
    <x v="8"/>
    <x v="0"/>
    <x v="1"/>
    <x v="0"/>
    <x v="19"/>
  </r>
  <r>
    <x v="970"/>
    <x v="19"/>
    <x v="13"/>
    <x v="9"/>
    <x v="7"/>
    <x v="3"/>
    <x v="1"/>
    <x v="294"/>
    <x v="9"/>
    <x v="0"/>
    <x v="49"/>
    <x v="103"/>
    <x v="8"/>
    <x v="98"/>
    <x v="170"/>
    <x v="273"/>
    <x v="160"/>
    <x v="6"/>
    <x v="56"/>
    <x v="605"/>
    <x v="0"/>
    <x v="8"/>
    <x v="0"/>
    <x v="1"/>
    <x v="3"/>
    <x v="19"/>
  </r>
  <r>
    <x v="400"/>
    <x v="2"/>
    <x v="509"/>
    <x v="7"/>
    <x v="6"/>
    <x v="0"/>
    <x v="1"/>
    <x v="56"/>
    <x v="9"/>
    <x v="0"/>
    <x v="101"/>
    <x v="193"/>
    <x v="8"/>
    <x v="72"/>
    <x v="164"/>
    <x v="274"/>
    <x v="160"/>
    <x v="6"/>
    <x v="56"/>
    <x v="604"/>
    <x v="0"/>
    <x v="8"/>
    <x v="0"/>
    <x v="1"/>
    <x v="0"/>
    <x v="19"/>
  </r>
  <r>
    <x v="506"/>
    <x v="3"/>
    <x v="293"/>
    <x v="5"/>
    <x v="4"/>
    <x v="0"/>
    <x v="1"/>
    <x v="280"/>
    <x v="5"/>
    <x v="31"/>
    <x v="57"/>
    <x v="257"/>
    <x v="5"/>
    <x v="52"/>
    <x v="897"/>
    <x v="99"/>
    <x v="157"/>
    <x v="6"/>
    <x v="56"/>
    <x v="603"/>
    <x v="0"/>
    <x v="5"/>
    <x v="0"/>
    <x v="1"/>
    <x v="0"/>
    <x v="19"/>
  </r>
  <r>
    <x v="10"/>
    <x v="0"/>
    <x v="39"/>
    <x v="4"/>
    <x v="4"/>
    <x v="0"/>
    <x v="1"/>
    <x v="12"/>
    <x v="9"/>
    <x v="0"/>
    <x v="100"/>
    <x v="55"/>
    <x v="8"/>
    <x v="258"/>
    <x v="755"/>
    <x v="594"/>
    <x v="288"/>
    <x v="6"/>
    <x v="56"/>
    <x v="602"/>
    <x v="0"/>
    <x v="8"/>
    <x v="0"/>
    <x v="1"/>
    <x v="0"/>
    <x v="19"/>
  </r>
  <r>
    <x v="39"/>
    <x v="0"/>
    <x v="587"/>
    <x v="5"/>
    <x v="3"/>
    <x v="0"/>
    <x v="1"/>
    <x v="25"/>
    <x v="9"/>
    <x v="0"/>
    <x v="165"/>
    <x v="147"/>
    <x v="8"/>
    <x v="42"/>
    <x v="678"/>
    <x v="308"/>
    <x v="135"/>
    <x v="6"/>
    <x v="56"/>
    <x v="601"/>
    <x v="0"/>
    <x v="8"/>
    <x v="0"/>
    <x v="1"/>
    <x v="0"/>
    <x v="19"/>
  </r>
  <r>
    <x v="568"/>
    <x v="4"/>
    <x v="373"/>
    <x v="3"/>
    <x v="7"/>
    <x v="3"/>
    <x v="0"/>
    <x v="68"/>
    <x v="9"/>
    <x v="0"/>
    <x v="380"/>
    <x v="62"/>
    <x v="8"/>
    <x v="20"/>
    <x v="817"/>
    <x v="401"/>
    <x v="149"/>
    <x v="1"/>
    <x v="36"/>
    <x v="600"/>
    <x v="0"/>
    <x v="8"/>
    <x v="0"/>
    <x v="1"/>
    <x v="0"/>
    <x v="19"/>
  </r>
  <r>
    <x v="68"/>
    <x v="0"/>
    <x v="195"/>
    <x v="0"/>
    <x v="4"/>
    <x v="0"/>
    <x v="1"/>
    <x v="0"/>
    <x v="9"/>
    <x v="0"/>
    <x v="32"/>
    <x v="78"/>
    <x v="8"/>
    <x v="261"/>
    <x v="227"/>
    <x v="923"/>
    <x v="359"/>
    <x v="6"/>
    <x v="54"/>
    <x v="599"/>
    <x v="0"/>
    <x v="8"/>
    <x v="0"/>
    <x v="1"/>
    <x v="0"/>
    <x v="19"/>
  </r>
  <r>
    <x v="157"/>
    <x v="0"/>
    <x v="37"/>
    <x v="0"/>
    <x v="2"/>
    <x v="0"/>
    <x v="1"/>
    <x v="0"/>
    <x v="9"/>
    <x v="0"/>
    <x v="292"/>
    <x v="95"/>
    <x v="8"/>
    <x v="164"/>
    <x v="55"/>
    <x v="20"/>
    <x v="464"/>
    <x v="6"/>
    <x v="56"/>
    <x v="598"/>
    <x v="1"/>
    <x v="8"/>
    <x v="0"/>
    <x v="1"/>
    <x v="0"/>
    <x v="19"/>
  </r>
  <r>
    <x v="71"/>
    <x v="0"/>
    <x v="4"/>
    <x v="0"/>
    <x v="3"/>
    <x v="0"/>
    <x v="1"/>
    <x v="0"/>
    <x v="9"/>
    <x v="0"/>
    <x v="310"/>
    <x v="30"/>
    <x v="8"/>
    <x v="313"/>
    <x v="246"/>
    <x v="918"/>
    <x v="433"/>
    <x v="6"/>
    <x v="54"/>
    <x v="597"/>
    <x v="0"/>
    <x v="8"/>
    <x v="0"/>
    <x v="1"/>
    <x v="0"/>
    <x v="19"/>
  </r>
  <r>
    <x v="148"/>
    <x v="0"/>
    <x v="773"/>
    <x v="3"/>
    <x v="3"/>
    <x v="0"/>
    <x v="0"/>
    <x v="1"/>
    <x v="9"/>
    <x v="0"/>
    <x v="349"/>
    <x v="95"/>
    <x v="8"/>
    <x v="348"/>
    <x v="199"/>
    <x v="40"/>
    <x v="125"/>
    <x v="6"/>
    <x v="56"/>
    <x v="596"/>
    <x v="1"/>
    <x v="8"/>
    <x v="0"/>
    <x v="1"/>
    <x v="0"/>
    <x v="18"/>
  </r>
  <r>
    <x v="915"/>
    <x v="12"/>
    <x v="581"/>
    <x v="1"/>
    <x v="7"/>
    <x v="0"/>
    <x v="1"/>
    <x v="183"/>
    <x v="9"/>
    <x v="0"/>
    <x v="387"/>
    <x v="103"/>
    <x v="8"/>
    <x v="20"/>
    <x v="4"/>
    <x v="312"/>
    <x v="420"/>
    <x v="6"/>
    <x v="52"/>
    <x v="595"/>
    <x v="1"/>
    <x v="8"/>
    <x v="0"/>
    <x v="1"/>
    <x v="2"/>
    <x v="18"/>
  </r>
  <r>
    <x v="608"/>
    <x v="4"/>
    <x v="551"/>
    <x v="0"/>
    <x v="4"/>
    <x v="0"/>
    <x v="1"/>
    <x v="67"/>
    <x v="9"/>
    <x v="0"/>
    <x v="389"/>
    <x v="55"/>
    <x v="8"/>
    <x v="18"/>
    <x v="5"/>
    <x v="311"/>
    <x v="420"/>
    <x v="6"/>
    <x v="52"/>
    <x v="594"/>
    <x v="1"/>
    <x v="8"/>
    <x v="0"/>
    <x v="1"/>
    <x v="0"/>
    <x v="18"/>
  </r>
  <r>
    <x v="246"/>
    <x v="1"/>
    <x v="987"/>
    <x v="6"/>
    <x v="6"/>
    <x v="0"/>
    <x v="1"/>
    <x v="61"/>
    <x v="9"/>
    <x v="0"/>
    <x v="55"/>
    <x v="153"/>
    <x v="8"/>
    <x v="107"/>
    <x v="71"/>
    <x v="253"/>
    <x v="102"/>
    <x v="5"/>
    <x v="9"/>
    <x v="593"/>
    <x v="0"/>
    <x v="8"/>
    <x v="0"/>
    <x v="1"/>
    <x v="0"/>
    <x v="18"/>
  </r>
  <r>
    <x v="738"/>
    <x v="6"/>
    <x v="831"/>
    <x v="6"/>
    <x v="3"/>
    <x v="0"/>
    <x v="1"/>
    <x v="162"/>
    <x v="9"/>
    <x v="0"/>
    <x v="309"/>
    <x v="5"/>
    <x v="8"/>
    <x v="136"/>
    <x v="840"/>
    <x v="722"/>
    <x v="320"/>
    <x v="6"/>
    <x v="56"/>
    <x v="592"/>
    <x v="1"/>
    <x v="8"/>
    <x v="0"/>
    <x v="1"/>
    <x v="1"/>
    <x v="18"/>
  </r>
  <r>
    <x v="300"/>
    <x v="1"/>
    <x v="643"/>
    <x v="8"/>
    <x v="4"/>
    <x v="0"/>
    <x v="1"/>
    <x v="32"/>
    <x v="9"/>
    <x v="0"/>
    <x v="197"/>
    <x v="193"/>
    <x v="8"/>
    <x v="17"/>
    <x v="750"/>
    <x v="111"/>
    <x v="123"/>
    <x v="6"/>
    <x v="56"/>
    <x v="591"/>
    <x v="0"/>
    <x v="8"/>
    <x v="0"/>
    <x v="1"/>
    <x v="0"/>
    <x v="18"/>
  </r>
  <r>
    <x v="497"/>
    <x v="3"/>
    <x v="544"/>
    <x v="0"/>
    <x v="5"/>
    <x v="0"/>
    <x v="1"/>
    <x v="49"/>
    <x v="9"/>
    <x v="0"/>
    <x v="359"/>
    <x v="3"/>
    <x v="8"/>
    <x v="136"/>
    <x v="374"/>
    <x v="817"/>
    <x v="341"/>
    <x v="6"/>
    <x v="35"/>
    <x v="590"/>
    <x v="0"/>
    <x v="8"/>
    <x v="0"/>
    <x v="1"/>
    <x v="0"/>
    <x v="18"/>
  </r>
  <r>
    <x v="719"/>
    <x v="6"/>
    <x v="495"/>
    <x v="9"/>
    <x v="7"/>
    <x v="1"/>
    <x v="1"/>
    <x v="253"/>
    <x v="9"/>
    <x v="0"/>
    <x v="274"/>
    <x v="17"/>
    <x v="8"/>
    <x v="66"/>
    <x v="627"/>
    <x v="550"/>
    <x v="393"/>
    <x v="6"/>
    <x v="38"/>
    <x v="589"/>
    <x v="0"/>
    <x v="8"/>
    <x v="0"/>
    <x v="1"/>
    <x v="1"/>
    <x v="18"/>
  </r>
  <r>
    <x v="242"/>
    <x v="1"/>
    <x v="394"/>
    <x v="5"/>
    <x v="5"/>
    <x v="3"/>
    <x v="0"/>
    <x v="31"/>
    <x v="9"/>
    <x v="0"/>
    <x v="198"/>
    <x v="185"/>
    <x v="8"/>
    <x v="147"/>
    <x v="813"/>
    <x v="343"/>
    <x v="201"/>
    <x v="2"/>
    <x v="56"/>
    <x v="588"/>
    <x v="0"/>
    <x v="8"/>
    <x v="0"/>
    <x v="1"/>
    <x v="0"/>
    <x v="18"/>
  </r>
  <r>
    <x v="426"/>
    <x v="2"/>
    <x v="29"/>
    <x v="0"/>
    <x v="2"/>
    <x v="0"/>
    <x v="0"/>
    <x v="31"/>
    <x v="9"/>
    <x v="0"/>
    <x v="263"/>
    <x v="11"/>
    <x v="8"/>
    <x v="368"/>
    <x v="957"/>
    <x v="788"/>
    <x v="323"/>
    <x v="6"/>
    <x v="56"/>
    <x v="587"/>
    <x v="1"/>
    <x v="8"/>
    <x v="0"/>
    <x v="1"/>
    <x v="0"/>
    <x v="18"/>
  </r>
  <r>
    <x v="152"/>
    <x v="0"/>
    <x v="970"/>
    <x v="0"/>
    <x v="3"/>
    <x v="0"/>
    <x v="1"/>
    <x v="0"/>
    <x v="9"/>
    <x v="0"/>
    <x v="175"/>
    <x v="87"/>
    <x v="8"/>
    <x v="153"/>
    <x v="66"/>
    <x v="12"/>
    <x v="193"/>
    <x v="6"/>
    <x v="56"/>
    <x v="586"/>
    <x v="1"/>
    <x v="8"/>
    <x v="0"/>
    <x v="1"/>
    <x v="0"/>
    <x v="18"/>
  </r>
  <r>
    <x v="442"/>
    <x v="3"/>
    <x v="916"/>
    <x v="7"/>
    <x v="6"/>
    <x v="1"/>
    <x v="0"/>
    <x v="226"/>
    <x v="9"/>
    <x v="0"/>
    <x v="377"/>
    <x v="55"/>
    <x v="8"/>
    <x v="26"/>
    <x v="753"/>
    <x v="379"/>
    <x v="196"/>
    <x v="1"/>
    <x v="33"/>
    <x v="585"/>
    <x v="0"/>
    <x v="8"/>
    <x v="0"/>
    <x v="1"/>
    <x v="0"/>
    <x v="18"/>
  </r>
  <r>
    <x v="697"/>
    <x v="6"/>
    <x v="827"/>
    <x v="8"/>
    <x v="6"/>
    <x v="0"/>
    <x v="1"/>
    <x v="145"/>
    <x v="9"/>
    <x v="0"/>
    <x v="324"/>
    <x v="55"/>
    <x v="8"/>
    <x v="147"/>
    <x v="215"/>
    <x v="219"/>
    <x v="29"/>
    <x v="6"/>
    <x v="37"/>
    <x v="584"/>
    <x v="0"/>
    <x v="8"/>
    <x v="0"/>
    <x v="1"/>
    <x v="1"/>
    <x v="18"/>
  </r>
  <r>
    <x v="895"/>
    <x v="12"/>
    <x v="799"/>
    <x v="5"/>
    <x v="7"/>
    <x v="2"/>
    <x v="0"/>
    <x v="343"/>
    <x v="9"/>
    <x v="0"/>
    <x v="376"/>
    <x v="55"/>
    <x v="8"/>
    <x v="44"/>
    <x v="752"/>
    <x v="378"/>
    <x v="54"/>
    <x v="1"/>
    <x v="33"/>
    <x v="583"/>
    <x v="0"/>
    <x v="8"/>
    <x v="0"/>
    <x v="1"/>
    <x v="2"/>
    <x v="18"/>
  </r>
  <r>
    <x v="127"/>
    <x v="0"/>
    <x v="123"/>
    <x v="0"/>
    <x v="5"/>
    <x v="0"/>
    <x v="1"/>
    <x v="0"/>
    <x v="9"/>
    <x v="0"/>
    <x v="67"/>
    <x v="109"/>
    <x v="8"/>
    <x v="72"/>
    <x v="938"/>
    <x v="50"/>
    <x v="30"/>
    <x v="6"/>
    <x v="56"/>
    <x v="582"/>
    <x v="0"/>
    <x v="8"/>
    <x v="0"/>
    <x v="1"/>
    <x v="0"/>
    <x v="18"/>
  </r>
  <r>
    <x v="149"/>
    <x v="0"/>
    <x v="122"/>
    <x v="5"/>
    <x v="2"/>
    <x v="0"/>
    <x v="0"/>
    <x v="74"/>
    <x v="9"/>
    <x v="0"/>
    <x v="280"/>
    <x v="123"/>
    <x v="8"/>
    <x v="350"/>
    <x v="777"/>
    <x v="659"/>
    <x v="167"/>
    <x v="6"/>
    <x v="56"/>
    <x v="581"/>
    <x v="1"/>
    <x v="8"/>
    <x v="0"/>
    <x v="1"/>
    <x v="0"/>
    <x v="18"/>
  </r>
  <r>
    <x v="43"/>
    <x v="0"/>
    <x v="22"/>
    <x v="4"/>
    <x v="4"/>
    <x v="0"/>
    <x v="0"/>
    <x v="12"/>
    <x v="9"/>
    <x v="0"/>
    <x v="270"/>
    <x v="11"/>
    <x v="8"/>
    <x v="251"/>
    <x v="338"/>
    <x v="604"/>
    <x v="239"/>
    <x v="6"/>
    <x v="20"/>
    <x v="580"/>
    <x v="0"/>
    <x v="8"/>
    <x v="0"/>
    <x v="1"/>
    <x v="0"/>
    <x v="18"/>
  </r>
  <r>
    <x v="617"/>
    <x v="5"/>
    <x v="965"/>
    <x v="5"/>
    <x v="5"/>
    <x v="0"/>
    <x v="0"/>
    <x v="88"/>
    <x v="9"/>
    <x v="0"/>
    <x v="54"/>
    <x v="214"/>
    <x v="8"/>
    <x v="120"/>
    <x v="937"/>
    <x v="48"/>
    <x v="30"/>
    <x v="6"/>
    <x v="56"/>
    <x v="579"/>
    <x v="0"/>
    <x v="8"/>
    <x v="0"/>
    <x v="1"/>
    <x v="1"/>
    <x v="18"/>
  </r>
  <r>
    <x v="61"/>
    <x v="0"/>
    <x v="535"/>
    <x v="9"/>
    <x v="6"/>
    <x v="3"/>
    <x v="1"/>
    <x v="30"/>
    <x v="9"/>
    <x v="0"/>
    <x v="0"/>
    <x v="0"/>
    <x v="8"/>
    <x v="10"/>
    <x v="30"/>
    <x v="972"/>
    <x v="64"/>
    <x v="6"/>
    <x v="31"/>
    <x v="578"/>
    <x v="0"/>
    <x v="8"/>
    <x v="0"/>
    <x v="1"/>
    <x v="0"/>
    <x v="18"/>
  </r>
  <r>
    <x v="316"/>
    <x v="2"/>
    <x v="423"/>
    <x v="4"/>
    <x v="4"/>
    <x v="0"/>
    <x v="1"/>
    <x v="53"/>
    <x v="9"/>
    <x v="0"/>
    <x v="297"/>
    <x v="95"/>
    <x v="8"/>
    <x v="26"/>
    <x v="596"/>
    <x v="192"/>
    <x v="40"/>
    <x v="6"/>
    <x v="56"/>
    <x v="577"/>
    <x v="0"/>
    <x v="8"/>
    <x v="0"/>
    <x v="1"/>
    <x v="0"/>
    <x v="18"/>
  </r>
  <r>
    <x v="78"/>
    <x v="0"/>
    <x v="700"/>
    <x v="6"/>
    <x v="6"/>
    <x v="3"/>
    <x v="1"/>
    <x v="33"/>
    <x v="9"/>
    <x v="71"/>
    <x v="0"/>
    <x v="78"/>
    <x v="8"/>
    <x v="56"/>
    <x v="31"/>
    <x v="973"/>
    <x v="64"/>
    <x v="6"/>
    <x v="31"/>
    <x v="576"/>
    <x v="0"/>
    <x v="8"/>
    <x v="0"/>
    <x v="1"/>
    <x v="0"/>
    <x v="18"/>
  </r>
  <r>
    <x v="818"/>
    <x v="8"/>
    <x v="488"/>
    <x v="0"/>
    <x v="5"/>
    <x v="0"/>
    <x v="1"/>
    <x v="129"/>
    <x v="9"/>
    <x v="161"/>
    <x v="0"/>
    <x v="192"/>
    <x v="8"/>
    <x v="22"/>
    <x v="1"/>
    <x v="325"/>
    <x v="436"/>
    <x v="6"/>
    <x v="52"/>
    <x v="575"/>
    <x v="1"/>
    <x v="8"/>
    <x v="0"/>
    <x v="1"/>
    <x v="1"/>
    <x v="18"/>
  </r>
  <r>
    <x v="229"/>
    <x v="1"/>
    <x v="206"/>
    <x v="4"/>
    <x v="5"/>
    <x v="0"/>
    <x v="0"/>
    <x v="18"/>
    <x v="9"/>
    <x v="46"/>
    <x v="0"/>
    <x v="30"/>
    <x v="8"/>
    <x v="188"/>
    <x v="385"/>
    <x v="754"/>
    <x v="182"/>
    <x v="6"/>
    <x v="35"/>
    <x v="574"/>
    <x v="0"/>
    <x v="8"/>
    <x v="0"/>
    <x v="1"/>
    <x v="0"/>
    <x v="18"/>
  </r>
  <r>
    <x v="797"/>
    <x v="8"/>
    <x v="205"/>
    <x v="0"/>
    <x v="3"/>
    <x v="0"/>
    <x v="1"/>
    <x v="129"/>
    <x v="9"/>
    <x v="35"/>
    <x v="0"/>
    <x v="109"/>
    <x v="8"/>
    <x v="349"/>
    <x v="470"/>
    <x v="809"/>
    <x v="204"/>
    <x v="6"/>
    <x v="35"/>
    <x v="573"/>
    <x v="0"/>
    <x v="8"/>
    <x v="0"/>
    <x v="1"/>
    <x v="1"/>
    <x v="18"/>
  </r>
  <r>
    <x v="308"/>
    <x v="1"/>
    <x v="791"/>
    <x v="0"/>
    <x v="6"/>
    <x v="0"/>
    <x v="1"/>
    <x v="14"/>
    <x v="9"/>
    <x v="30"/>
    <x v="0"/>
    <x v="47"/>
    <x v="8"/>
    <x v="20"/>
    <x v="633"/>
    <x v="314"/>
    <x v="312"/>
    <x v="6"/>
    <x v="56"/>
    <x v="572"/>
    <x v="1"/>
    <x v="8"/>
    <x v="0"/>
    <x v="1"/>
    <x v="0"/>
    <x v="18"/>
  </r>
  <r>
    <x v="88"/>
    <x v="0"/>
    <x v="482"/>
    <x v="5"/>
    <x v="5"/>
    <x v="0"/>
    <x v="1"/>
    <x v="23"/>
    <x v="9"/>
    <x v="322"/>
    <x v="0"/>
    <x v="130"/>
    <x v="8"/>
    <x v="122"/>
    <x v="644"/>
    <x v="164"/>
    <x v="256"/>
    <x v="6"/>
    <x v="56"/>
    <x v="571"/>
    <x v="0"/>
    <x v="8"/>
    <x v="0"/>
    <x v="1"/>
    <x v="0"/>
    <x v="18"/>
  </r>
  <r>
    <x v="427"/>
    <x v="2"/>
    <x v="421"/>
    <x v="5"/>
    <x v="3"/>
    <x v="0"/>
    <x v="0"/>
    <x v="48"/>
    <x v="9"/>
    <x v="241"/>
    <x v="0"/>
    <x v="109"/>
    <x v="8"/>
    <x v="16"/>
    <x v="299"/>
    <x v="494"/>
    <x v="168"/>
    <x v="6"/>
    <x v="56"/>
    <x v="570"/>
    <x v="1"/>
    <x v="8"/>
    <x v="0"/>
    <x v="1"/>
    <x v="0"/>
    <x v="18"/>
  </r>
  <r>
    <x v="426"/>
    <x v="2"/>
    <x v="789"/>
    <x v="0"/>
    <x v="2"/>
    <x v="0"/>
    <x v="1"/>
    <x v="31"/>
    <x v="9"/>
    <x v="66"/>
    <x v="0"/>
    <x v="117"/>
    <x v="6"/>
    <x v="393"/>
    <x v="945"/>
    <x v="771"/>
    <x v="323"/>
    <x v="6"/>
    <x v="56"/>
    <x v="569"/>
    <x v="1"/>
    <x v="6"/>
    <x v="0"/>
    <x v="1"/>
    <x v="0"/>
    <x v="18"/>
  </r>
  <r>
    <x v="976"/>
    <x v="20"/>
    <x v="788"/>
    <x v="5"/>
    <x v="4"/>
    <x v="0"/>
    <x v="1"/>
    <x v="259"/>
    <x v="9"/>
    <x v="153"/>
    <x v="0"/>
    <x v="5"/>
    <x v="8"/>
    <x v="381"/>
    <x v="967"/>
    <x v="796"/>
    <x v="323"/>
    <x v="6"/>
    <x v="56"/>
    <x v="568"/>
    <x v="1"/>
    <x v="8"/>
    <x v="0"/>
    <x v="1"/>
    <x v="3"/>
    <x v="18"/>
  </r>
  <r>
    <x v="829"/>
    <x v="9"/>
    <x v="757"/>
    <x v="0"/>
    <x v="5"/>
    <x v="0"/>
    <x v="1"/>
    <x v="144"/>
    <x v="9"/>
    <x v="294"/>
    <x v="0"/>
    <x v="47"/>
    <x v="8"/>
    <x v="304"/>
    <x v="117"/>
    <x v="32"/>
    <x v="483"/>
    <x v="6"/>
    <x v="56"/>
    <x v="567"/>
    <x v="0"/>
    <x v="8"/>
    <x v="0"/>
    <x v="1"/>
    <x v="1"/>
    <x v="18"/>
  </r>
  <r>
    <x v="528"/>
    <x v="3"/>
    <x v="449"/>
    <x v="0"/>
    <x v="2"/>
    <x v="0"/>
    <x v="0"/>
    <x v="49"/>
    <x v="9"/>
    <x v="41"/>
    <x v="0"/>
    <x v="62"/>
    <x v="8"/>
    <x v="385"/>
    <x v="716"/>
    <x v="729"/>
    <x v="333"/>
    <x v="6"/>
    <x v="56"/>
    <x v="566"/>
    <x v="1"/>
    <x v="8"/>
    <x v="0"/>
    <x v="1"/>
    <x v="0"/>
    <x v="18"/>
  </r>
  <r>
    <x v="73"/>
    <x v="0"/>
    <x v="756"/>
    <x v="0"/>
    <x v="5"/>
    <x v="0"/>
    <x v="1"/>
    <x v="0"/>
    <x v="9"/>
    <x v="86"/>
    <x v="0"/>
    <x v="52"/>
    <x v="8"/>
    <x v="20"/>
    <x v="472"/>
    <x v="780"/>
    <x v="382"/>
    <x v="6"/>
    <x v="35"/>
    <x v="565"/>
    <x v="0"/>
    <x v="8"/>
    <x v="0"/>
    <x v="1"/>
    <x v="0"/>
    <x v="18"/>
  </r>
  <r>
    <x v="268"/>
    <x v="1"/>
    <x v="663"/>
    <x v="8"/>
    <x v="7"/>
    <x v="2"/>
    <x v="0"/>
    <x v="347"/>
    <x v="9"/>
    <x v="258"/>
    <x v="0"/>
    <x v="22"/>
    <x v="8"/>
    <x v="37"/>
    <x v="780"/>
    <x v="487"/>
    <x v="235"/>
    <x v="1"/>
    <x v="36"/>
    <x v="564"/>
    <x v="0"/>
    <x v="8"/>
    <x v="0"/>
    <x v="1"/>
    <x v="0"/>
    <x v="18"/>
  </r>
  <r>
    <x v="754"/>
    <x v="7"/>
    <x v="626"/>
    <x v="5"/>
    <x v="6"/>
    <x v="0"/>
    <x v="1"/>
    <x v="120"/>
    <x v="9"/>
    <x v="336"/>
    <x v="0"/>
    <x v="6"/>
    <x v="8"/>
    <x v="248"/>
    <x v="916"/>
    <x v="761"/>
    <x v="212"/>
    <x v="1"/>
    <x v="39"/>
    <x v="563"/>
    <x v="0"/>
    <x v="8"/>
    <x v="0"/>
    <x v="1"/>
    <x v="1"/>
    <x v="18"/>
  </r>
  <r>
    <x v="221"/>
    <x v="1"/>
    <x v="514"/>
    <x v="7"/>
    <x v="6"/>
    <x v="0"/>
    <x v="1"/>
    <x v="16"/>
    <x v="9"/>
    <x v="195"/>
    <x v="0"/>
    <x v="11"/>
    <x v="8"/>
    <x v="32"/>
    <x v="487"/>
    <x v="697"/>
    <x v="16"/>
    <x v="6"/>
    <x v="35"/>
    <x v="562"/>
    <x v="0"/>
    <x v="8"/>
    <x v="0"/>
    <x v="1"/>
    <x v="0"/>
    <x v="18"/>
  </r>
  <r>
    <x v="912"/>
    <x v="12"/>
    <x v="513"/>
    <x v="8"/>
    <x v="7"/>
    <x v="3"/>
    <x v="0"/>
    <x v="305"/>
    <x v="9"/>
    <x v="236"/>
    <x v="0"/>
    <x v="127"/>
    <x v="8"/>
    <x v="222"/>
    <x v="762"/>
    <x v="376"/>
    <x v="195"/>
    <x v="1"/>
    <x v="21"/>
    <x v="561"/>
    <x v="0"/>
    <x v="8"/>
    <x v="0"/>
    <x v="1"/>
    <x v="2"/>
    <x v="18"/>
  </r>
  <r>
    <x v="301"/>
    <x v="1"/>
    <x v="445"/>
    <x v="0"/>
    <x v="4"/>
    <x v="0"/>
    <x v="1"/>
    <x v="14"/>
    <x v="9"/>
    <x v="224"/>
    <x v="0"/>
    <x v="15"/>
    <x v="8"/>
    <x v="124"/>
    <x v="373"/>
    <x v="816"/>
    <x v="341"/>
    <x v="6"/>
    <x v="56"/>
    <x v="560"/>
    <x v="0"/>
    <x v="8"/>
    <x v="0"/>
    <x v="1"/>
    <x v="0"/>
    <x v="18"/>
  </r>
  <r>
    <x v="645"/>
    <x v="5"/>
    <x v="170"/>
    <x v="3"/>
    <x v="6"/>
    <x v="0"/>
    <x v="1"/>
    <x v="85"/>
    <x v="9"/>
    <x v="300"/>
    <x v="0"/>
    <x v="14"/>
    <x v="8"/>
    <x v="210"/>
    <x v="483"/>
    <x v="656"/>
    <x v="8"/>
    <x v="6"/>
    <x v="20"/>
    <x v="559"/>
    <x v="0"/>
    <x v="8"/>
    <x v="0"/>
    <x v="1"/>
    <x v="1"/>
    <x v="18"/>
  </r>
  <r>
    <x v="76"/>
    <x v="0"/>
    <x v="292"/>
    <x v="0"/>
    <x v="5"/>
    <x v="0"/>
    <x v="1"/>
    <x v="0"/>
    <x v="9"/>
    <x v="115"/>
    <x v="0"/>
    <x v="32"/>
    <x v="8"/>
    <x v="111"/>
    <x v="363"/>
    <x v="745"/>
    <x v="126"/>
    <x v="6"/>
    <x v="35"/>
    <x v="558"/>
    <x v="0"/>
    <x v="8"/>
    <x v="0"/>
    <x v="1"/>
    <x v="0"/>
    <x v="18"/>
  </r>
  <r>
    <x v="134"/>
    <x v="0"/>
    <x v="6"/>
    <x v="3"/>
    <x v="5"/>
    <x v="0"/>
    <x v="0"/>
    <x v="1"/>
    <x v="9"/>
    <x v="217"/>
    <x v="0"/>
    <x v="84"/>
    <x v="8"/>
    <x v="120"/>
    <x v="932"/>
    <x v="833"/>
    <x v="327"/>
    <x v="1"/>
    <x v="56"/>
    <x v="557"/>
    <x v="0"/>
    <x v="8"/>
    <x v="0"/>
    <x v="1"/>
    <x v="0"/>
    <x v="18"/>
  </r>
  <r>
    <x v="591"/>
    <x v="4"/>
    <x v="896"/>
    <x v="5"/>
    <x v="5"/>
    <x v="0"/>
    <x v="1"/>
    <x v="71"/>
    <x v="9"/>
    <x v="249"/>
    <x v="0"/>
    <x v="84"/>
    <x v="8"/>
    <x v="152"/>
    <x v="931"/>
    <x v="831"/>
    <x v="327"/>
    <x v="1"/>
    <x v="56"/>
    <x v="556"/>
    <x v="0"/>
    <x v="8"/>
    <x v="0"/>
    <x v="1"/>
    <x v="0"/>
    <x v="18"/>
  </r>
  <r>
    <x v="205"/>
    <x v="1"/>
    <x v="441"/>
    <x v="0"/>
    <x v="6"/>
    <x v="0"/>
    <x v="1"/>
    <x v="14"/>
    <x v="9"/>
    <x v="321"/>
    <x v="0"/>
    <x v="40"/>
    <x v="8"/>
    <x v="22"/>
    <x v="994"/>
    <x v="696"/>
    <x v="55"/>
    <x v="1"/>
    <x v="39"/>
    <x v="555"/>
    <x v="0"/>
    <x v="8"/>
    <x v="0"/>
    <x v="1"/>
    <x v="0"/>
    <x v="18"/>
  </r>
  <r>
    <x v="236"/>
    <x v="1"/>
    <x v="256"/>
    <x v="0"/>
    <x v="5"/>
    <x v="0"/>
    <x v="1"/>
    <x v="14"/>
    <x v="9"/>
    <x v="179"/>
    <x v="0"/>
    <x v="52"/>
    <x v="8"/>
    <x v="59"/>
    <x v="276"/>
    <x v="884"/>
    <x v="226"/>
    <x v="6"/>
    <x v="42"/>
    <x v="554"/>
    <x v="0"/>
    <x v="8"/>
    <x v="0"/>
    <x v="1"/>
    <x v="0"/>
    <x v="18"/>
  </r>
  <r>
    <x v="549"/>
    <x v="4"/>
    <x v="255"/>
    <x v="5"/>
    <x v="4"/>
    <x v="0"/>
    <x v="1"/>
    <x v="179"/>
    <x v="9"/>
    <x v="266"/>
    <x v="0"/>
    <x v="107"/>
    <x v="8"/>
    <x v="283"/>
    <x v="555"/>
    <x v="199"/>
    <x v="496"/>
    <x v="5"/>
    <x v="10"/>
    <x v="553"/>
    <x v="0"/>
    <x v="8"/>
    <x v="0"/>
    <x v="1"/>
    <x v="0"/>
    <x v="18"/>
  </r>
  <r>
    <x v="714"/>
    <x v="6"/>
    <x v="227"/>
    <x v="9"/>
    <x v="5"/>
    <x v="0"/>
    <x v="1"/>
    <x v="104"/>
    <x v="9"/>
    <x v="124"/>
    <x v="0"/>
    <x v="51"/>
    <x v="8"/>
    <x v="79"/>
    <x v="279"/>
    <x v="889"/>
    <x v="226"/>
    <x v="6"/>
    <x v="42"/>
    <x v="552"/>
    <x v="0"/>
    <x v="8"/>
    <x v="0"/>
    <x v="1"/>
    <x v="1"/>
    <x v="18"/>
  </r>
  <r>
    <x v="462"/>
    <x v="3"/>
    <x v="226"/>
    <x v="0"/>
    <x v="6"/>
    <x v="0"/>
    <x v="1"/>
    <x v="49"/>
    <x v="9"/>
    <x v="163"/>
    <x v="0"/>
    <x v="58"/>
    <x v="8"/>
    <x v="26"/>
    <x v="284"/>
    <x v="888"/>
    <x v="226"/>
    <x v="6"/>
    <x v="42"/>
    <x v="551"/>
    <x v="0"/>
    <x v="8"/>
    <x v="0"/>
    <x v="1"/>
    <x v="0"/>
    <x v="18"/>
  </r>
  <r>
    <x v="377"/>
    <x v="2"/>
    <x v="194"/>
    <x v="0"/>
    <x v="5"/>
    <x v="0"/>
    <x v="1"/>
    <x v="31"/>
    <x v="9"/>
    <x v="155"/>
    <x v="0"/>
    <x v="126"/>
    <x v="8"/>
    <x v="22"/>
    <x v="275"/>
    <x v="883"/>
    <x v="226"/>
    <x v="6"/>
    <x v="42"/>
    <x v="550"/>
    <x v="0"/>
    <x v="8"/>
    <x v="0"/>
    <x v="1"/>
    <x v="0"/>
    <x v="18"/>
  </r>
  <r>
    <x v="652"/>
    <x v="5"/>
    <x v="164"/>
    <x v="0"/>
    <x v="5"/>
    <x v="0"/>
    <x v="0"/>
    <x v="84"/>
    <x v="9"/>
    <x v="195"/>
    <x v="0"/>
    <x v="58"/>
    <x v="8"/>
    <x v="15"/>
    <x v="292"/>
    <x v="882"/>
    <x v="226"/>
    <x v="6"/>
    <x v="42"/>
    <x v="549"/>
    <x v="0"/>
    <x v="8"/>
    <x v="0"/>
    <x v="1"/>
    <x v="1"/>
    <x v="18"/>
  </r>
  <r>
    <x v="686"/>
    <x v="6"/>
    <x v="163"/>
    <x v="0"/>
    <x v="4"/>
    <x v="0"/>
    <x v="0"/>
    <x v="101"/>
    <x v="9"/>
    <x v="259"/>
    <x v="0"/>
    <x v="66"/>
    <x v="8"/>
    <x v="20"/>
    <x v="268"/>
    <x v="878"/>
    <x v="226"/>
    <x v="6"/>
    <x v="56"/>
    <x v="548"/>
    <x v="0"/>
    <x v="8"/>
    <x v="0"/>
    <x v="1"/>
    <x v="1"/>
    <x v="18"/>
  </r>
  <r>
    <x v="958"/>
    <x v="15"/>
    <x v="162"/>
    <x v="8"/>
    <x v="6"/>
    <x v="0"/>
    <x v="1"/>
    <x v="221"/>
    <x v="9"/>
    <x v="203"/>
    <x v="0"/>
    <x v="86"/>
    <x v="8"/>
    <x v="94"/>
    <x v="285"/>
    <x v="879"/>
    <x v="226"/>
    <x v="6"/>
    <x v="56"/>
    <x v="547"/>
    <x v="0"/>
    <x v="8"/>
    <x v="0"/>
    <x v="1"/>
    <x v="3"/>
    <x v="18"/>
  </r>
  <r>
    <x v="548"/>
    <x v="4"/>
    <x v="36"/>
    <x v="6"/>
    <x v="6"/>
    <x v="3"/>
    <x v="0"/>
    <x v="127"/>
    <x v="9"/>
    <x v="315"/>
    <x v="0"/>
    <x v="137"/>
    <x v="8"/>
    <x v="245"/>
    <x v="906"/>
    <x v="708"/>
    <x v="318"/>
    <x v="1"/>
    <x v="23"/>
    <x v="546"/>
    <x v="0"/>
    <x v="8"/>
    <x v="0"/>
    <x v="1"/>
    <x v="0"/>
    <x v="18"/>
  </r>
  <r>
    <x v="490"/>
    <x v="3"/>
    <x v="952"/>
    <x v="6"/>
    <x v="6"/>
    <x v="0"/>
    <x v="0"/>
    <x v="97"/>
    <x v="9"/>
    <x v="283"/>
    <x v="0"/>
    <x v="74"/>
    <x v="8"/>
    <x v="165"/>
    <x v="91"/>
    <x v="275"/>
    <x v="484"/>
    <x v="5"/>
    <x v="9"/>
    <x v="545"/>
    <x v="0"/>
    <x v="8"/>
    <x v="0"/>
    <x v="1"/>
    <x v="0"/>
    <x v="18"/>
  </r>
  <r>
    <x v="841"/>
    <x v="10"/>
    <x v="130"/>
    <x v="6"/>
    <x v="5"/>
    <x v="4"/>
    <x v="0"/>
    <x v="306"/>
    <x v="0"/>
    <x v="0"/>
    <x v="0"/>
    <x v="0"/>
    <x v="5"/>
    <x v="14"/>
    <x v="970"/>
    <x v="90"/>
    <x v="116"/>
    <x v="6"/>
    <x v="56"/>
    <x v="544"/>
    <x v="0"/>
    <x v="5"/>
    <x v="0"/>
    <x v="1"/>
    <x v="2"/>
    <x v="18"/>
  </r>
  <r>
    <x v="395"/>
    <x v="2"/>
    <x v="714"/>
    <x v="0"/>
    <x v="3"/>
    <x v="4"/>
    <x v="0"/>
    <x v="31"/>
    <x v="9"/>
    <x v="246"/>
    <x v="0"/>
    <x v="28"/>
    <x v="8"/>
    <x v="322"/>
    <x v="240"/>
    <x v="920"/>
    <x v="433"/>
    <x v="6"/>
    <x v="54"/>
    <x v="543"/>
    <x v="0"/>
    <x v="8"/>
    <x v="0"/>
    <x v="1"/>
    <x v="0"/>
    <x v="17"/>
  </r>
  <r>
    <x v="733"/>
    <x v="6"/>
    <x v="321"/>
    <x v="5"/>
    <x v="4"/>
    <x v="4"/>
    <x v="0"/>
    <x v="145"/>
    <x v="9"/>
    <x v="242"/>
    <x v="0"/>
    <x v="2"/>
    <x v="8"/>
    <x v="290"/>
    <x v="367"/>
    <x v="617"/>
    <x v="45"/>
    <x v="6"/>
    <x v="20"/>
    <x v="542"/>
    <x v="1"/>
    <x v="8"/>
    <x v="0"/>
    <x v="1"/>
    <x v="1"/>
    <x v="17"/>
  </r>
  <r>
    <x v="800"/>
    <x v="8"/>
    <x v="218"/>
    <x v="6"/>
    <x v="4"/>
    <x v="4"/>
    <x v="0"/>
    <x v="231"/>
    <x v="9"/>
    <x v="342"/>
    <x v="0"/>
    <x v="35"/>
    <x v="8"/>
    <x v="124"/>
    <x v="858"/>
    <x v="715"/>
    <x v="2"/>
    <x v="6"/>
    <x v="56"/>
    <x v="541"/>
    <x v="0"/>
    <x v="8"/>
    <x v="0"/>
    <x v="1"/>
    <x v="1"/>
    <x v="17"/>
  </r>
  <r>
    <x v="70"/>
    <x v="0"/>
    <x v="362"/>
    <x v="4"/>
    <x v="4"/>
    <x v="4"/>
    <x v="0"/>
    <x v="46"/>
    <x v="9"/>
    <x v="285"/>
    <x v="0"/>
    <x v="223"/>
    <x v="8"/>
    <x v="72"/>
    <x v="675"/>
    <x v="146"/>
    <x v="87"/>
    <x v="6"/>
    <x v="56"/>
    <x v="540"/>
    <x v="0"/>
    <x v="8"/>
    <x v="0"/>
    <x v="1"/>
    <x v="0"/>
    <x v="17"/>
  </r>
  <r>
    <x v="488"/>
    <x v="3"/>
    <x v="361"/>
    <x v="7"/>
    <x v="5"/>
    <x v="4"/>
    <x v="0"/>
    <x v="113"/>
    <x v="9"/>
    <x v="157"/>
    <x v="0"/>
    <x v="28"/>
    <x v="8"/>
    <x v="35"/>
    <x v="733"/>
    <x v="430"/>
    <x v="428"/>
    <x v="1"/>
    <x v="29"/>
    <x v="539"/>
    <x v="0"/>
    <x v="8"/>
    <x v="0"/>
    <x v="1"/>
    <x v="0"/>
    <x v="17"/>
  </r>
  <r>
    <x v="830"/>
    <x v="9"/>
    <x v="214"/>
    <x v="8"/>
    <x v="6"/>
    <x v="3"/>
    <x v="0"/>
    <x v="310"/>
    <x v="9"/>
    <x v="333"/>
    <x v="0"/>
    <x v="119"/>
    <x v="8"/>
    <x v="94"/>
    <x v="672"/>
    <x v="148"/>
    <x v="87"/>
    <x v="6"/>
    <x v="56"/>
    <x v="538"/>
    <x v="0"/>
    <x v="8"/>
    <x v="0"/>
    <x v="1"/>
    <x v="1"/>
    <x v="17"/>
  </r>
  <r>
    <x v="924"/>
    <x v="13"/>
    <x v="920"/>
    <x v="8"/>
    <x v="6"/>
    <x v="4"/>
    <x v="0"/>
    <x v="333"/>
    <x v="9"/>
    <x v="340"/>
    <x v="0"/>
    <x v="191"/>
    <x v="8"/>
    <x v="37"/>
    <x v="954"/>
    <x v="91"/>
    <x v="365"/>
    <x v="3"/>
    <x v="8"/>
    <x v="537"/>
    <x v="0"/>
    <x v="8"/>
    <x v="0"/>
    <x v="1"/>
    <x v="2"/>
    <x v="17"/>
  </r>
  <r>
    <x v="147"/>
    <x v="0"/>
    <x v="804"/>
    <x v="6"/>
    <x v="5"/>
    <x v="4"/>
    <x v="0"/>
    <x v="80"/>
    <x v="9"/>
    <x v="317"/>
    <x v="0"/>
    <x v="170"/>
    <x v="8"/>
    <x v="56"/>
    <x v="631"/>
    <x v="172"/>
    <x v="105"/>
    <x v="6"/>
    <x v="11"/>
    <x v="536"/>
    <x v="1"/>
    <x v="8"/>
    <x v="0"/>
    <x v="1"/>
    <x v="0"/>
    <x v="17"/>
  </r>
  <r>
    <x v="198"/>
    <x v="1"/>
    <x v="393"/>
    <x v="3"/>
    <x v="4"/>
    <x v="4"/>
    <x v="0"/>
    <x v="19"/>
    <x v="9"/>
    <x v="101"/>
    <x v="0"/>
    <x v="60"/>
    <x v="8"/>
    <x v="32"/>
    <x v="434"/>
    <x v="637"/>
    <x v="475"/>
    <x v="6"/>
    <x v="20"/>
    <x v="535"/>
    <x v="0"/>
    <x v="8"/>
    <x v="0"/>
    <x v="1"/>
    <x v="0"/>
    <x v="17"/>
  </r>
  <r>
    <x v="785"/>
    <x v="8"/>
    <x v="969"/>
    <x v="7"/>
    <x v="5"/>
    <x v="4"/>
    <x v="0"/>
    <x v="282"/>
    <x v="9"/>
    <x v="344"/>
    <x v="0"/>
    <x v="42"/>
    <x v="8"/>
    <x v="302"/>
    <x v="562"/>
    <x v="209"/>
    <x v="394"/>
    <x v="5"/>
    <x v="10"/>
    <x v="534"/>
    <x v="0"/>
    <x v="8"/>
    <x v="0"/>
    <x v="1"/>
    <x v="1"/>
    <x v="17"/>
  </r>
  <r>
    <x v="870"/>
    <x v="11"/>
    <x v="150"/>
    <x v="8"/>
    <x v="6"/>
    <x v="4"/>
    <x v="0"/>
    <x v="319"/>
    <x v="9"/>
    <x v="326"/>
    <x v="0"/>
    <x v="169"/>
    <x v="8"/>
    <x v="136"/>
    <x v="630"/>
    <x v="171"/>
    <x v="148"/>
    <x v="6"/>
    <x v="11"/>
    <x v="533"/>
    <x v="0"/>
    <x v="8"/>
    <x v="0"/>
    <x v="1"/>
    <x v="2"/>
    <x v="17"/>
  </r>
  <r>
    <x v="888"/>
    <x v="11"/>
    <x v="983"/>
    <x v="8"/>
    <x v="4"/>
    <x v="4"/>
    <x v="0"/>
    <x v="259"/>
    <x v="9"/>
    <x v="314"/>
    <x v="0"/>
    <x v="7"/>
    <x v="8"/>
    <x v="111"/>
    <x v="635"/>
    <x v="581"/>
    <x v="441"/>
    <x v="6"/>
    <x v="56"/>
    <x v="532"/>
    <x v="0"/>
    <x v="8"/>
    <x v="0"/>
    <x v="1"/>
    <x v="2"/>
    <x v="17"/>
  </r>
  <r>
    <x v="789"/>
    <x v="8"/>
    <x v="883"/>
    <x v="5"/>
    <x v="4"/>
    <x v="4"/>
    <x v="0"/>
    <x v="222"/>
    <x v="9"/>
    <x v="175"/>
    <x v="0"/>
    <x v="175"/>
    <x v="8"/>
    <x v="111"/>
    <x v="649"/>
    <x v="158"/>
    <x v="368"/>
    <x v="6"/>
    <x v="56"/>
    <x v="531"/>
    <x v="0"/>
    <x v="8"/>
    <x v="0"/>
    <x v="1"/>
    <x v="1"/>
    <x v="17"/>
  </r>
  <r>
    <x v="190"/>
    <x v="1"/>
    <x v="859"/>
    <x v="4"/>
    <x v="4"/>
    <x v="4"/>
    <x v="0"/>
    <x v="22"/>
    <x v="9"/>
    <x v="228"/>
    <x v="0"/>
    <x v="33"/>
    <x v="8"/>
    <x v="232"/>
    <x v="567"/>
    <x v="585"/>
    <x v="470"/>
    <x v="6"/>
    <x v="20"/>
    <x v="530"/>
    <x v="0"/>
    <x v="8"/>
    <x v="0"/>
    <x v="1"/>
    <x v="0"/>
    <x v="17"/>
  </r>
  <r>
    <x v="900"/>
    <x v="12"/>
    <x v="458"/>
    <x v="7"/>
    <x v="3"/>
    <x v="4"/>
    <x v="0"/>
    <x v="198"/>
    <x v="9"/>
    <x v="341"/>
    <x v="0"/>
    <x v="29"/>
    <x v="8"/>
    <x v="373"/>
    <x v="928"/>
    <x v="726"/>
    <x v="357"/>
    <x v="6"/>
    <x v="56"/>
    <x v="529"/>
    <x v="0"/>
    <x v="8"/>
    <x v="0"/>
    <x v="1"/>
    <x v="2"/>
    <x v="17"/>
  </r>
  <r>
    <x v="2"/>
    <x v="0"/>
    <x v="910"/>
    <x v="5"/>
    <x v="5"/>
    <x v="4"/>
    <x v="0"/>
    <x v="3"/>
    <x v="9"/>
    <x v="274"/>
    <x v="0"/>
    <x v="16"/>
    <x v="8"/>
    <x v="152"/>
    <x v="446"/>
    <x v="793"/>
    <x v="204"/>
    <x v="6"/>
    <x v="35"/>
    <x v="528"/>
    <x v="0"/>
    <x v="8"/>
    <x v="0"/>
    <x v="1"/>
    <x v="0"/>
    <x v="17"/>
  </r>
  <r>
    <x v="285"/>
    <x v="1"/>
    <x v="900"/>
    <x v="4"/>
    <x v="4"/>
    <x v="4"/>
    <x v="0"/>
    <x v="19"/>
    <x v="9"/>
    <x v="248"/>
    <x v="0"/>
    <x v="44"/>
    <x v="8"/>
    <x v="274"/>
    <x v="179"/>
    <x v="51"/>
    <x v="297"/>
    <x v="6"/>
    <x v="47"/>
    <x v="527"/>
    <x v="0"/>
    <x v="8"/>
    <x v="0"/>
    <x v="1"/>
    <x v="0"/>
    <x v="17"/>
  </r>
  <r>
    <x v="412"/>
    <x v="2"/>
    <x v="692"/>
    <x v="0"/>
    <x v="6"/>
    <x v="4"/>
    <x v="0"/>
    <x v="31"/>
    <x v="9"/>
    <x v="143"/>
    <x v="0"/>
    <x v="41"/>
    <x v="8"/>
    <x v="49"/>
    <x v="517"/>
    <x v="638"/>
    <x v="254"/>
    <x v="6"/>
    <x v="20"/>
    <x v="526"/>
    <x v="0"/>
    <x v="8"/>
    <x v="0"/>
    <x v="1"/>
    <x v="0"/>
    <x v="17"/>
  </r>
  <r>
    <x v="448"/>
    <x v="3"/>
    <x v="559"/>
    <x v="6"/>
    <x v="4"/>
    <x v="4"/>
    <x v="0"/>
    <x v="67"/>
    <x v="9"/>
    <x v="284"/>
    <x v="0"/>
    <x v="22"/>
    <x v="8"/>
    <x v="319"/>
    <x v="415"/>
    <x v="740"/>
    <x v="222"/>
    <x v="6"/>
    <x v="35"/>
    <x v="525"/>
    <x v="0"/>
    <x v="8"/>
    <x v="0"/>
    <x v="1"/>
    <x v="0"/>
    <x v="17"/>
  </r>
  <r>
    <x v="364"/>
    <x v="2"/>
    <x v="558"/>
    <x v="0"/>
    <x v="6"/>
    <x v="4"/>
    <x v="0"/>
    <x v="31"/>
    <x v="9"/>
    <x v="243"/>
    <x v="0"/>
    <x v="129"/>
    <x v="8"/>
    <x v="120"/>
    <x v="57"/>
    <x v="261"/>
    <x v="137"/>
    <x v="5"/>
    <x v="9"/>
    <x v="524"/>
    <x v="0"/>
    <x v="8"/>
    <x v="0"/>
    <x v="1"/>
    <x v="0"/>
    <x v="17"/>
  </r>
  <r>
    <x v="665"/>
    <x v="5"/>
    <x v="374"/>
    <x v="7"/>
    <x v="6"/>
    <x v="4"/>
    <x v="0"/>
    <x v="225"/>
    <x v="9"/>
    <x v="213"/>
    <x v="0"/>
    <x v="243"/>
    <x v="8"/>
    <x v="32"/>
    <x v="769"/>
    <x v="108"/>
    <x v="402"/>
    <x v="3"/>
    <x v="26"/>
    <x v="523"/>
    <x v="0"/>
    <x v="8"/>
    <x v="0"/>
    <x v="1"/>
    <x v="1"/>
    <x v="17"/>
  </r>
  <r>
    <x v="84"/>
    <x v="0"/>
    <x v="344"/>
    <x v="7"/>
    <x v="5"/>
    <x v="4"/>
    <x v="0"/>
    <x v="273"/>
    <x v="9"/>
    <x v="286"/>
    <x v="0"/>
    <x v="217"/>
    <x v="6"/>
    <x v="72"/>
    <x v="707"/>
    <x v="121"/>
    <x v="121"/>
    <x v="3"/>
    <x v="26"/>
    <x v="522"/>
    <x v="0"/>
    <x v="6"/>
    <x v="0"/>
    <x v="1"/>
    <x v="0"/>
    <x v="17"/>
  </r>
  <r>
    <x v="973"/>
    <x v="19"/>
    <x v="343"/>
    <x v="9"/>
    <x v="5"/>
    <x v="0"/>
    <x v="0"/>
    <x v="281"/>
    <x v="9"/>
    <x v="129"/>
    <x v="0"/>
    <x v="36"/>
    <x v="7"/>
    <x v="99"/>
    <x v="548"/>
    <x v="416"/>
    <x v="321"/>
    <x v="6"/>
    <x v="56"/>
    <x v="521"/>
    <x v="1"/>
    <x v="7"/>
    <x v="0"/>
    <x v="1"/>
    <x v="3"/>
    <x v="17"/>
  </r>
  <r>
    <x v="980"/>
    <x v="22"/>
    <x v="342"/>
    <x v="9"/>
    <x v="6"/>
    <x v="3"/>
    <x v="0"/>
    <x v="345"/>
    <x v="7"/>
    <x v="230"/>
    <x v="0"/>
    <x v="52"/>
    <x v="5"/>
    <x v="72"/>
    <x v="570"/>
    <x v="420"/>
    <x v="321"/>
    <x v="6"/>
    <x v="56"/>
    <x v="520"/>
    <x v="1"/>
    <x v="5"/>
    <x v="0"/>
    <x v="1"/>
    <x v="3"/>
    <x v="17"/>
  </r>
  <r>
    <x v="702"/>
    <x v="6"/>
    <x v="817"/>
    <x v="7"/>
    <x v="6"/>
    <x v="4"/>
    <x v="0"/>
    <x v="313"/>
    <x v="9"/>
    <x v="262"/>
    <x v="0"/>
    <x v="39"/>
    <x v="8"/>
    <x v="150"/>
    <x v="48"/>
    <x v="238"/>
    <x v="99"/>
    <x v="5"/>
    <x v="9"/>
    <x v="519"/>
    <x v="0"/>
    <x v="8"/>
    <x v="0"/>
    <x v="1"/>
    <x v="1"/>
    <x v="17"/>
  </r>
  <r>
    <x v="171"/>
    <x v="1"/>
    <x v="689"/>
    <x v="6"/>
    <x v="5"/>
    <x v="4"/>
    <x v="0"/>
    <x v="47"/>
    <x v="9"/>
    <x v="300"/>
    <x v="0"/>
    <x v="6"/>
    <x v="8"/>
    <x v="257"/>
    <x v="379"/>
    <x v="731"/>
    <x v="177"/>
    <x v="6"/>
    <x v="35"/>
    <x v="518"/>
    <x v="0"/>
    <x v="8"/>
    <x v="0"/>
    <x v="1"/>
    <x v="0"/>
    <x v="17"/>
  </r>
  <r>
    <x v="835"/>
    <x v="9"/>
    <x v="660"/>
    <x v="9"/>
    <x v="7"/>
    <x v="4"/>
    <x v="0"/>
    <x v="335"/>
    <x v="9"/>
    <x v="313"/>
    <x v="0"/>
    <x v="179"/>
    <x v="8"/>
    <x v="72"/>
    <x v="693"/>
    <x v="131"/>
    <x v="414"/>
    <x v="3"/>
    <x v="26"/>
    <x v="517"/>
    <x v="0"/>
    <x v="8"/>
    <x v="0"/>
    <x v="1"/>
    <x v="1"/>
    <x v="17"/>
  </r>
  <r>
    <x v="379"/>
    <x v="2"/>
    <x v="847"/>
    <x v="7"/>
    <x v="6"/>
    <x v="4"/>
    <x v="0"/>
    <x v="138"/>
    <x v="9"/>
    <x v="283"/>
    <x v="0"/>
    <x v="27"/>
    <x v="8"/>
    <x v="26"/>
    <x v="941"/>
    <x v="434"/>
    <x v="417"/>
    <x v="1"/>
    <x v="39"/>
    <x v="516"/>
    <x v="0"/>
    <x v="8"/>
    <x v="0"/>
    <x v="1"/>
    <x v="0"/>
    <x v="17"/>
  </r>
  <r>
    <x v="360"/>
    <x v="2"/>
    <x v="161"/>
    <x v="9"/>
    <x v="6"/>
    <x v="4"/>
    <x v="0"/>
    <x v="318"/>
    <x v="9"/>
    <x v="272"/>
    <x v="0"/>
    <x v="12"/>
    <x v="8"/>
    <x v="22"/>
    <x v="629"/>
    <x v="544"/>
    <x v="169"/>
    <x v="6"/>
    <x v="38"/>
    <x v="515"/>
    <x v="0"/>
    <x v="8"/>
    <x v="0"/>
    <x v="1"/>
    <x v="0"/>
    <x v="17"/>
  </r>
  <r>
    <x v="688"/>
    <x v="6"/>
    <x v="35"/>
    <x v="5"/>
    <x v="4"/>
    <x v="4"/>
    <x v="0"/>
    <x v="112"/>
    <x v="9"/>
    <x v="273"/>
    <x v="0"/>
    <x v="17"/>
    <x v="8"/>
    <x v="92"/>
    <x v="190"/>
    <x v="912"/>
    <x v="360"/>
    <x v="6"/>
    <x v="56"/>
    <x v="514"/>
    <x v="0"/>
    <x v="8"/>
    <x v="0"/>
    <x v="1"/>
    <x v="1"/>
    <x v="17"/>
  </r>
  <r>
    <x v="781"/>
    <x v="7"/>
    <x v="287"/>
    <x v="4"/>
    <x v="3"/>
    <x v="4"/>
    <x v="0"/>
    <x v="141"/>
    <x v="9"/>
    <x v="193"/>
    <x v="0"/>
    <x v="55"/>
    <x v="8"/>
    <x v="65"/>
    <x v="573"/>
    <x v="422"/>
    <x v="321"/>
    <x v="6"/>
    <x v="56"/>
    <x v="513"/>
    <x v="1"/>
    <x v="8"/>
    <x v="0"/>
    <x v="1"/>
    <x v="1"/>
    <x v="17"/>
  </r>
  <r>
    <x v="252"/>
    <x v="1"/>
    <x v="889"/>
    <x v="0"/>
    <x v="6"/>
    <x v="4"/>
    <x v="0"/>
    <x v="14"/>
    <x v="9"/>
    <x v="257"/>
    <x v="0"/>
    <x v="59"/>
    <x v="8"/>
    <x v="44"/>
    <x v="942"/>
    <x v="431"/>
    <x v="417"/>
    <x v="1"/>
    <x v="39"/>
    <x v="512"/>
    <x v="0"/>
    <x v="8"/>
    <x v="0"/>
    <x v="1"/>
    <x v="0"/>
    <x v="16"/>
  </r>
  <r>
    <x v="705"/>
    <x v="6"/>
    <x v="473"/>
    <x v="6"/>
    <x v="5"/>
    <x v="4"/>
    <x v="0"/>
    <x v="139"/>
    <x v="9"/>
    <x v="221"/>
    <x v="0"/>
    <x v="8"/>
    <x v="8"/>
    <x v="275"/>
    <x v="335"/>
    <x v="736"/>
    <x v="493"/>
    <x v="6"/>
    <x v="35"/>
    <x v="511"/>
    <x v="0"/>
    <x v="8"/>
    <x v="0"/>
    <x v="1"/>
    <x v="1"/>
    <x v="16"/>
  </r>
  <r>
    <x v="109"/>
    <x v="0"/>
    <x v="367"/>
    <x v="8"/>
    <x v="6"/>
    <x v="4"/>
    <x v="0"/>
    <x v="302"/>
    <x v="9"/>
    <x v="276"/>
    <x v="0"/>
    <x v="182"/>
    <x v="8"/>
    <x v="194"/>
    <x v="704"/>
    <x v="127"/>
    <x v="314"/>
    <x v="3"/>
    <x v="26"/>
    <x v="510"/>
    <x v="0"/>
    <x v="8"/>
    <x v="0"/>
    <x v="1"/>
    <x v="0"/>
    <x v="16"/>
  </r>
  <r>
    <x v="574"/>
    <x v="4"/>
    <x v="919"/>
    <x v="6"/>
    <x v="6"/>
    <x v="4"/>
    <x v="0"/>
    <x v="148"/>
    <x v="9"/>
    <x v="213"/>
    <x v="0"/>
    <x v="199"/>
    <x v="8"/>
    <x v="94"/>
    <x v="239"/>
    <x v="210"/>
    <x v="415"/>
    <x v="5"/>
    <x v="37"/>
    <x v="509"/>
    <x v="0"/>
    <x v="8"/>
    <x v="0"/>
    <x v="1"/>
    <x v="0"/>
    <x v="16"/>
  </r>
  <r>
    <x v="707"/>
    <x v="6"/>
    <x v="772"/>
    <x v="9"/>
    <x v="8"/>
    <x v="4"/>
    <x v="0"/>
    <x v="255"/>
    <x v="9"/>
    <x v="318"/>
    <x v="0"/>
    <x v="77"/>
    <x v="8"/>
    <x v="59"/>
    <x v="875"/>
    <x v="364"/>
    <x v="486"/>
    <x v="1"/>
    <x v="49"/>
    <x v="508"/>
    <x v="0"/>
    <x v="8"/>
    <x v="0"/>
    <x v="1"/>
    <x v="1"/>
    <x v="16"/>
  </r>
  <r>
    <x v="79"/>
    <x v="0"/>
    <x v="466"/>
    <x v="3"/>
    <x v="5"/>
    <x v="4"/>
    <x v="0"/>
    <x v="5"/>
    <x v="9"/>
    <x v="181"/>
    <x v="0"/>
    <x v="22"/>
    <x v="8"/>
    <x v="140"/>
    <x v="365"/>
    <x v="744"/>
    <x v="126"/>
    <x v="6"/>
    <x v="35"/>
    <x v="507"/>
    <x v="0"/>
    <x v="8"/>
    <x v="0"/>
    <x v="1"/>
    <x v="0"/>
    <x v="16"/>
  </r>
  <r>
    <x v="579"/>
    <x v="4"/>
    <x v="605"/>
    <x v="8"/>
    <x v="7"/>
    <x v="4"/>
    <x v="0"/>
    <x v="321"/>
    <x v="9"/>
    <x v="151"/>
    <x v="0"/>
    <x v="25"/>
    <x v="8"/>
    <x v="178"/>
    <x v="756"/>
    <x v="410"/>
    <x v="253"/>
    <x v="1"/>
    <x v="19"/>
    <x v="506"/>
    <x v="0"/>
    <x v="8"/>
    <x v="0"/>
    <x v="1"/>
    <x v="0"/>
    <x v="16"/>
  </r>
  <r>
    <x v="420"/>
    <x v="2"/>
    <x v="538"/>
    <x v="5"/>
    <x v="4"/>
    <x v="4"/>
    <x v="0"/>
    <x v="50"/>
    <x v="9"/>
    <x v="311"/>
    <x v="0"/>
    <x v="10"/>
    <x v="7"/>
    <x v="122"/>
    <x v="891"/>
    <x v="702"/>
    <x v="274"/>
    <x v="6"/>
    <x v="56"/>
    <x v="505"/>
    <x v="0"/>
    <x v="7"/>
    <x v="0"/>
    <x v="1"/>
    <x v="0"/>
    <x v="16"/>
  </r>
  <r>
    <x v="402"/>
    <x v="2"/>
    <x v="149"/>
    <x v="5"/>
    <x v="5"/>
    <x v="4"/>
    <x v="0"/>
    <x v="186"/>
    <x v="9"/>
    <x v="197"/>
    <x v="0"/>
    <x v="40"/>
    <x v="8"/>
    <x v="231"/>
    <x v="579"/>
    <x v="447"/>
    <x v="176"/>
    <x v="6"/>
    <x v="20"/>
    <x v="504"/>
    <x v="0"/>
    <x v="8"/>
    <x v="0"/>
    <x v="1"/>
    <x v="0"/>
    <x v="16"/>
  </r>
  <r>
    <x v="628"/>
    <x v="5"/>
    <x v="96"/>
    <x v="7"/>
    <x v="4"/>
    <x v="4"/>
    <x v="0"/>
    <x v="91"/>
    <x v="9"/>
    <x v="168"/>
    <x v="0"/>
    <x v="40"/>
    <x v="8"/>
    <x v="312"/>
    <x v="150"/>
    <x v="954"/>
    <x v="161"/>
    <x v="6"/>
    <x v="56"/>
    <x v="503"/>
    <x v="0"/>
    <x v="8"/>
    <x v="0"/>
    <x v="1"/>
    <x v="1"/>
    <x v="16"/>
  </r>
  <r>
    <x v="663"/>
    <x v="5"/>
    <x v="795"/>
    <x v="6"/>
    <x v="5"/>
    <x v="4"/>
    <x v="0"/>
    <x v="184"/>
    <x v="9"/>
    <x v="210"/>
    <x v="0"/>
    <x v="129"/>
    <x v="8"/>
    <x v="286"/>
    <x v="332"/>
    <x v="218"/>
    <x v="100"/>
    <x v="5"/>
    <x v="37"/>
    <x v="502"/>
    <x v="0"/>
    <x v="8"/>
    <x v="0"/>
    <x v="1"/>
    <x v="1"/>
    <x v="16"/>
  </r>
  <r>
    <x v="724"/>
    <x v="6"/>
    <x v="672"/>
    <x v="5"/>
    <x v="5"/>
    <x v="4"/>
    <x v="0"/>
    <x v="109"/>
    <x v="9"/>
    <x v="267"/>
    <x v="0"/>
    <x v="19"/>
    <x v="8"/>
    <x v="111"/>
    <x v="184"/>
    <x v="940"/>
    <x v="360"/>
    <x v="6"/>
    <x v="56"/>
    <x v="501"/>
    <x v="0"/>
    <x v="8"/>
    <x v="0"/>
    <x v="1"/>
    <x v="1"/>
    <x v="16"/>
  </r>
  <r>
    <x v="110"/>
    <x v="0"/>
    <x v="671"/>
    <x v="0"/>
    <x v="4"/>
    <x v="4"/>
    <x v="0"/>
    <x v="0"/>
    <x v="9"/>
    <x v="117"/>
    <x v="0"/>
    <x v="37"/>
    <x v="7"/>
    <x v="136"/>
    <x v="185"/>
    <x v="938"/>
    <x v="360"/>
    <x v="6"/>
    <x v="56"/>
    <x v="500"/>
    <x v="0"/>
    <x v="7"/>
    <x v="0"/>
    <x v="1"/>
    <x v="0"/>
    <x v="16"/>
  </r>
  <r>
    <x v="770"/>
    <x v="7"/>
    <x v="670"/>
    <x v="8"/>
    <x v="5"/>
    <x v="4"/>
    <x v="0"/>
    <x v="126"/>
    <x v="9"/>
    <x v="95"/>
    <x v="0"/>
    <x v="66"/>
    <x v="8"/>
    <x v="127"/>
    <x v="182"/>
    <x v="937"/>
    <x v="360"/>
    <x v="6"/>
    <x v="56"/>
    <x v="499"/>
    <x v="0"/>
    <x v="8"/>
    <x v="0"/>
    <x v="1"/>
    <x v="1"/>
    <x v="16"/>
  </r>
  <r>
    <x v="167"/>
    <x v="1"/>
    <x v="981"/>
    <x v="3"/>
    <x v="5"/>
    <x v="4"/>
    <x v="0"/>
    <x v="18"/>
    <x v="9"/>
    <x v="71"/>
    <x v="0"/>
    <x v="52"/>
    <x v="8"/>
    <x v="20"/>
    <x v="482"/>
    <x v="723"/>
    <x v="23"/>
    <x v="6"/>
    <x v="35"/>
    <x v="498"/>
    <x v="0"/>
    <x v="8"/>
    <x v="0"/>
    <x v="1"/>
    <x v="0"/>
    <x v="16"/>
  </r>
  <r>
    <x v="892"/>
    <x v="11"/>
    <x v="175"/>
    <x v="3"/>
    <x v="6"/>
    <x v="4"/>
    <x v="0"/>
    <x v="173"/>
    <x v="9"/>
    <x v="268"/>
    <x v="0"/>
    <x v="164"/>
    <x v="8"/>
    <x v="56"/>
    <x v="83"/>
    <x v="43"/>
    <x v="192"/>
    <x v="6"/>
    <x v="56"/>
    <x v="497"/>
    <x v="1"/>
    <x v="8"/>
    <x v="0"/>
    <x v="1"/>
    <x v="2"/>
    <x v="16"/>
  </r>
  <r>
    <x v="383"/>
    <x v="2"/>
    <x v="730"/>
    <x v="6"/>
    <x v="5"/>
    <x v="4"/>
    <x v="0"/>
    <x v="82"/>
    <x v="9"/>
    <x v="280"/>
    <x v="0"/>
    <x v="114"/>
    <x v="8"/>
    <x v="130"/>
    <x v="887"/>
    <x v="688"/>
    <x v="274"/>
    <x v="1"/>
    <x v="23"/>
    <x v="496"/>
    <x v="0"/>
    <x v="8"/>
    <x v="0"/>
    <x v="1"/>
    <x v="0"/>
    <x v="16"/>
  </r>
  <r>
    <x v="440"/>
    <x v="3"/>
    <x v="299"/>
    <x v="4"/>
    <x v="4"/>
    <x v="4"/>
    <x v="0"/>
    <x v="69"/>
    <x v="9"/>
    <x v="244"/>
    <x v="0"/>
    <x v="21"/>
    <x v="8"/>
    <x v="22"/>
    <x v="158"/>
    <x v="941"/>
    <x v="494"/>
    <x v="6"/>
    <x v="56"/>
    <x v="495"/>
    <x v="0"/>
    <x v="8"/>
    <x v="0"/>
    <x v="1"/>
    <x v="0"/>
    <x v="16"/>
  </r>
  <r>
    <x v="508"/>
    <x v="3"/>
    <x v="755"/>
    <x v="5"/>
    <x v="5"/>
    <x v="4"/>
    <x v="0"/>
    <x v="57"/>
    <x v="9"/>
    <x v="195"/>
    <x v="0"/>
    <x v="25"/>
    <x v="8"/>
    <x v="221"/>
    <x v="295"/>
    <x v="855"/>
    <x v="199"/>
    <x v="6"/>
    <x v="42"/>
    <x v="494"/>
    <x v="0"/>
    <x v="8"/>
    <x v="0"/>
    <x v="1"/>
    <x v="0"/>
    <x v="16"/>
  </r>
  <r>
    <x v="200"/>
    <x v="1"/>
    <x v="341"/>
    <x v="7"/>
    <x v="6"/>
    <x v="4"/>
    <x v="0"/>
    <x v="130"/>
    <x v="9"/>
    <x v="279"/>
    <x v="0"/>
    <x v="6"/>
    <x v="8"/>
    <x v="22"/>
    <x v="837"/>
    <x v="666"/>
    <x v="163"/>
    <x v="1"/>
    <x v="23"/>
    <x v="493"/>
    <x v="0"/>
    <x v="8"/>
    <x v="0"/>
    <x v="1"/>
    <x v="0"/>
    <x v="16"/>
  </r>
  <r>
    <x v="709"/>
    <x v="6"/>
    <x v="198"/>
    <x v="8"/>
    <x v="7"/>
    <x v="4"/>
    <x v="0"/>
    <x v="258"/>
    <x v="9"/>
    <x v="196"/>
    <x v="0"/>
    <x v="60"/>
    <x v="8"/>
    <x v="154"/>
    <x v="867"/>
    <x v="678"/>
    <x v="164"/>
    <x v="1"/>
    <x v="23"/>
    <x v="492"/>
    <x v="0"/>
    <x v="8"/>
    <x v="0"/>
    <x v="1"/>
    <x v="1"/>
    <x v="16"/>
  </r>
  <r>
    <x v="276"/>
    <x v="1"/>
    <x v="197"/>
    <x v="7"/>
    <x v="5"/>
    <x v="4"/>
    <x v="0"/>
    <x v="175"/>
    <x v="9"/>
    <x v="243"/>
    <x v="0"/>
    <x v="176"/>
    <x v="8"/>
    <x v="298"/>
    <x v="699"/>
    <x v="138"/>
    <x v="143"/>
    <x v="6"/>
    <x v="26"/>
    <x v="491"/>
    <x v="0"/>
    <x v="8"/>
    <x v="0"/>
    <x v="1"/>
    <x v="0"/>
    <x v="16"/>
  </r>
  <r>
    <x v="567"/>
    <x v="4"/>
    <x v="782"/>
    <x v="7"/>
    <x v="8"/>
    <x v="4"/>
    <x v="0"/>
    <x v="269"/>
    <x v="9"/>
    <x v="125"/>
    <x v="0"/>
    <x v="64"/>
    <x v="8"/>
    <x v="9"/>
    <x v="726"/>
    <x v="460"/>
    <x v="447"/>
    <x v="1"/>
    <x v="29"/>
    <x v="490"/>
    <x v="0"/>
    <x v="8"/>
    <x v="0"/>
    <x v="1"/>
    <x v="0"/>
    <x v="16"/>
  </r>
  <r>
    <x v="260"/>
    <x v="1"/>
    <x v="339"/>
    <x v="6"/>
    <x v="4"/>
    <x v="4"/>
    <x v="0"/>
    <x v="17"/>
    <x v="9"/>
    <x v="312"/>
    <x v="0"/>
    <x v="4"/>
    <x v="4"/>
    <x v="102"/>
    <x v="880"/>
    <x v="695"/>
    <x v="3"/>
    <x v="6"/>
    <x v="56"/>
    <x v="489"/>
    <x v="0"/>
    <x v="4"/>
    <x v="0"/>
    <x v="1"/>
    <x v="0"/>
    <x v="16"/>
  </r>
  <r>
    <x v="126"/>
    <x v="0"/>
    <x v="338"/>
    <x v="0"/>
    <x v="3"/>
    <x v="4"/>
    <x v="0"/>
    <x v="0"/>
    <x v="9"/>
    <x v="142"/>
    <x v="0"/>
    <x v="69"/>
    <x v="0"/>
    <x v="6"/>
    <x v="820"/>
    <x v="675"/>
    <x v="140"/>
    <x v="6"/>
    <x v="56"/>
    <x v="488"/>
    <x v="0"/>
    <x v="0"/>
    <x v="0"/>
    <x v="1"/>
    <x v="0"/>
    <x v="16"/>
  </r>
  <r>
    <x v="907"/>
    <x v="12"/>
    <x v="337"/>
    <x v="7"/>
    <x v="3"/>
    <x v="4"/>
    <x v="0"/>
    <x v="193"/>
    <x v="9"/>
    <x v="237"/>
    <x v="0"/>
    <x v="9"/>
    <x v="7"/>
    <x v="62"/>
    <x v="861"/>
    <x v="720"/>
    <x v="180"/>
    <x v="6"/>
    <x v="56"/>
    <x v="487"/>
    <x v="0"/>
    <x v="7"/>
    <x v="0"/>
    <x v="1"/>
    <x v="2"/>
    <x v="16"/>
  </r>
  <r>
    <x v="945"/>
    <x v="14"/>
    <x v="336"/>
    <x v="8"/>
    <x v="6"/>
    <x v="4"/>
    <x v="0"/>
    <x v="263"/>
    <x v="9"/>
    <x v="56"/>
    <x v="0"/>
    <x v="206"/>
    <x v="7"/>
    <x v="155"/>
    <x v="821"/>
    <x v="670"/>
    <x v="1"/>
    <x v="6"/>
    <x v="56"/>
    <x v="486"/>
    <x v="0"/>
    <x v="7"/>
    <x v="0"/>
    <x v="1"/>
    <x v="2"/>
    <x v="16"/>
  </r>
  <r>
    <x v="983"/>
    <x v="24"/>
    <x v="335"/>
    <x v="9"/>
    <x v="7"/>
    <x v="4"/>
    <x v="0"/>
    <x v="348"/>
    <x v="7"/>
    <x v="254"/>
    <x v="0"/>
    <x v="4"/>
    <x v="8"/>
    <x v="120"/>
    <x v="868"/>
    <x v="691"/>
    <x v="7"/>
    <x v="6"/>
    <x v="56"/>
    <x v="485"/>
    <x v="1"/>
    <x v="8"/>
    <x v="0"/>
    <x v="1"/>
    <x v="3"/>
    <x v="16"/>
  </r>
  <r>
    <x v="787"/>
    <x v="8"/>
    <x v="257"/>
    <x v="5"/>
    <x v="4"/>
    <x v="4"/>
    <x v="0"/>
    <x v="213"/>
    <x v="9"/>
    <x v="259"/>
    <x v="0"/>
    <x v="57"/>
    <x v="8"/>
    <x v="127"/>
    <x v="871"/>
    <x v="705"/>
    <x v="2"/>
    <x v="6"/>
    <x v="56"/>
    <x v="484"/>
    <x v="0"/>
    <x v="8"/>
    <x v="0"/>
    <x v="1"/>
    <x v="1"/>
    <x v="16"/>
  </r>
  <r>
    <x v="381"/>
    <x v="2"/>
    <x v="440"/>
    <x v="5"/>
    <x v="5"/>
    <x v="4"/>
    <x v="0"/>
    <x v="66"/>
    <x v="9"/>
    <x v="138"/>
    <x v="0"/>
    <x v="167"/>
    <x v="8"/>
    <x v="79"/>
    <x v="47"/>
    <x v="234"/>
    <x v="99"/>
    <x v="6"/>
    <x v="56"/>
    <x v="483"/>
    <x v="0"/>
    <x v="8"/>
    <x v="0"/>
    <x v="1"/>
    <x v="0"/>
    <x v="16"/>
  </r>
  <r>
    <x v="555"/>
    <x v="4"/>
    <x v="329"/>
    <x v="7"/>
    <x v="6"/>
    <x v="4"/>
    <x v="0"/>
    <x v="220"/>
    <x v="9"/>
    <x v="150"/>
    <x v="0"/>
    <x v="171"/>
    <x v="8"/>
    <x v="103"/>
    <x v="43"/>
    <x v="232"/>
    <x v="472"/>
    <x v="5"/>
    <x v="9"/>
    <x v="482"/>
    <x v="0"/>
    <x v="8"/>
    <x v="0"/>
    <x v="1"/>
    <x v="0"/>
    <x v="16"/>
  </r>
  <r>
    <x v="763"/>
    <x v="7"/>
    <x v="585"/>
    <x v="7"/>
    <x v="6"/>
    <x v="4"/>
    <x v="0"/>
    <x v="309"/>
    <x v="9"/>
    <x v="145"/>
    <x v="0"/>
    <x v="118"/>
    <x v="8"/>
    <x v="212"/>
    <x v="770"/>
    <x v="377"/>
    <x v="108"/>
    <x v="1"/>
    <x v="33"/>
    <x v="481"/>
    <x v="0"/>
    <x v="8"/>
    <x v="0"/>
    <x v="1"/>
    <x v="1"/>
    <x v="16"/>
  </r>
  <r>
    <x v="623"/>
    <x v="5"/>
    <x v="403"/>
    <x v="2"/>
    <x v="4"/>
    <x v="4"/>
    <x v="0"/>
    <x v="85"/>
    <x v="9"/>
    <x v="276"/>
    <x v="0"/>
    <x v="26"/>
    <x v="8"/>
    <x v="16"/>
    <x v="152"/>
    <x v="942"/>
    <x v="448"/>
    <x v="6"/>
    <x v="56"/>
    <x v="480"/>
    <x v="0"/>
    <x v="8"/>
    <x v="0"/>
    <x v="1"/>
    <x v="1"/>
    <x v="16"/>
  </r>
  <r>
    <x v="760"/>
    <x v="7"/>
    <x v="34"/>
    <x v="8"/>
    <x v="6"/>
    <x v="4"/>
    <x v="0"/>
    <x v="246"/>
    <x v="9"/>
    <x v="160"/>
    <x v="0"/>
    <x v="148"/>
    <x v="8"/>
    <x v="94"/>
    <x v="34"/>
    <x v="228"/>
    <x v="83"/>
    <x v="5"/>
    <x v="9"/>
    <x v="479"/>
    <x v="0"/>
    <x v="8"/>
    <x v="0"/>
    <x v="1"/>
    <x v="1"/>
    <x v="16"/>
  </r>
  <r>
    <x v="792"/>
    <x v="8"/>
    <x v="842"/>
    <x v="0"/>
    <x v="4"/>
    <x v="4"/>
    <x v="0"/>
    <x v="129"/>
    <x v="9"/>
    <x v="169"/>
    <x v="0"/>
    <x v="17"/>
    <x v="7"/>
    <x v="49"/>
    <x v="168"/>
    <x v="932"/>
    <x v="161"/>
    <x v="6"/>
    <x v="56"/>
    <x v="478"/>
    <x v="0"/>
    <x v="7"/>
    <x v="0"/>
    <x v="1"/>
    <x v="1"/>
    <x v="15"/>
  </r>
  <r>
    <x v="324"/>
    <x v="2"/>
    <x v="681"/>
    <x v="3"/>
    <x v="6"/>
    <x v="4"/>
    <x v="0"/>
    <x v="46"/>
    <x v="9"/>
    <x v="94"/>
    <x v="0"/>
    <x v="111"/>
    <x v="7"/>
    <x v="26"/>
    <x v="768"/>
    <x v="374"/>
    <x v="43"/>
    <x v="1"/>
    <x v="21"/>
    <x v="477"/>
    <x v="0"/>
    <x v="7"/>
    <x v="0"/>
    <x v="1"/>
    <x v="0"/>
    <x v="15"/>
  </r>
  <r>
    <x v="263"/>
    <x v="1"/>
    <x v="62"/>
    <x v="0"/>
    <x v="5"/>
    <x v="4"/>
    <x v="0"/>
    <x v="14"/>
    <x v="9"/>
    <x v="108"/>
    <x v="0"/>
    <x v="67"/>
    <x v="6"/>
    <x v="130"/>
    <x v="388"/>
    <x v="756"/>
    <x v="182"/>
    <x v="6"/>
    <x v="35"/>
    <x v="476"/>
    <x v="0"/>
    <x v="6"/>
    <x v="0"/>
    <x v="1"/>
    <x v="0"/>
    <x v="15"/>
  </r>
  <r>
    <x v="925"/>
    <x v="13"/>
    <x v="830"/>
    <x v="4"/>
    <x v="6"/>
    <x v="4"/>
    <x v="0"/>
    <x v="201"/>
    <x v="9"/>
    <x v="149"/>
    <x v="0"/>
    <x v="103"/>
    <x v="7"/>
    <x v="73"/>
    <x v="484"/>
    <x v="465"/>
    <x v="445"/>
    <x v="6"/>
    <x v="56"/>
    <x v="475"/>
    <x v="0"/>
    <x v="7"/>
    <x v="0"/>
    <x v="1"/>
    <x v="2"/>
    <x v="15"/>
  </r>
  <r>
    <x v="418"/>
    <x v="2"/>
    <x v="710"/>
    <x v="5"/>
    <x v="4"/>
    <x v="4"/>
    <x v="0"/>
    <x v="101"/>
    <x v="9"/>
    <x v="135"/>
    <x v="0"/>
    <x v="211"/>
    <x v="7"/>
    <x v="32"/>
    <x v="746"/>
    <x v="114"/>
    <x v="122"/>
    <x v="6"/>
    <x v="56"/>
    <x v="474"/>
    <x v="0"/>
    <x v="7"/>
    <x v="0"/>
    <x v="1"/>
    <x v="0"/>
    <x v="15"/>
  </r>
  <r>
    <x v="679"/>
    <x v="5"/>
    <x v="942"/>
    <x v="8"/>
    <x v="4"/>
    <x v="4"/>
    <x v="0"/>
    <x v="98"/>
    <x v="9"/>
    <x v="90"/>
    <x v="0"/>
    <x v="38"/>
    <x v="7"/>
    <x v="103"/>
    <x v="431"/>
    <x v="635"/>
    <x v="343"/>
    <x v="6"/>
    <x v="20"/>
    <x v="473"/>
    <x v="1"/>
    <x v="7"/>
    <x v="0"/>
    <x v="1"/>
    <x v="1"/>
    <x v="15"/>
  </r>
  <r>
    <x v="635"/>
    <x v="5"/>
    <x v="95"/>
    <x v="8"/>
    <x v="7"/>
    <x v="4"/>
    <x v="0"/>
    <x v="284"/>
    <x v="9"/>
    <x v="139"/>
    <x v="0"/>
    <x v="45"/>
    <x v="7"/>
    <x v="26"/>
    <x v="24"/>
    <x v="967"/>
    <x v="268"/>
    <x v="6"/>
    <x v="31"/>
    <x v="472"/>
    <x v="0"/>
    <x v="7"/>
    <x v="0"/>
    <x v="1"/>
    <x v="1"/>
    <x v="15"/>
  </r>
  <r>
    <x v="734"/>
    <x v="6"/>
    <x v="385"/>
    <x v="6"/>
    <x v="4"/>
    <x v="4"/>
    <x v="0"/>
    <x v="200"/>
    <x v="9"/>
    <x v="313"/>
    <x v="0"/>
    <x v="20"/>
    <x v="7"/>
    <x v="327"/>
    <x v="521"/>
    <x v="200"/>
    <x v="115"/>
    <x v="5"/>
    <x v="12"/>
    <x v="471"/>
    <x v="1"/>
    <x v="7"/>
    <x v="0"/>
    <x v="1"/>
    <x v="1"/>
    <x v="15"/>
  </r>
  <r>
    <x v="804"/>
    <x v="8"/>
    <x v="310"/>
    <x v="7"/>
    <x v="6"/>
    <x v="4"/>
    <x v="0"/>
    <x v="151"/>
    <x v="9"/>
    <x v="167"/>
    <x v="0"/>
    <x v="79"/>
    <x v="7"/>
    <x v="98"/>
    <x v="196"/>
    <x v="936"/>
    <x v="360"/>
    <x v="6"/>
    <x v="54"/>
    <x v="470"/>
    <x v="0"/>
    <x v="7"/>
    <x v="0"/>
    <x v="1"/>
    <x v="1"/>
    <x v="15"/>
  </r>
  <r>
    <x v="668"/>
    <x v="5"/>
    <x v="121"/>
    <x v="4"/>
    <x v="5"/>
    <x v="4"/>
    <x v="0"/>
    <x v="87"/>
    <x v="9"/>
    <x v="159"/>
    <x v="0"/>
    <x v="23"/>
    <x v="8"/>
    <x v="163"/>
    <x v="401"/>
    <x v="760"/>
    <x v="197"/>
    <x v="6"/>
    <x v="35"/>
    <x v="469"/>
    <x v="0"/>
    <x v="8"/>
    <x v="0"/>
    <x v="1"/>
    <x v="1"/>
    <x v="15"/>
  </r>
  <r>
    <x v="17"/>
    <x v="0"/>
    <x v="120"/>
    <x v="5"/>
    <x v="3"/>
    <x v="4"/>
    <x v="0"/>
    <x v="8"/>
    <x v="9"/>
    <x v="166"/>
    <x v="0"/>
    <x v="12"/>
    <x v="7"/>
    <x v="332"/>
    <x v="413"/>
    <x v="737"/>
    <x v="248"/>
    <x v="6"/>
    <x v="35"/>
    <x v="468"/>
    <x v="0"/>
    <x v="7"/>
    <x v="0"/>
    <x v="1"/>
    <x v="0"/>
    <x v="15"/>
  </r>
  <r>
    <x v="883"/>
    <x v="11"/>
    <x v="767"/>
    <x v="5"/>
    <x v="2"/>
    <x v="4"/>
    <x v="0"/>
    <x v="177"/>
    <x v="9"/>
    <x v="128"/>
    <x v="0"/>
    <x v="38"/>
    <x v="7"/>
    <x v="371"/>
    <x v="602"/>
    <x v="546"/>
    <x v="48"/>
    <x v="6"/>
    <x v="38"/>
    <x v="467"/>
    <x v="0"/>
    <x v="7"/>
    <x v="0"/>
    <x v="1"/>
    <x v="2"/>
    <x v="15"/>
  </r>
  <r>
    <x v="817"/>
    <x v="8"/>
    <x v="599"/>
    <x v="8"/>
    <x v="6"/>
    <x v="4"/>
    <x v="0"/>
    <x v="136"/>
    <x v="9"/>
    <x v="160"/>
    <x v="0"/>
    <x v="64"/>
    <x v="7"/>
    <x v="136"/>
    <x v="392"/>
    <x v="759"/>
    <x v="302"/>
    <x v="6"/>
    <x v="35"/>
    <x v="466"/>
    <x v="1"/>
    <x v="7"/>
    <x v="0"/>
    <x v="1"/>
    <x v="1"/>
    <x v="15"/>
  </r>
  <r>
    <x v="582"/>
    <x v="4"/>
    <x v="598"/>
    <x v="4"/>
    <x v="6"/>
    <x v="4"/>
    <x v="0"/>
    <x v="72"/>
    <x v="9"/>
    <x v="200"/>
    <x v="0"/>
    <x v="44"/>
    <x v="7"/>
    <x v="111"/>
    <x v="391"/>
    <x v="758"/>
    <x v="197"/>
    <x v="6"/>
    <x v="35"/>
    <x v="465"/>
    <x v="0"/>
    <x v="7"/>
    <x v="0"/>
    <x v="1"/>
    <x v="0"/>
    <x v="15"/>
  </r>
  <r>
    <x v="235"/>
    <x v="1"/>
    <x v="453"/>
    <x v="6"/>
    <x v="6"/>
    <x v="4"/>
    <x v="0"/>
    <x v="83"/>
    <x v="9"/>
    <x v="104"/>
    <x v="0"/>
    <x v="213"/>
    <x v="7"/>
    <x v="82"/>
    <x v="36"/>
    <x v="229"/>
    <x v="81"/>
    <x v="5"/>
    <x v="9"/>
    <x v="464"/>
    <x v="0"/>
    <x v="7"/>
    <x v="0"/>
    <x v="1"/>
    <x v="0"/>
    <x v="15"/>
  </r>
  <r>
    <x v="394"/>
    <x v="2"/>
    <x v="856"/>
    <x v="5"/>
    <x v="5"/>
    <x v="4"/>
    <x v="0"/>
    <x v="35"/>
    <x v="9"/>
    <x v="158"/>
    <x v="0"/>
    <x v="69"/>
    <x v="7"/>
    <x v="136"/>
    <x v="290"/>
    <x v="861"/>
    <x v="199"/>
    <x v="6"/>
    <x v="42"/>
    <x v="463"/>
    <x v="0"/>
    <x v="7"/>
    <x v="0"/>
    <x v="1"/>
    <x v="0"/>
    <x v="15"/>
  </r>
  <r>
    <x v="188"/>
    <x v="1"/>
    <x v="521"/>
    <x v="0"/>
    <x v="6"/>
    <x v="4"/>
    <x v="0"/>
    <x v="14"/>
    <x v="9"/>
    <x v="110"/>
    <x v="0"/>
    <x v="115"/>
    <x v="7"/>
    <x v="21"/>
    <x v="502"/>
    <x v="647"/>
    <x v="60"/>
    <x v="6"/>
    <x v="20"/>
    <x v="462"/>
    <x v="0"/>
    <x v="7"/>
    <x v="0"/>
    <x v="1"/>
    <x v="0"/>
    <x v="15"/>
  </r>
  <r>
    <x v="625"/>
    <x v="5"/>
    <x v="520"/>
    <x v="3"/>
    <x v="6"/>
    <x v="4"/>
    <x v="0"/>
    <x v="85"/>
    <x v="9"/>
    <x v="109"/>
    <x v="0"/>
    <x v="63"/>
    <x v="7"/>
    <x v="59"/>
    <x v="506"/>
    <x v="648"/>
    <x v="60"/>
    <x v="6"/>
    <x v="20"/>
    <x v="461"/>
    <x v="0"/>
    <x v="7"/>
    <x v="0"/>
    <x v="1"/>
    <x v="1"/>
    <x v="15"/>
  </r>
  <r>
    <x v="866"/>
    <x v="10"/>
    <x v="383"/>
    <x v="6"/>
    <x v="4"/>
    <x v="4"/>
    <x v="0"/>
    <x v="264"/>
    <x v="9"/>
    <x v="240"/>
    <x v="0"/>
    <x v="68"/>
    <x v="7"/>
    <x v="136"/>
    <x v="615"/>
    <x v="413"/>
    <x v="305"/>
    <x v="6"/>
    <x v="56"/>
    <x v="460"/>
    <x v="1"/>
    <x v="7"/>
    <x v="0"/>
    <x v="1"/>
    <x v="2"/>
    <x v="15"/>
  </r>
  <r>
    <x v="742"/>
    <x v="7"/>
    <x v="878"/>
    <x v="5"/>
    <x v="5"/>
    <x v="4"/>
    <x v="0"/>
    <x v="120"/>
    <x v="9"/>
    <x v="121"/>
    <x v="0"/>
    <x v="16"/>
    <x v="7"/>
    <x v="124"/>
    <x v="248"/>
    <x v="900"/>
    <x v="433"/>
    <x v="6"/>
    <x v="54"/>
    <x v="459"/>
    <x v="0"/>
    <x v="7"/>
    <x v="0"/>
    <x v="1"/>
    <x v="1"/>
    <x v="15"/>
  </r>
  <r>
    <x v="761"/>
    <x v="7"/>
    <x v="261"/>
    <x v="5"/>
    <x v="5"/>
    <x v="4"/>
    <x v="0"/>
    <x v="188"/>
    <x v="9"/>
    <x v="292"/>
    <x v="0"/>
    <x v="83"/>
    <x v="7"/>
    <x v="141"/>
    <x v="582"/>
    <x v="435"/>
    <x v="269"/>
    <x v="6"/>
    <x v="20"/>
    <x v="458"/>
    <x v="0"/>
    <x v="7"/>
    <x v="0"/>
    <x v="1"/>
    <x v="1"/>
    <x v="15"/>
  </r>
  <r>
    <x v="559"/>
    <x v="4"/>
    <x v="410"/>
    <x v="6"/>
    <x v="8"/>
    <x v="4"/>
    <x v="0"/>
    <x v="99"/>
    <x v="9"/>
    <x v="170"/>
    <x v="0"/>
    <x v="36"/>
    <x v="7"/>
    <x v="56"/>
    <x v="792"/>
    <x v="438"/>
    <x v="378"/>
    <x v="1"/>
    <x v="36"/>
    <x v="457"/>
    <x v="0"/>
    <x v="7"/>
    <x v="0"/>
    <x v="1"/>
    <x v="0"/>
    <x v="15"/>
  </r>
  <r>
    <x v="600"/>
    <x v="4"/>
    <x v="340"/>
    <x v="4"/>
    <x v="4"/>
    <x v="4"/>
    <x v="0"/>
    <x v="75"/>
    <x v="9"/>
    <x v="162"/>
    <x v="0"/>
    <x v="18"/>
    <x v="7"/>
    <x v="79"/>
    <x v="280"/>
    <x v="853"/>
    <x v="199"/>
    <x v="6"/>
    <x v="56"/>
    <x v="456"/>
    <x v="0"/>
    <x v="7"/>
    <x v="0"/>
    <x v="1"/>
    <x v="0"/>
    <x v="15"/>
  </r>
  <r>
    <x v="930"/>
    <x v="13"/>
    <x v="169"/>
    <x v="0"/>
    <x v="6"/>
    <x v="4"/>
    <x v="0"/>
    <x v="197"/>
    <x v="9"/>
    <x v="135"/>
    <x v="0"/>
    <x v="73"/>
    <x v="7"/>
    <x v="124"/>
    <x v="572"/>
    <x v="442"/>
    <x v="429"/>
    <x v="6"/>
    <x v="20"/>
    <x v="455"/>
    <x v="0"/>
    <x v="7"/>
    <x v="0"/>
    <x v="1"/>
    <x v="2"/>
    <x v="15"/>
  </r>
  <r>
    <x v="746"/>
    <x v="7"/>
    <x v="111"/>
    <x v="9"/>
    <x v="8"/>
    <x v="2"/>
    <x v="0"/>
    <x v="355"/>
    <x v="2"/>
    <x v="1"/>
    <x v="43"/>
    <x v="258"/>
    <x v="5"/>
    <x v="19"/>
    <x v="788"/>
    <x v="106"/>
    <x v="110"/>
    <x v="3"/>
    <x v="26"/>
    <x v="454"/>
    <x v="0"/>
    <x v="5"/>
    <x v="0"/>
    <x v="1"/>
    <x v="1"/>
    <x v="15"/>
  </r>
  <r>
    <x v="214"/>
    <x v="1"/>
    <x v="954"/>
    <x v="5"/>
    <x v="5"/>
    <x v="4"/>
    <x v="0"/>
    <x v="39"/>
    <x v="9"/>
    <x v="173"/>
    <x v="0"/>
    <x v="53"/>
    <x v="7"/>
    <x v="134"/>
    <x v="663"/>
    <x v="417"/>
    <x v="44"/>
    <x v="6"/>
    <x v="19"/>
    <x v="453"/>
    <x v="0"/>
    <x v="7"/>
    <x v="0"/>
    <x v="1"/>
    <x v="0"/>
    <x v="15"/>
  </r>
  <r>
    <x v="390"/>
    <x v="2"/>
    <x v="508"/>
    <x v="5"/>
    <x v="5"/>
    <x v="4"/>
    <x v="0"/>
    <x v="154"/>
    <x v="9"/>
    <x v="111"/>
    <x v="0"/>
    <x v="171"/>
    <x v="7"/>
    <x v="59"/>
    <x v="44"/>
    <x v="230"/>
    <x v="472"/>
    <x v="6"/>
    <x v="56"/>
    <x v="452"/>
    <x v="0"/>
    <x v="7"/>
    <x v="0"/>
    <x v="1"/>
    <x v="0"/>
    <x v="15"/>
  </r>
  <r>
    <x v="106"/>
    <x v="0"/>
    <x v="444"/>
    <x v="6"/>
    <x v="4"/>
    <x v="4"/>
    <x v="0"/>
    <x v="125"/>
    <x v="9"/>
    <x v="224"/>
    <x v="0"/>
    <x v="130"/>
    <x v="7"/>
    <x v="127"/>
    <x v="855"/>
    <x v="679"/>
    <x v="291"/>
    <x v="6"/>
    <x v="56"/>
    <x v="451"/>
    <x v="0"/>
    <x v="7"/>
    <x v="0"/>
    <x v="1"/>
    <x v="0"/>
    <x v="15"/>
  </r>
  <r>
    <x v="660"/>
    <x v="5"/>
    <x v="334"/>
    <x v="7"/>
    <x v="6"/>
    <x v="4"/>
    <x v="0"/>
    <x v="164"/>
    <x v="9"/>
    <x v="166"/>
    <x v="0"/>
    <x v="56"/>
    <x v="7"/>
    <x v="59"/>
    <x v="50"/>
    <x v="246"/>
    <x v="411"/>
    <x v="5"/>
    <x v="9"/>
    <x v="450"/>
    <x v="0"/>
    <x v="7"/>
    <x v="0"/>
    <x v="1"/>
    <x v="1"/>
    <x v="15"/>
  </r>
  <r>
    <x v="584"/>
    <x v="4"/>
    <x v="333"/>
    <x v="7"/>
    <x v="6"/>
    <x v="4"/>
    <x v="0"/>
    <x v="290"/>
    <x v="9"/>
    <x v="174"/>
    <x v="0"/>
    <x v="21"/>
    <x v="7"/>
    <x v="22"/>
    <x v="51"/>
    <x v="243"/>
    <x v="411"/>
    <x v="5"/>
    <x v="9"/>
    <x v="449"/>
    <x v="0"/>
    <x v="7"/>
    <x v="0"/>
    <x v="1"/>
    <x v="0"/>
    <x v="15"/>
  </r>
  <r>
    <x v="449"/>
    <x v="3"/>
    <x v="137"/>
    <x v="4"/>
    <x v="5"/>
    <x v="4"/>
    <x v="0"/>
    <x v="55"/>
    <x v="9"/>
    <x v="164"/>
    <x v="0"/>
    <x v="105"/>
    <x v="7"/>
    <x v="103"/>
    <x v="474"/>
    <x v="473"/>
    <x v="57"/>
    <x v="6"/>
    <x v="20"/>
    <x v="448"/>
    <x v="0"/>
    <x v="7"/>
    <x v="0"/>
    <x v="1"/>
    <x v="0"/>
    <x v="15"/>
  </r>
  <r>
    <x v="222"/>
    <x v="1"/>
    <x v="136"/>
    <x v="7"/>
    <x v="6"/>
    <x v="4"/>
    <x v="0"/>
    <x v="71"/>
    <x v="9"/>
    <x v="82"/>
    <x v="0"/>
    <x v="135"/>
    <x v="6"/>
    <x v="59"/>
    <x v="42"/>
    <x v="227"/>
    <x v="449"/>
    <x v="6"/>
    <x v="9"/>
    <x v="447"/>
    <x v="0"/>
    <x v="6"/>
    <x v="0"/>
    <x v="1"/>
    <x v="0"/>
    <x v="15"/>
  </r>
  <r>
    <x v="92"/>
    <x v="0"/>
    <x v="105"/>
    <x v="0"/>
    <x v="3"/>
    <x v="4"/>
    <x v="0"/>
    <x v="0"/>
    <x v="9"/>
    <x v="183"/>
    <x v="0"/>
    <x v="69"/>
    <x v="6"/>
    <x v="306"/>
    <x v="249"/>
    <x v="917"/>
    <x v="433"/>
    <x v="6"/>
    <x v="54"/>
    <x v="446"/>
    <x v="0"/>
    <x v="6"/>
    <x v="0"/>
    <x v="1"/>
    <x v="0"/>
    <x v="15"/>
  </r>
  <r>
    <x v="825"/>
    <x v="9"/>
    <x v="875"/>
    <x v="0"/>
    <x v="4"/>
    <x v="4"/>
    <x v="0"/>
    <x v="144"/>
    <x v="9"/>
    <x v="169"/>
    <x v="0"/>
    <x v="59"/>
    <x v="7"/>
    <x v="136"/>
    <x v="37"/>
    <x v="215"/>
    <x v="228"/>
    <x v="6"/>
    <x v="56"/>
    <x v="445"/>
    <x v="0"/>
    <x v="7"/>
    <x v="0"/>
    <x v="1"/>
    <x v="1"/>
    <x v="15"/>
  </r>
  <r>
    <x v="981"/>
    <x v="23"/>
    <x v="874"/>
    <x v="8"/>
    <x v="7"/>
    <x v="4"/>
    <x v="0"/>
    <x v="342"/>
    <x v="7"/>
    <x v="199"/>
    <x v="0"/>
    <x v="61"/>
    <x v="8"/>
    <x v="90"/>
    <x v="45"/>
    <x v="233"/>
    <x v="381"/>
    <x v="5"/>
    <x v="9"/>
    <x v="444"/>
    <x v="0"/>
    <x v="8"/>
    <x v="0"/>
    <x v="1"/>
    <x v="3"/>
    <x v="15"/>
  </r>
  <r>
    <x v="667"/>
    <x v="5"/>
    <x v="846"/>
    <x v="6"/>
    <x v="5"/>
    <x v="4"/>
    <x v="0"/>
    <x v="276"/>
    <x v="9"/>
    <x v="223"/>
    <x v="0"/>
    <x v="44"/>
    <x v="7"/>
    <x v="98"/>
    <x v="749"/>
    <x v="607"/>
    <x v="187"/>
    <x v="6"/>
    <x v="56"/>
    <x v="443"/>
    <x v="0"/>
    <x v="7"/>
    <x v="0"/>
    <x v="1"/>
    <x v="1"/>
    <x v="15"/>
  </r>
  <r>
    <x v="616"/>
    <x v="5"/>
    <x v="371"/>
    <x v="9"/>
    <x v="8"/>
    <x v="4"/>
    <x v="0"/>
    <x v="327"/>
    <x v="9"/>
    <x v="231"/>
    <x v="0"/>
    <x v="101"/>
    <x v="7"/>
    <x v="32"/>
    <x v="712"/>
    <x v="236"/>
    <x v="231"/>
    <x v="6"/>
    <x v="17"/>
    <x v="442"/>
    <x v="0"/>
    <x v="7"/>
    <x v="0"/>
    <x v="1"/>
    <x v="1"/>
    <x v="15"/>
  </r>
  <r>
    <x v="77"/>
    <x v="0"/>
    <x v="286"/>
    <x v="7"/>
    <x v="6"/>
    <x v="4"/>
    <x v="0"/>
    <x v="297"/>
    <x v="5"/>
    <x v="7"/>
    <x v="23"/>
    <x v="256"/>
    <x v="5"/>
    <x v="117"/>
    <x v="894"/>
    <x v="100"/>
    <x v="124"/>
    <x v="3"/>
    <x v="56"/>
    <x v="441"/>
    <x v="0"/>
    <x v="5"/>
    <x v="0"/>
    <x v="1"/>
    <x v="0"/>
    <x v="15"/>
  </r>
  <r>
    <x v="441"/>
    <x v="3"/>
    <x v="129"/>
    <x v="3"/>
    <x v="5"/>
    <x v="4"/>
    <x v="0"/>
    <x v="51"/>
    <x v="9"/>
    <x v="127"/>
    <x v="0"/>
    <x v="37"/>
    <x v="7"/>
    <x v="46"/>
    <x v="311"/>
    <x v="836"/>
    <x v="133"/>
    <x v="6"/>
    <x v="56"/>
    <x v="440"/>
    <x v="0"/>
    <x v="7"/>
    <x v="0"/>
    <x v="1"/>
    <x v="0"/>
    <x v="15"/>
  </r>
  <r>
    <x v="732"/>
    <x v="6"/>
    <x v="69"/>
    <x v="5"/>
    <x v="6"/>
    <x v="4"/>
    <x v="0"/>
    <x v="104"/>
    <x v="9"/>
    <x v="148"/>
    <x v="0"/>
    <x v="37"/>
    <x v="7"/>
    <x v="20"/>
    <x v="313"/>
    <x v="832"/>
    <x v="133"/>
    <x v="6"/>
    <x v="42"/>
    <x v="439"/>
    <x v="0"/>
    <x v="7"/>
    <x v="0"/>
    <x v="1"/>
    <x v="1"/>
    <x v="15"/>
  </r>
  <r>
    <x v="299"/>
    <x v="1"/>
    <x v="68"/>
    <x v="5"/>
    <x v="6"/>
    <x v="4"/>
    <x v="0"/>
    <x v="16"/>
    <x v="9"/>
    <x v="96"/>
    <x v="0"/>
    <x v="52"/>
    <x v="7"/>
    <x v="20"/>
    <x v="314"/>
    <x v="834"/>
    <x v="133"/>
    <x v="6"/>
    <x v="42"/>
    <x v="438"/>
    <x v="0"/>
    <x v="7"/>
    <x v="0"/>
    <x v="1"/>
    <x v="0"/>
    <x v="15"/>
  </r>
  <r>
    <x v="138"/>
    <x v="0"/>
    <x v="429"/>
    <x v="6"/>
    <x v="6"/>
    <x v="4"/>
    <x v="0"/>
    <x v="37"/>
    <x v="9"/>
    <x v="156"/>
    <x v="0"/>
    <x v="60"/>
    <x v="7"/>
    <x v="107"/>
    <x v="172"/>
    <x v="281"/>
    <x v="160"/>
    <x v="5"/>
    <x v="9"/>
    <x v="437"/>
    <x v="0"/>
    <x v="7"/>
    <x v="0"/>
    <x v="1"/>
    <x v="0"/>
    <x v="14"/>
  </r>
  <r>
    <x v="812"/>
    <x v="8"/>
    <x v="275"/>
    <x v="0"/>
    <x v="3"/>
    <x v="4"/>
    <x v="0"/>
    <x v="129"/>
    <x v="9"/>
    <x v="187"/>
    <x v="0"/>
    <x v="37"/>
    <x v="7"/>
    <x v="377"/>
    <x v="198"/>
    <x v="982"/>
    <x v="36"/>
    <x v="6"/>
    <x v="14"/>
    <x v="436"/>
    <x v="0"/>
    <x v="7"/>
    <x v="0"/>
    <x v="1"/>
    <x v="1"/>
    <x v="14"/>
  </r>
  <r>
    <x v="234"/>
    <x v="1"/>
    <x v="246"/>
    <x v="7"/>
    <x v="5"/>
    <x v="4"/>
    <x v="0"/>
    <x v="21"/>
    <x v="9"/>
    <x v="107"/>
    <x v="0"/>
    <x v="81"/>
    <x v="7"/>
    <x v="59"/>
    <x v="323"/>
    <x v="506"/>
    <x v="62"/>
    <x v="6"/>
    <x v="20"/>
    <x v="435"/>
    <x v="0"/>
    <x v="7"/>
    <x v="0"/>
    <x v="1"/>
    <x v="0"/>
    <x v="14"/>
  </r>
  <r>
    <x v="520"/>
    <x v="3"/>
    <x v="972"/>
    <x v="0"/>
    <x v="5"/>
    <x v="4"/>
    <x v="0"/>
    <x v="49"/>
    <x v="9"/>
    <x v="182"/>
    <x v="0"/>
    <x v="91"/>
    <x v="7"/>
    <x v="134"/>
    <x v="775"/>
    <x v="615"/>
    <x v="294"/>
    <x v="6"/>
    <x v="56"/>
    <x v="434"/>
    <x v="0"/>
    <x v="7"/>
    <x v="0"/>
    <x v="1"/>
    <x v="0"/>
    <x v="14"/>
  </r>
  <r>
    <x v="565"/>
    <x v="4"/>
    <x v="803"/>
    <x v="4"/>
    <x v="5"/>
    <x v="4"/>
    <x v="0"/>
    <x v="213"/>
    <x v="9"/>
    <x v="160"/>
    <x v="0"/>
    <x v="11"/>
    <x v="7"/>
    <x v="271"/>
    <x v="383"/>
    <x v="623"/>
    <x v="475"/>
    <x v="6"/>
    <x v="20"/>
    <x v="433"/>
    <x v="0"/>
    <x v="7"/>
    <x v="0"/>
    <x v="1"/>
    <x v="0"/>
    <x v="14"/>
  </r>
  <r>
    <x v="459"/>
    <x v="3"/>
    <x v="241"/>
    <x v="0"/>
    <x v="4"/>
    <x v="4"/>
    <x v="0"/>
    <x v="49"/>
    <x v="9"/>
    <x v="59"/>
    <x v="0"/>
    <x v="149"/>
    <x v="7"/>
    <x v="136"/>
    <x v="255"/>
    <x v="887"/>
    <x v="433"/>
    <x v="6"/>
    <x v="56"/>
    <x v="432"/>
    <x v="0"/>
    <x v="7"/>
    <x v="0"/>
    <x v="1"/>
    <x v="0"/>
    <x v="14"/>
  </r>
  <r>
    <x v="827"/>
    <x v="9"/>
    <x v="212"/>
    <x v="0"/>
    <x v="6"/>
    <x v="4"/>
    <x v="0"/>
    <x v="144"/>
    <x v="9"/>
    <x v="112"/>
    <x v="0"/>
    <x v="79"/>
    <x v="7"/>
    <x v="125"/>
    <x v="257"/>
    <x v="895"/>
    <x v="433"/>
    <x v="6"/>
    <x v="54"/>
    <x v="431"/>
    <x v="0"/>
    <x v="7"/>
    <x v="0"/>
    <x v="1"/>
    <x v="1"/>
    <x v="14"/>
  </r>
  <r>
    <x v="923"/>
    <x v="13"/>
    <x v="211"/>
    <x v="0"/>
    <x v="5"/>
    <x v="4"/>
    <x v="0"/>
    <x v="197"/>
    <x v="9"/>
    <x v="63"/>
    <x v="0"/>
    <x v="80"/>
    <x v="7"/>
    <x v="136"/>
    <x v="262"/>
    <x v="891"/>
    <x v="433"/>
    <x v="6"/>
    <x v="56"/>
    <x v="430"/>
    <x v="0"/>
    <x v="7"/>
    <x v="0"/>
    <x v="1"/>
    <x v="2"/>
    <x v="14"/>
  </r>
  <r>
    <x v="898"/>
    <x v="12"/>
    <x v="210"/>
    <x v="4"/>
    <x v="6"/>
    <x v="4"/>
    <x v="0"/>
    <x v="187"/>
    <x v="9"/>
    <x v="97"/>
    <x v="0"/>
    <x v="105"/>
    <x v="8"/>
    <x v="165"/>
    <x v="258"/>
    <x v="896"/>
    <x v="433"/>
    <x v="6"/>
    <x v="54"/>
    <x v="429"/>
    <x v="0"/>
    <x v="8"/>
    <x v="0"/>
    <x v="1"/>
    <x v="2"/>
    <x v="14"/>
  </r>
  <r>
    <x v="257"/>
    <x v="1"/>
    <x v="28"/>
    <x v="7"/>
    <x v="6"/>
    <x v="4"/>
    <x v="0"/>
    <x v="109"/>
    <x v="9"/>
    <x v="175"/>
    <x v="0"/>
    <x v="148"/>
    <x v="7"/>
    <x v="16"/>
    <x v="499"/>
    <x v="480"/>
    <x v="445"/>
    <x v="6"/>
    <x v="20"/>
    <x v="428"/>
    <x v="0"/>
    <x v="7"/>
    <x v="0"/>
    <x v="1"/>
    <x v="0"/>
    <x v="14"/>
  </r>
  <r>
    <x v="877"/>
    <x v="11"/>
    <x v="968"/>
    <x v="8"/>
    <x v="7"/>
    <x v="4"/>
    <x v="0"/>
    <x v="328"/>
    <x v="9"/>
    <x v="229"/>
    <x v="0"/>
    <x v="30"/>
    <x v="7"/>
    <x v="223"/>
    <x v="527"/>
    <x v="461"/>
    <x v="345"/>
    <x v="6"/>
    <x v="20"/>
    <x v="427"/>
    <x v="0"/>
    <x v="7"/>
    <x v="0"/>
    <x v="1"/>
    <x v="2"/>
    <x v="14"/>
  </r>
  <r>
    <x v="961"/>
    <x v="17"/>
    <x v="941"/>
    <x v="7"/>
    <x v="5"/>
    <x v="4"/>
    <x v="0"/>
    <x v="247"/>
    <x v="9"/>
    <x v="245"/>
    <x v="0"/>
    <x v="85"/>
    <x v="7"/>
    <x v="59"/>
    <x v="221"/>
    <x v="61"/>
    <x v="258"/>
    <x v="6"/>
    <x v="56"/>
    <x v="426"/>
    <x v="0"/>
    <x v="7"/>
    <x v="0"/>
    <x v="1"/>
    <x v="3"/>
    <x v="14"/>
  </r>
  <r>
    <x v="664"/>
    <x v="5"/>
    <x v="54"/>
    <x v="7"/>
    <x v="6"/>
    <x v="4"/>
    <x v="0"/>
    <x v="274"/>
    <x v="9"/>
    <x v="111"/>
    <x v="0"/>
    <x v="49"/>
    <x v="7"/>
    <x v="168"/>
    <x v="330"/>
    <x v="495"/>
    <x v="46"/>
    <x v="6"/>
    <x v="20"/>
    <x v="425"/>
    <x v="0"/>
    <x v="7"/>
    <x v="0"/>
    <x v="1"/>
    <x v="1"/>
    <x v="14"/>
  </r>
  <r>
    <x v="325"/>
    <x v="2"/>
    <x v="534"/>
    <x v="5"/>
    <x v="5"/>
    <x v="4"/>
    <x v="0"/>
    <x v="83"/>
    <x v="9"/>
    <x v="142"/>
    <x v="0"/>
    <x v="36"/>
    <x v="7"/>
    <x v="72"/>
    <x v="519"/>
    <x v="454"/>
    <x v="330"/>
    <x v="6"/>
    <x v="20"/>
    <x v="424"/>
    <x v="0"/>
    <x v="7"/>
    <x v="0"/>
    <x v="1"/>
    <x v="0"/>
    <x v="14"/>
  </r>
  <r>
    <x v="226"/>
    <x v="1"/>
    <x v="384"/>
    <x v="4"/>
    <x v="4"/>
    <x v="4"/>
    <x v="0"/>
    <x v="41"/>
    <x v="9"/>
    <x v="126"/>
    <x v="0"/>
    <x v="31"/>
    <x v="7"/>
    <x v="182"/>
    <x v="790"/>
    <x v="665"/>
    <x v="454"/>
    <x v="6"/>
    <x v="56"/>
    <x v="423"/>
    <x v="0"/>
    <x v="7"/>
    <x v="0"/>
    <x v="1"/>
    <x v="0"/>
    <x v="14"/>
  </r>
  <r>
    <x v="853"/>
    <x v="10"/>
    <x v="309"/>
    <x v="7"/>
    <x v="5"/>
    <x v="4"/>
    <x v="0"/>
    <x v="286"/>
    <x v="9"/>
    <x v="106"/>
    <x v="0"/>
    <x v="64"/>
    <x v="7"/>
    <x v="94"/>
    <x v="673"/>
    <x v="418"/>
    <x v="44"/>
    <x v="6"/>
    <x v="56"/>
    <x v="422"/>
    <x v="0"/>
    <x v="7"/>
    <x v="0"/>
    <x v="1"/>
    <x v="2"/>
    <x v="14"/>
  </r>
  <r>
    <x v="698"/>
    <x v="6"/>
    <x v="265"/>
    <x v="5"/>
    <x v="3"/>
    <x v="4"/>
    <x v="0"/>
    <x v="226"/>
    <x v="9"/>
    <x v="197"/>
    <x v="0"/>
    <x v="32"/>
    <x v="7"/>
    <x v="345"/>
    <x v="793"/>
    <x v="654"/>
    <x v="4"/>
    <x v="6"/>
    <x v="56"/>
    <x v="421"/>
    <x v="0"/>
    <x v="7"/>
    <x v="0"/>
    <x v="1"/>
    <x v="1"/>
    <x v="14"/>
  </r>
  <r>
    <x v="599"/>
    <x v="4"/>
    <x v="92"/>
    <x v="5"/>
    <x v="6"/>
    <x v="4"/>
    <x v="0"/>
    <x v="278"/>
    <x v="9"/>
    <x v="76"/>
    <x v="0"/>
    <x v="172"/>
    <x v="7"/>
    <x v="20"/>
    <x v="774"/>
    <x v="109"/>
    <x v="39"/>
    <x v="3"/>
    <x v="26"/>
    <x v="420"/>
    <x v="0"/>
    <x v="7"/>
    <x v="0"/>
    <x v="1"/>
    <x v="0"/>
    <x v="14"/>
  </r>
  <r>
    <x v="931"/>
    <x v="13"/>
    <x v="487"/>
    <x v="6"/>
    <x v="7"/>
    <x v="4"/>
    <x v="0"/>
    <x v="272"/>
    <x v="9"/>
    <x v="190"/>
    <x v="0"/>
    <x v="54"/>
    <x v="7"/>
    <x v="26"/>
    <x v="21"/>
    <x v="897"/>
    <x v="456"/>
    <x v="6"/>
    <x v="31"/>
    <x v="419"/>
    <x v="0"/>
    <x v="7"/>
    <x v="0"/>
    <x v="1"/>
    <x v="2"/>
    <x v="14"/>
  </r>
  <r>
    <x v="356"/>
    <x v="2"/>
    <x v="759"/>
    <x v="5"/>
    <x v="4"/>
    <x v="4"/>
    <x v="0"/>
    <x v="33"/>
    <x v="9"/>
    <x v="89"/>
    <x v="0"/>
    <x v="29"/>
    <x v="7"/>
    <x v="207"/>
    <x v="426"/>
    <x v="808"/>
    <x v="204"/>
    <x v="6"/>
    <x v="35"/>
    <x v="418"/>
    <x v="0"/>
    <x v="7"/>
    <x v="0"/>
    <x v="1"/>
    <x v="0"/>
    <x v="14"/>
  </r>
  <r>
    <x v="806"/>
    <x v="8"/>
    <x v="905"/>
    <x v="7"/>
    <x v="7"/>
    <x v="4"/>
    <x v="0"/>
    <x v="320"/>
    <x v="9"/>
    <x v="207"/>
    <x v="0"/>
    <x v="131"/>
    <x v="7"/>
    <x v="65"/>
    <x v="694"/>
    <x v="168"/>
    <x v="136"/>
    <x v="6"/>
    <x v="56"/>
    <x v="417"/>
    <x v="0"/>
    <x v="7"/>
    <x v="0"/>
    <x v="1"/>
    <x v="1"/>
    <x v="14"/>
  </r>
  <r>
    <x v="875"/>
    <x v="11"/>
    <x v="623"/>
    <x v="7"/>
    <x v="4"/>
    <x v="4"/>
    <x v="0"/>
    <x v="187"/>
    <x v="9"/>
    <x v="234"/>
    <x v="0"/>
    <x v="30"/>
    <x v="7"/>
    <x v="124"/>
    <x v="116"/>
    <x v="52"/>
    <x v="5"/>
    <x v="6"/>
    <x v="56"/>
    <x v="416"/>
    <x v="0"/>
    <x v="7"/>
    <x v="0"/>
    <x v="1"/>
    <x v="2"/>
    <x v="14"/>
  </r>
  <r>
    <x v="752"/>
    <x v="7"/>
    <x v="328"/>
    <x v="3"/>
    <x v="6"/>
    <x v="4"/>
    <x v="0"/>
    <x v="118"/>
    <x v="9"/>
    <x v="189"/>
    <x v="0"/>
    <x v="68"/>
    <x v="7"/>
    <x v="72"/>
    <x v="584"/>
    <x v="574"/>
    <x v="416"/>
    <x v="6"/>
    <x v="20"/>
    <x v="415"/>
    <x v="0"/>
    <x v="7"/>
    <x v="0"/>
    <x v="1"/>
    <x v="1"/>
    <x v="14"/>
  </r>
  <r>
    <x v="837"/>
    <x v="9"/>
    <x v="67"/>
    <x v="7"/>
    <x v="6"/>
    <x v="4"/>
    <x v="0"/>
    <x v="147"/>
    <x v="9"/>
    <x v="112"/>
    <x v="0"/>
    <x v="88"/>
    <x v="7"/>
    <x v="92"/>
    <x v="528"/>
    <x v="634"/>
    <x v="254"/>
    <x v="6"/>
    <x v="20"/>
    <x v="414"/>
    <x v="0"/>
    <x v="7"/>
    <x v="0"/>
    <x v="1"/>
    <x v="1"/>
    <x v="14"/>
  </r>
  <r>
    <x v="261"/>
    <x v="1"/>
    <x v="66"/>
    <x v="5"/>
    <x v="3"/>
    <x v="4"/>
    <x v="0"/>
    <x v="94"/>
    <x v="9"/>
    <x v="130"/>
    <x v="0"/>
    <x v="100"/>
    <x v="7"/>
    <x v="324"/>
    <x v="826"/>
    <x v="386"/>
    <x v="174"/>
    <x v="1"/>
    <x v="0"/>
    <x v="413"/>
    <x v="0"/>
    <x v="7"/>
    <x v="0"/>
    <x v="1"/>
    <x v="0"/>
    <x v="14"/>
  </r>
  <r>
    <x v="897"/>
    <x v="12"/>
    <x v="65"/>
    <x v="5"/>
    <x v="6"/>
    <x v="4"/>
    <x v="0"/>
    <x v="188"/>
    <x v="9"/>
    <x v="100"/>
    <x v="0"/>
    <x v="145"/>
    <x v="7"/>
    <x v="56"/>
    <x v="537"/>
    <x v="630"/>
    <x v="254"/>
    <x v="6"/>
    <x v="20"/>
    <x v="412"/>
    <x v="0"/>
    <x v="7"/>
    <x v="0"/>
    <x v="1"/>
    <x v="2"/>
    <x v="14"/>
  </r>
  <r>
    <x v="826"/>
    <x v="9"/>
    <x v="550"/>
    <x v="9"/>
    <x v="6"/>
    <x v="4"/>
    <x v="0"/>
    <x v="149"/>
    <x v="9"/>
    <x v="139"/>
    <x v="0"/>
    <x v="165"/>
    <x v="8"/>
    <x v="122"/>
    <x v="557"/>
    <x v="530"/>
    <x v="134"/>
    <x v="6"/>
    <x v="20"/>
    <x v="411"/>
    <x v="0"/>
    <x v="8"/>
    <x v="0"/>
    <x v="1"/>
    <x v="1"/>
    <x v="13"/>
  </r>
  <r>
    <x v="355"/>
    <x v="2"/>
    <x v="543"/>
    <x v="5"/>
    <x v="5"/>
    <x v="4"/>
    <x v="0"/>
    <x v="66"/>
    <x v="9"/>
    <x v="218"/>
    <x v="0"/>
    <x v="140"/>
    <x v="7"/>
    <x v="94"/>
    <x v="677"/>
    <x v="145"/>
    <x v="70"/>
    <x v="6"/>
    <x v="26"/>
    <x v="410"/>
    <x v="0"/>
    <x v="7"/>
    <x v="0"/>
    <x v="1"/>
    <x v="0"/>
    <x v="13"/>
  </r>
  <r>
    <x v="336"/>
    <x v="2"/>
    <x v="153"/>
    <x v="0"/>
    <x v="5"/>
    <x v="4"/>
    <x v="0"/>
    <x v="31"/>
    <x v="9"/>
    <x v="248"/>
    <x v="0"/>
    <x v="98"/>
    <x v="7"/>
    <x v="108"/>
    <x v="883"/>
    <x v="396"/>
    <x v="310"/>
    <x v="1"/>
    <x v="24"/>
    <x v="409"/>
    <x v="0"/>
    <x v="7"/>
    <x v="0"/>
    <x v="1"/>
    <x v="0"/>
    <x v="13"/>
  </r>
  <r>
    <x v="438"/>
    <x v="3"/>
    <x v="357"/>
    <x v="0"/>
    <x v="5"/>
    <x v="4"/>
    <x v="0"/>
    <x v="49"/>
    <x v="9"/>
    <x v="231"/>
    <x v="0"/>
    <x v="97"/>
    <x v="7"/>
    <x v="98"/>
    <x v="901"/>
    <x v="712"/>
    <x v="318"/>
    <x v="6"/>
    <x v="56"/>
    <x v="408"/>
    <x v="0"/>
    <x v="7"/>
    <x v="0"/>
    <x v="1"/>
    <x v="0"/>
    <x v="13"/>
  </r>
  <r>
    <x v="279"/>
    <x v="1"/>
    <x v="356"/>
    <x v="0"/>
    <x v="5"/>
    <x v="4"/>
    <x v="0"/>
    <x v="14"/>
    <x v="9"/>
    <x v="206"/>
    <x v="0"/>
    <x v="31"/>
    <x v="7"/>
    <x v="236"/>
    <x v="560"/>
    <x v="593"/>
    <x v="470"/>
    <x v="6"/>
    <x v="20"/>
    <x v="407"/>
    <x v="0"/>
    <x v="7"/>
    <x v="0"/>
    <x v="1"/>
    <x v="0"/>
    <x v="13"/>
  </r>
  <r>
    <x v="586"/>
    <x v="4"/>
    <x v="234"/>
    <x v="0"/>
    <x v="5"/>
    <x v="4"/>
    <x v="0"/>
    <x v="67"/>
    <x v="9"/>
    <x v="249"/>
    <x v="0"/>
    <x v="36"/>
    <x v="7"/>
    <x v="248"/>
    <x v="250"/>
    <x v="908"/>
    <x v="433"/>
    <x v="6"/>
    <x v="54"/>
    <x v="406"/>
    <x v="0"/>
    <x v="7"/>
    <x v="0"/>
    <x v="1"/>
    <x v="0"/>
    <x v="13"/>
  </r>
  <r>
    <x v="365"/>
    <x v="2"/>
    <x v="823"/>
    <x v="4"/>
    <x v="6"/>
    <x v="4"/>
    <x v="0"/>
    <x v="32"/>
    <x v="9"/>
    <x v="120"/>
    <x v="0"/>
    <x v="137"/>
    <x v="7"/>
    <x v="26"/>
    <x v="783"/>
    <x v="402"/>
    <x v="172"/>
    <x v="1"/>
    <x v="36"/>
    <x v="405"/>
    <x v="0"/>
    <x v="7"/>
    <x v="0"/>
    <x v="1"/>
    <x v="0"/>
    <x v="13"/>
  </r>
  <r>
    <x v="471"/>
    <x v="3"/>
    <x v="766"/>
    <x v="8"/>
    <x v="6"/>
    <x v="4"/>
    <x v="0"/>
    <x v="243"/>
    <x v="9"/>
    <x v="296"/>
    <x v="0"/>
    <x v="79"/>
    <x v="7"/>
    <x v="246"/>
    <x v="885"/>
    <x v="672"/>
    <x v="282"/>
    <x v="1"/>
    <x v="23"/>
    <x v="404"/>
    <x v="0"/>
    <x v="7"/>
    <x v="0"/>
    <x v="1"/>
    <x v="0"/>
    <x v="13"/>
  </r>
  <r>
    <x v="618"/>
    <x v="5"/>
    <x v="633"/>
    <x v="5"/>
    <x v="4"/>
    <x v="4"/>
    <x v="0"/>
    <x v="142"/>
    <x v="9"/>
    <x v="275"/>
    <x v="0"/>
    <x v="64"/>
    <x v="7"/>
    <x v="82"/>
    <x v="850"/>
    <x v="689"/>
    <x v="291"/>
    <x v="6"/>
    <x v="56"/>
    <x v="403"/>
    <x v="0"/>
    <x v="7"/>
    <x v="0"/>
    <x v="1"/>
    <x v="1"/>
    <x v="13"/>
  </r>
  <r>
    <x v="543"/>
    <x v="4"/>
    <x v="633"/>
    <x v="5"/>
    <x v="4"/>
    <x v="4"/>
    <x v="0"/>
    <x v="132"/>
    <x v="3"/>
    <x v="0"/>
    <x v="0"/>
    <x v="0"/>
    <x v="8"/>
    <x v="101"/>
    <x v="849"/>
    <x v="700"/>
    <x v="291"/>
    <x v="6"/>
    <x v="56"/>
    <x v="403"/>
    <x v="0"/>
    <x v="8"/>
    <x v="0"/>
    <x v="1"/>
    <x v="0"/>
    <x v="13"/>
  </r>
  <r>
    <x v="178"/>
    <x v="1"/>
    <x v="879"/>
    <x v="4"/>
    <x v="4"/>
    <x v="4"/>
    <x v="0"/>
    <x v="24"/>
    <x v="9"/>
    <x v="295"/>
    <x v="0"/>
    <x v="66"/>
    <x v="7"/>
    <x v="56"/>
    <x v="636"/>
    <x v="412"/>
    <x v="44"/>
    <x v="6"/>
    <x v="56"/>
    <x v="402"/>
    <x v="0"/>
    <x v="7"/>
    <x v="0"/>
    <x v="1"/>
    <x v="0"/>
    <x v="13"/>
  </r>
  <r>
    <x v="562"/>
    <x v="4"/>
    <x v="420"/>
    <x v="7"/>
    <x v="7"/>
    <x v="4"/>
    <x v="0"/>
    <x v="170"/>
    <x v="9"/>
    <x v="307"/>
    <x v="0"/>
    <x v="56"/>
    <x v="7"/>
    <x v="8"/>
    <x v="878"/>
    <x v="668"/>
    <x v="277"/>
    <x v="1"/>
    <x v="23"/>
    <x v="401"/>
    <x v="0"/>
    <x v="7"/>
    <x v="0"/>
    <x v="1"/>
    <x v="0"/>
    <x v="13"/>
  </r>
  <r>
    <x v="946"/>
    <x v="14"/>
    <x v="378"/>
    <x v="9"/>
    <x v="8"/>
    <x v="4"/>
    <x v="0"/>
    <x v="339"/>
    <x v="9"/>
    <x v="337"/>
    <x v="0"/>
    <x v="13"/>
    <x v="7"/>
    <x v="65"/>
    <x v="785"/>
    <x v="488"/>
    <x v="467"/>
    <x v="1"/>
    <x v="36"/>
    <x v="400"/>
    <x v="0"/>
    <x v="7"/>
    <x v="0"/>
    <x v="1"/>
    <x v="2"/>
    <x v="13"/>
  </r>
  <r>
    <x v="588"/>
    <x v="4"/>
    <x v="200"/>
    <x v="5"/>
    <x v="4"/>
    <x v="4"/>
    <x v="0"/>
    <x v="182"/>
    <x v="9"/>
    <x v="244"/>
    <x v="0"/>
    <x v="88"/>
    <x v="7"/>
    <x v="107"/>
    <x v="819"/>
    <x v="674"/>
    <x v="140"/>
    <x v="6"/>
    <x v="56"/>
    <x v="399"/>
    <x v="0"/>
    <x v="7"/>
    <x v="0"/>
    <x v="1"/>
    <x v="0"/>
    <x v="13"/>
  </r>
  <r>
    <x v="810"/>
    <x v="8"/>
    <x v="259"/>
    <x v="0"/>
    <x v="5"/>
    <x v="4"/>
    <x v="0"/>
    <x v="129"/>
    <x v="9"/>
    <x v="222"/>
    <x v="0"/>
    <x v="27"/>
    <x v="7"/>
    <x v="130"/>
    <x v="160"/>
    <x v="948"/>
    <x v="161"/>
    <x v="6"/>
    <x v="56"/>
    <x v="398"/>
    <x v="0"/>
    <x v="7"/>
    <x v="0"/>
    <x v="1"/>
    <x v="1"/>
    <x v="13"/>
  </r>
  <r>
    <x v="753"/>
    <x v="7"/>
    <x v="659"/>
    <x v="0"/>
    <x v="6"/>
    <x v="4"/>
    <x v="0"/>
    <x v="115"/>
    <x v="9"/>
    <x v="250"/>
    <x v="0"/>
    <x v="122"/>
    <x v="7"/>
    <x v="20"/>
    <x v="812"/>
    <x v="400"/>
    <x v="149"/>
    <x v="1"/>
    <x v="36"/>
    <x v="397"/>
    <x v="0"/>
    <x v="7"/>
    <x v="0"/>
    <x v="1"/>
    <x v="1"/>
    <x v="13"/>
  </r>
  <r>
    <x v="607"/>
    <x v="4"/>
    <x v="79"/>
    <x v="4"/>
    <x v="4"/>
    <x v="4"/>
    <x v="0"/>
    <x v="75"/>
    <x v="9"/>
    <x v="256"/>
    <x v="0"/>
    <x v="122"/>
    <x v="7"/>
    <x v="94"/>
    <x v="660"/>
    <x v="567"/>
    <x v="349"/>
    <x v="6"/>
    <x v="56"/>
    <x v="396"/>
    <x v="1"/>
    <x v="7"/>
    <x v="0"/>
    <x v="1"/>
    <x v="0"/>
    <x v="13"/>
  </r>
  <r>
    <x v="346"/>
    <x v="2"/>
    <x v="812"/>
    <x v="5"/>
    <x v="5"/>
    <x v="4"/>
    <x v="0"/>
    <x v="35"/>
    <x v="9"/>
    <x v="255"/>
    <x v="0"/>
    <x v="38"/>
    <x v="7"/>
    <x v="98"/>
    <x v="504"/>
    <x v="459"/>
    <x v="330"/>
    <x v="6"/>
    <x v="20"/>
    <x v="395"/>
    <x v="0"/>
    <x v="7"/>
    <x v="0"/>
    <x v="1"/>
    <x v="0"/>
    <x v="13"/>
  </r>
  <r>
    <x v="197"/>
    <x v="1"/>
    <x v="811"/>
    <x v="4"/>
    <x v="5"/>
    <x v="4"/>
    <x v="0"/>
    <x v="18"/>
    <x v="9"/>
    <x v="179"/>
    <x v="0"/>
    <x v="60"/>
    <x v="7"/>
    <x v="98"/>
    <x v="501"/>
    <x v="462"/>
    <x v="330"/>
    <x v="6"/>
    <x v="20"/>
    <x v="394"/>
    <x v="0"/>
    <x v="7"/>
    <x v="0"/>
    <x v="1"/>
    <x v="0"/>
    <x v="13"/>
  </r>
  <r>
    <x v="751"/>
    <x v="7"/>
    <x v="810"/>
    <x v="4"/>
    <x v="6"/>
    <x v="4"/>
    <x v="0"/>
    <x v="137"/>
    <x v="9"/>
    <x v="235"/>
    <x v="0"/>
    <x v="66"/>
    <x v="7"/>
    <x v="98"/>
    <x v="498"/>
    <x v="464"/>
    <x v="445"/>
    <x v="6"/>
    <x v="20"/>
    <x v="393"/>
    <x v="0"/>
    <x v="7"/>
    <x v="0"/>
    <x v="1"/>
    <x v="1"/>
    <x v="13"/>
  </r>
  <r>
    <x v="35"/>
    <x v="0"/>
    <x v="779"/>
    <x v="4"/>
    <x v="5"/>
    <x v="4"/>
    <x v="0"/>
    <x v="4"/>
    <x v="9"/>
    <x v="186"/>
    <x v="0"/>
    <x v="138"/>
    <x v="7"/>
    <x v="82"/>
    <x v="500"/>
    <x v="463"/>
    <x v="445"/>
    <x v="6"/>
    <x v="20"/>
    <x v="392"/>
    <x v="0"/>
    <x v="7"/>
    <x v="0"/>
    <x v="1"/>
    <x v="0"/>
    <x v="13"/>
  </r>
  <r>
    <x v="834"/>
    <x v="9"/>
    <x v="656"/>
    <x v="5"/>
    <x v="6"/>
    <x v="4"/>
    <x v="0"/>
    <x v="185"/>
    <x v="9"/>
    <x v="290"/>
    <x v="0"/>
    <x v="50"/>
    <x v="7"/>
    <x v="103"/>
    <x v="575"/>
    <x v="432"/>
    <x v="429"/>
    <x v="6"/>
    <x v="20"/>
    <x v="391"/>
    <x v="0"/>
    <x v="7"/>
    <x v="0"/>
    <x v="1"/>
    <x v="1"/>
    <x v="13"/>
  </r>
  <r>
    <x v="98"/>
    <x v="0"/>
    <x v="439"/>
    <x v="8"/>
    <x v="4"/>
    <x v="4"/>
    <x v="0"/>
    <x v="32"/>
    <x v="9"/>
    <x v="305"/>
    <x v="0"/>
    <x v="152"/>
    <x v="7"/>
    <x v="111"/>
    <x v="823"/>
    <x v="340"/>
    <x v="206"/>
    <x v="2"/>
    <x v="56"/>
    <x v="390"/>
    <x v="0"/>
    <x v="7"/>
    <x v="0"/>
    <x v="1"/>
    <x v="0"/>
    <x v="13"/>
  </r>
  <r>
    <x v="572"/>
    <x v="4"/>
    <x v="438"/>
    <x v="6"/>
    <x v="5"/>
    <x v="4"/>
    <x v="0"/>
    <x v="198"/>
    <x v="9"/>
    <x v="302"/>
    <x v="0"/>
    <x v="151"/>
    <x v="7"/>
    <x v="120"/>
    <x v="828"/>
    <x v="338"/>
    <x v="267"/>
    <x v="2"/>
    <x v="56"/>
    <x v="389"/>
    <x v="0"/>
    <x v="7"/>
    <x v="0"/>
    <x v="1"/>
    <x v="0"/>
    <x v="13"/>
  </r>
  <r>
    <x v="135"/>
    <x v="0"/>
    <x v="372"/>
    <x v="7"/>
    <x v="5"/>
    <x v="4"/>
    <x v="0"/>
    <x v="61"/>
    <x v="9"/>
    <x v="246"/>
    <x v="0"/>
    <x v="133"/>
    <x v="7"/>
    <x v="225"/>
    <x v="691"/>
    <x v="139"/>
    <x v="130"/>
    <x v="6"/>
    <x v="26"/>
    <x v="388"/>
    <x v="0"/>
    <x v="7"/>
    <x v="0"/>
    <x v="1"/>
    <x v="0"/>
    <x v="13"/>
  </r>
  <r>
    <x v="253"/>
    <x v="1"/>
    <x v="680"/>
    <x v="7"/>
    <x v="5"/>
    <x v="4"/>
    <x v="0"/>
    <x v="123"/>
    <x v="9"/>
    <x v="204"/>
    <x v="0"/>
    <x v="70"/>
    <x v="7"/>
    <x v="72"/>
    <x v="33"/>
    <x v="981"/>
    <x v="132"/>
    <x v="6"/>
    <x v="56"/>
    <x v="387"/>
    <x v="0"/>
    <x v="7"/>
    <x v="0"/>
    <x v="1"/>
    <x v="0"/>
    <x v="12"/>
  </r>
  <r>
    <x v="409"/>
    <x v="2"/>
    <x v="553"/>
    <x v="5"/>
    <x v="6"/>
    <x v="4"/>
    <x v="0"/>
    <x v="42"/>
    <x v="9"/>
    <x v="218"/>
    <x v="0"/>
    <x v="150"/>
    <x v="6"/>
    <x v="165"/>
    <x v="120"/>
    <x v="286"/>
    <x v="25"/>
    <x v="5"/>
    <x v="9"/>
    <x v="386"/>
    <x v="0"/>
    <x v="6"/>
    <x v="0"/>
    <x v="1"/>
    <x v="0"/>
    <x v="12"/>
  </r>
  <r>
    <x v="828"/>
    <x v="9"/>
    <x v="947"/>
    <x v="7"/>
    <x v="6"/>
    <x v="4"/>
    <x v="0"/>
    <x v="316"/>
    <x v="9"/>
    <x v="309"/>
    <x v="0"/>
    <x v="27"/>
    <x v="6"/>
    <x v="291"/>
    <x v="682"/>
    <x v="305"/>
    <x v="51"/>
    <x v="6"/>
    <x v="25"/>
    <x v="385"/>
    <x v="0"/>
    <x v="6"/>
    <x v="0"/>
    <x v="1"/>
    <x v="1"/>
    <x v="12"/>
  </r>
  <r>
    <x v="270"/>
    <x v="1"/>
    <x v="886"/>
    <x v="3"/>
    <x v="5"/>
    <x v="4"/>
    <x v="0"/>
    <x v="16"/>
    <x v="9"/>
    <x v="95"/>
    <x v="0"/>
    <x v="129"/>
    <x v="7"/>
    <x v="49"/>
    <x v="278"/>
    <x v="867"/>
    <x v="199"/>
    <x v="6"/>
    <x v="42"/>
    <x v="384"/>
    <x v="0"/>
    <x v="7"/>
    <x v="0"/>
    <x v="1"/>
    <x v="0"/>
    <x v="12"/>
  </r>
  <r>
    <x v="75"/>
    <x v="0"/>
    <x v="838"/>
    <x v="5"/>
    <x v="6"/>
    <x v="4"/>
    <x v="0"/>
    <x v="3"/>
    <x v="9"/>
    <x v="91"/>
    <x v="0"/>
    <x v="133"/>
    <x v="7"/>
    <x v="59"/>
    <x v="322"/>
    <x v="505"/>
    <x v="113"/>
    <x v="6"/>
    <x v="20"/>
    <x v="383"/>
    <x v="0"/>
    <x v="7"/>
    <x v="0"/>
    <x v="1"/>
    <x v="0"/>
    <x v="12"/>
  </r>
  <r>
    <x v="60"/>
    <x v="0"/>
    <x v="837"/>
    <x v="7"/>
    <x v="6"/>
    <x v="4"/>
    <x v="0"/>
    <x v="7"/>
    <x v="9"/>
    <x v="136"/>
    <x v="0"/>
    <x v="132"/>
    <x v="7"/>
    <x v="72"/>
    <x v="320"/>
    <x v="504"/>
    <x v="113"/>
    <x v="6"/>
    <x v="20"/>
    <x v="382"/>
    <x v="0"/>
    <x v="7"/>
    <x v="0"/>
    <x v="1"/>
    <x v="0"/>
    <x v="12"/>
  </r>
  <r>
    <x v="432"/>
    <x v="3"/>
    <x v="744"/>
    <x v="6"/>
    <x v="5"/>
    <x v="4"/>
    <x v="0"/>
    <x v="60"/>
    <x v="9"/>
    <x v="129"/>
    <x v="0"/>
    <x v="46"/>
    <x v="7"/>
    <x v="182"/>
    <x v="400"/>
    <x v="739"/>
    <x v="222"/>
    <x v="6"/>
    <x v="35"/>
    <x v="381"/>
    <x v="0"/>
    <x v="7"/>
    <x v="0"/>
    <x v="1"/>
    <x v="0"/>
    <x v="12"/>
  </r>
  <r>
    <x v="473"/>
    <x v="3"/>
    <x v="549"/>
    <x v="7"/>
    <x v="5"/>
    <x v="4"/>
    <x v="0"/>
    <x v="110"/>
    <x v="9"/>
    <x v="304"/>
    <x v="0"/>
    <x v="130"/>
    <x v="7"/>
    <x v="263"/>
    <x v="503"/>
    <x v="196"/>
    <x v="246"/>
    <x v="5"/>
    <x v="12"/>
    <x v="380"/>
    <x v="0"/>
    <x v="7"/>
    <x v="0"/>
    <x v="1"/>
    <x v="0"/>
    <x v="12"/>
  </r>
  <r>
    <x v="510"/>
    <x v="3"/>
    <x v="499"/>
    <x v="6"/>
    <x v="6"/>
    <x v="4"/>
    <x v="0"/>
    <x v="54"/>
    <x v="9"/>
    <x v="98"/>
    <x v="0"/>
    <x v="186"/>
    <x v="7"/>
    <x v="103"/>
    <x v="121"/>
    <x v="284"/>
    <x v="25"/>
    <x v="5"/>
    <x v="9"/>
    <x v="379"/>
    <x v="0"/>
    <x v="7"/>
    <x v="0"/>
    <x v="1"/>
    <x v="0"/>
    <x v="12"/>
  </r>
  <r>
    <x v="909"/>
    <x v="12"/>
    <x v="469"/>
    <x v="8"/>
    <x v="6"/>
    <x v="4"/>
    <x v="0"/>
    <x v="223"/>
    <x v="9"/>
    <x v="291"/>
    <x v="0"/>
    <x v="99"/>
    <x v="7"/>
    <x v="147"/>
    <x v="128"/>
    <x v="289"/>
    <x v="471"/>
    <x v="5"/>
    <x v="9"/>
    <x v="378"/>
    <x v="0"/>
    <x v="7"/>
    <x v="0"/>
    <x v="1"/>
    <x v="2"/>
    <x v="12"/>
  </r>
  <r>
    <x v="446"/>
    <x v="3"/>
    <x v="802"/>
    <x v="3"/>
    <x v="4"/>
    <x v="4"/>
    <x v="0"/>
    <x v="51"/>
    <x v="9"/>
    <x v="226"/>
    <x v="0"/>
    <x v="108"/>
    <x v="7"/>
    <x v="79"/>
    <x v="471"/>
    <x v="474"/>
    <x v="57"/>
    <x v="6"/>
    <x v="20"/>
    <x v="377"/>
    <x v="0"/>
    <x v="7"/>
    <x v="0"/>
    <x v="1"/>
    <x v="0"/>
    <x v="12"/>
  </r>
  <r>
    <x v="502"/>
    <x v="3"/>
    <x v="494"/>
    <x v="4"/>
    <x v="6"/>
    <x v="4"/>
    <x v="0"/>
    <x v="79"/>
    <x v="9"/>
    <x v="127"/>
    <x v="0"/>
    <x v="71"/>
    <x v="7"/>
    <x v="59"/>
    <x v="23"/>
    <x v="928"/>
    <x v="456"/>
    <x v="6"/>
    <x v="31"/>
    <x v="376"/>
    <x v="0"/>
    <x v="7"/>
    <x v="0"/>
    <x v="1"/>
    <x v="0"/>
    <x v="12"/>
  </r>
  <r>
    <x v="452"/>
    <x v="3"/>
    <x v="861"/>
    <x v="4"/>
    <x v="4"/>
    <x v="4"/>
    <x v="0"/>
    <x v="51"/>
    <x v="9"/>
    <x v="132"/>
    <x v="0"/>
    <x v="42"/>
    <x v="7"/>
    <x v="147"/>
    <x v="430"/>
    <x v="804"/>
    <x v="204"/>
    <x v="6"/>
    <x v="35"/>
    <x v="375"/>
    <x v="0"/>
    <x v="7"/>
    <x v="0"/>
    <x v="1"/>
    <x v="0"/>
    <x v="12"/>
  </r>
  <r>
    <x v="327"/>
    <x v="2"/>
    <x v="676"/>
    <x v="3"/>
    <x v="4"/>
    <x v="4"/>
    <x v="0"/>
    <x v="35"/>
    <x v="9"/>
    <x v="233"/>
    <x v="0"/>
    <x v="129"/>
    <x v="7"/>
    <x v="122"/>
    <x v="511"/>
    <x v="467"/>
    <x v="330"/>
    <x v="6"/>
    <x v="20"/>
    <x v="374"/>
    <x v="0"/>
    <x v="7"/>
    <x v="0"/>
    <x v="1"/>
    <x v="0"/>
    <x v="12"/>
  </r>
  <r>
    <x v="631"/>
    <x v="5"/>
    <x v="426"/>
    <x v="4"/>
    <x v="6"/>
    <x v="4"/>
    <x v="0"/>
    <x v="95"/>
    <x v="9"/>
    <x v="253"/>
    <x v="0"/>
    <x v="104"/>
    <x v="7"/>
    <x v="82"/>
    <x v="507"/>
    <x v="456"/>
    <x v="330"/>
    <x v="6"/>
    <x v="20"/>
    <x v="373"/>
    <x v="0"/>
    <x v="7"/>
    <x v="0"/>
    <x v="1"/>
    <x v="1"/>
    <x v="12"/>
  </r>
  <r>
    <x v="150"/>
    <x v="0"/>
    <x v="425"/>
    <x v="0"/>
    <x v="4"/>
    <x v="4"/>
    <x v="0"/>
    <x v="0"/>
    <x v="9"/>
    <x v="169"/>
    <x v="0"/>
    <x v="124"/>
    <x v="7"/>
    <x v="118"/>
    <x v="515"/>
    <x v="457"/>
    <x v="191"/>
    <x v="6"/>
    <x v="20"/>
    <x v="372"/>
    <x v="1"/>
    <x v="7"/>
    <x v="0"/>
    <x v="1"/>
    <x v="0"/>
    <x v="12"/>
  </r>
  <r>
    <x v="949"/>
    <x v="14"/>
    <x v="391"/>
    <x v="8"/>
    <x v="6"/>
    <x v="4"/>
    <x v="0"/>
    <x v="261"/>
    <x v="9"/>
    <x v="196"/>
    <x v="0"/>
    <x v="144"/>
    <x v="7"/>
    <x v="136"/>
    <x v="496"/>
    <x v="472"/>
    <x v="445"/>
    <x v="6"/>
    <x v="20"/>
    <x v="371"/>
    <x v="0"/>
    <x v="7"/>
    <x v="0"/>
    <x v="1"/>
    <x v="2"/>
    <x v="12"/>
  </r>
  <r>
    <x v="920"/>
    <x v="13"/>
    <x v="391"/>
    <x v="7"/>
    <x v="7"/>
    <x v="4"/>
    <x v="0"/>
    <x v="267"/>
    <x v="3"/>
    <x v="0"/>
    <x v="0"/>
    <x v="0"/>
    <x v="8"/>
    <x v="149"/>
    <x v="497"/>
    <x v="466"/>
    <x v="445"/>
    <x v="1"/>
    <x v="20"/>
    <x v="371"/>
    <x v="0"/>
    <x v="8"/>
    <x v="0"/>
    <x v="1"/>
    <x v="2"/>
    <x v="12"/>
  </r>
  <r>
    <x v="977"/>
    <x v="21"/>
    <x v="390"/>
    <x v="0"/>
    <x v="5"/>
    <x v="4"/>
    <x v="0"/>
    <x v="252"/>
    <x v="7"/>
    <x v="171"/>
    <x v="0"/>
    <x v="161"/>
    <x v="8"/>
    <x v="134"/>
    <x v="454"/>
    <x v="478"/>
    <x v="57"/>
    <x v="6"/>
    <x v="20"/>
    <x v="370"/>
    <x v="0"/>
    <x v="8"/>
    <x v="0"/>
    <x v="1"/>
    <x v="3"/>
    <x v="12"/>
  </r>
  <r>
    <x v="482"/>
    <x v="3"/>
    <x v="312"/>
    <x v="5"/>
    <x v="5"/>
    <x v="4"/>
    <x v="0"/>
    <x v="81"/>
    <x v="9"/>
    <x v="306"/>
    <x v="0"/>
    <x v="59"/>
    <x v="7"/>
    <x v="44"/>
    <x v="580"/>
    <x v="193"/>
    <x v="469"/>
    <x v="6"/>
    <x v="10"/>
    <x v="369"/>
    <x v="0"/>
    <x v="7"/>
    <x v="0"/>
    <x v="1"/>
    <x v="0"/>
    <x v="12"/>
  </r>
  <r>
    <x v="777"/>
    <x v="7"/>
    <x v="53"/>
    <x v="0"/>
    <x v="4"/>
    <x v="4"/>
    <x v="0"/>
    <x v="115"/>
    <x v="9"/>
    <x v="111"/>
    <x v="0"/>
    <x v="90"/>
    <x v="7"/>
    <x v="136"/>
    <x v="265"/>
    <x v="886"/>
    <x v="226"/>
    <x v="6"/>
    <x v="56"/>
    <x v="368"/>
    <x v="0"/>
    <x v="7"/>
    <x v="0"/>
    <x v="1"/>
    <x v="1"/>
    <x v="12"/>
  </r>
  <r>
    <x v="67"/>
    <x v="0"/>
    <x v="533"/>
    <x v="5"/>
    <x v="5"/>
    <x v="4"/>
    <x v="0"/>
    <x v="19"/>
    <x v="9"/>
    <x v="150"/>
    <x v="0"/>
    <x v="24"/>
    <x v="7"/>
    <x v="44"/>
    <x v="300"/>
    <x v="845"/>
    <x v="252"/>
    <x v="6"/>
    <x v="56"/>
    <x v="367"/>
    <x v="0"/>
    <x v="7"/>
    <x v="0"/>
    <x v="1"/>
    <x v="0"/>
    <x v="12"/>
  </r>
  <r>
    <x v="954"/>
    <x v="15"/>
    <x v="489"/>
    <x v="9"/>
    <x v="7"/>
    <x v="4"/>
    <x v="0"/>
    <x v="299"/>
    <x v="9"/>
    <x v="293"/>
    <x v="0"/>
    <x v="121"/>
    <x v="7"/>
    <x v="144"/>
    <x v="253"/>
    <x v="207"/>
    <x v="408"/>
    <x v="6"/>
    <x v="37"/>
    <x v="366"/>
    <x v="0"/>
    <x v="7"/>
    <x v="0"/>
    <x v="1"/>
    <x v="3"/>
    <x v="12"/>
  </r>
  <r>
    <x v="855"/>
    <x v="10"/>
    <x v="231"/>
    <x v="0"/>
    <x v="4"/>
    <x v="4"/>
    <x v="0"/>
    <x v="157"/>
    <x v="9"/>
    <x v="70"/>
    <x v="0"/>
    <x v="152"/>
    <x v="7"/>
    <x v="344"/>
    <x v="395"/>
    <x v="496"/>
    <x v="384"/>
    <x v="6"/>
    <x v="20"/>
    <x v="365"/>
    <x v="0"/>
    <x v="7"/>
    <x v="0"/>
    <x v="1"/>
    <x v="2"/>
    <x v="12"/>
  </r>
  <r>
    <x v="766"/>
    <x v="7"/>
    <x v="19"/>
    <x v="7"/>
    <x v="6"/>
    <x v="4"/>
    <x v="0"/>
    <x v="119"/>
    <x v="9"/>
    <x v="226"/>
    <x v="0"/>
    <x v="81"/>
    <x v="6"/>
    <x v="260"/>
    <x v="219"/>
    <x v="929"/>
    <x v="241"/>
    <x v="6"/>
    <x v="54"/>
    <x v="364"/>
    <x v="0"/>
    <x v="6"/>
    <x v="0"/>
    <x v="1"/>
    <x v="1"/>
    <x v="12"/>
  </r>
  <r>
    <x v="541"/>
    <x v="4"/>
    <x v="858"/>
    <x v="3"/>
    <x v="4"/>
    <x v="4"/>
    <x v="0"/>
    <x v="69"/>
    <x v="9"/>
    <x v="146"/>
    <x v="0"/>
    <x v="110"/>
    <x v="6"/>
    <x v="98"/>
    <x v="577"/>
    <x v="597"/>
    <x v="470"/>
    <x v="6"/>
    <x v="20"/>
    <x v="363"/>
    <x v="0"/>
    <x v="6"/>
    <x v="0"/>
    <x v="1"/>
    <x v="0"/>
    <x v="12"/>
  </r>
  <r>
    <x v="445"/>
    <x v="3"/>
    <x v="526"/>
    <x v="5"/>
    <x v="3"/>
    <x v="4"/>
    <x v="0"/>
    <x v="103"/>
    <x v="9"/>
    <x v="310"/>
    <x v="0"/>
    <x v="64"/>
    <x v="6"/>
    <x v="347"/>
    <x v="834"/>
    <x v="640"/>
    <x v="271"/>
    <x v="6"/>
    <x v="56"/>
    <x v="362"/>
    <x v="0"/>
    <x v="6"/>
    <x v="0"/>
    <x v="1"/>
    <x v="0"/>
    <x v="12"/>
  </r>
  <r>
    <x v="208"/>
    <x v="1"/>
    <x v="525"/>
    <x v="8"/>
    <x v="7"/>
    <x v="4"/>
    <x v="0"/>
    <x v="136"/>
    <x v="9"/>
    <x v="338"/>
    <x v="0"/>
    <x v="53"/>
    <x v="7"/>
    <x v="26"/>
    <x v="848"/>
    <x v="655"/>
    <x v="185"/>
    <x v="1"/>
    <x v="23"/>
    <x v="361"/>
    <x v="0"/>
    <x v="7"/>
    <x v="0"/>
    <x v="1"/>
    <x v="0"/>
    <x v="12"/>
  </r>
  <r>
    <x v="385"/>
    <x v="2"/>
    <x v="419"/>
    <x v="6"/>
    <x v="5"/>
    <x v="4"/>
    <x v="0"/>
    <x v="213"/>
    <x v="9"/>
    <x v="209"/>
    <x v="0"/>
    <x v="178"/>
    <x v="7"/>
    <x v="92"/>
    <x v="661"/>
    <x v="152"/>
    <x v="166"/>
    <x v="6"/>
    <x v="56"/>
    <x v="360"/>
    <x v="0"/>
    <x v="7"/>
    <x v="0"/>
    <x v="1"/>
    <x v="0"/>
    <x v="12"/>
  </r>
  <r>
    <x v="533"/>
    <x v="4"/>
    <x v="12"/>
    <x v="0"/>
    <x v="6"/>
    <x v="4"/>
    <x v="0"/>
    <x v="67"/>
    <x v="9"/>
    <x v="107"/>
    <x v="0"/>
    <x v="40"/>
    <x v="7"/>
    <x v="20"/>
    <x v="341"/>
    <x v="826"/>
    <x v="341"/>
    <x v="6"/>
    <x v="42"/>
    <x v="359"/>
    <x v="0"/>
    <x v="7"/>
    <x v="0"/>
    <x v="1"/>
    <x v="0"/>
    <x v="12"/>
  </r>
  <r>
    <x v="302"/>
    <x v="1"/>
    <x v="11"/>
    <x v="0"/>
    <x v="6"/>
    <x v="4"/>
    <x v="0"/>
    <x v="14"/>
    <x v="9"/>
    <x v="79"/>
    <x v="0"/>
    <x v="47"/>
    <x v="0"/>
    <x v="20"/>
    <x v="346"/>
    <x v="827"/>
    <x v="341"/>
    <x v="6"/>
    <x v="42"/>
    <x v="358"/>
    <x v="0"/>
    <x v="0"/>
    <x v="0"/>
    <x v="1"/>
    <x v="0"/>
    <x v="12"/>
  </r>
  <r>
    <x v="962"/>
    <x v="17"/>
    <x v="10"/>
    <x v="9"/>
    <x v="7"/>
    <x v="4"/>
    <x v="0"/>
    <x v="239"/>
    <x v="9"/>
    <x v="191"/>
    <x v="0"/>
    <x v="34"/>
    <x v="7"/>
    <x v="94"/>
    <x v="315"/>
    <x v="830"/>
    <x v="133"/>
    <x v="6"/>
    <x v="42"/>
    <x v="357"/>
    <x v="0"/>
    <x v="7"/>
    <x v="0"/>
    <x v="1"/>
    <x v="3"/>
    <x v="12"/>
  </r>
  <r>
    <x v="387"/>
    <x v="2"/>
    <x v="816"/>
    <x v="7"/>
    <x v="7"/>
    <x v="4"/>
    <x v="0"/>
    <x v="106"/>
    <x v="9"/>
    <x v="225"/>
    <x v="0"/>
    <x v="108"/>
    <x v="7"/>
    <x v="9"/>
    <x v="843"/>
    <x v="649"/>
    <x v="292"/>
    <x v="1"/>
    <x v="23"/>
    <x v="356"/>
    <x v="0"/>
    <x v="7"/>
    <x v="0"/>
    <x v="1"/>
    <x v="0"/>
    <x v="12"/>
  </r>
  <r>
    <x v="687"/>
    <x v="6"/>
    <x v="815"/>
    <x v="3"/>
    <x v="5"/>
    <x v="4"/>
    <x v="0"/>
    <x v="103"/>
    <x v="9"/>
    <x v="183"/>
    <x v="0"/>
    <x v="118"/>
    <x v="6"/>
    <x v="134"/>
    <x v="153"/>
    <x v="951"/>
    <x v="161"/>
    <x v="6"/>
    <x v="56"/>
    <x v="355"/>
    <x v="0"/>
    <x v="6"/>
    <x v="0"/>
    <x v="1"/>
    <x v="1"/>
    <x v="12"/>
  </r>
  <r>
    <x v="362"/>
    <x v="2"/>
    <x v="655"/>
    <x v="0"/>
    <x v="5"/>
    <x v="4"/>
    <x v="0"/>
    <x v="31"/>
    <x v="9"/>
    <x v="80"/>
    <x v="0"/>
    <x v="187"/>
    <x v="7"/>
    <x v="26"/>
    <x v="523"/>
    <x v="589"/>
    <x v="391"/>
    <x v="6"/>
    <x v="20"/>
    <x v="354"/>
    <x v="0"/>
    <x v="7"/>
    <x v="0"/>
    <x v="1"/>
    <x v="0"/>
    <x v="12"/>
  </r>
  <r>
    <x v="844"/>
    <x v="10"/>
    <x v="684"/>
    <x v="6"/>
    <x v="4"/>
    <x v="4"/>
    <x v="0"/>
    <x v="164"/>
    <x v="9"/>
    <x v="271"/>
    <x v="0"/>
    <x v="93"/>
    <x v="7"/>
    <x v="82"/>
    <x v="554"/>
    <x v="571"/>
    <x v="459"/>
    <x v="6"/>
    <x v="20"/>
    <x v="353"/>
    <x v="0"/>
    <x v="7"/>
    <x v="0"/>
    <x v="1"/>
    <x v="2"/>
    <x v="12"/>
  </r>
  <r>
    <x v="963"/>
    <x v="17"/>
    <x v="402"/>
    <x v="4"/>
    <x v="4"/>
    <x v="4"/>
    <x v="0"/>
    <x v="241"/>
    <x v="9"/>
    <x v="289"/>
    <x v="0"/>
    <x v="30"/>
    <x v="7"/>
    <x v="20"/>
    <x v="917"/>
    <x v="814"/>
    <x v="465"/>
    <x v="6"/>
    <x v="56"/>
    <x v="352"/>
    <x v="1"/>
    <x v="7"/>
    <x v="0"/>
    <x v="1"/>
    <x v="3"/>
    <x v="12"/>
  </r>
  <r>
    <x v="564"/>
    <x v="4"/>
    <x v="872"/>
    <x v="6"/>
    <x v="6"/>
    <x v="4"/>
    <x v="0"/>
    <x v="115"/>
    <x v="9"/>
    <x v="208"/>
    <x v="0"/>
    <x v="156"/>
    <x v="7"/>
    <x v="20"/>
    <x v="731"/>
    <x v="516"/>
    <x v="144"/>
    <x v="1"/>
    <x v="44"/>
    <x v="351"/>
    <x v="0"/>
    <x v="7"/>
    <x v="0"/>
    <x v="1"/>
    <x v="0"/>
    <x v="11"/>
  </r>
  <r>
    <x v="712"/>
    <x v="6"/>
    <x v="871"/>
    <x v="8"/>
    <x v="6"/>
    <x v="4"/>
    <x v="0"/>
    <x v="237"/>
    <x v="9"/>
    <x v="332"/>
    <x v="0"/>
    <x v="144"/>
    <x v="6"/>
    <x v="20"/>
    <x v="728"/>
    <x v="518"/>
    <x v="144"/>
    <x v="1"/>
    <x v="44"/>
    <x v="350"/>
    <x v="0"/>
    <x v="6"/>
    <x v="0"/>
    <x v="1"/>
    <x v="1"/>
    <x v="11"/>
  </r>
  <r>
    <x v="975"/>
    <x v="20"/>
    <x v="498"/>
    <x v="4"/>
    <x v="6"/>
    <x v="4"/>
    <x v="0"/>
    <x v="249"/>
    <x v="9"/>
    <x v="274"/>
    <x v="0"/>
    <x v="86"/>
    <x v="7"/>
    <x v="20"/>
    <x v="918"/>
    <x v="801"/>
    <x v="211"/>
    <x v="6"/>
    <x v="56"/>
    <x v="349"/>
    <x v="1"/>
    <x v="7"/>
    <x v="0"/>
    <x v="1"/>
    <x v="3"/>
    <x v="11"/>
  </r>
  <r>
    <x v="192"/>
    <x v="1"/>
    <x v="213"/>
    <x v="0"/>
    <x v="5"/>
    <x v="4"/>
    <x v="0"/>
    <x v="14"/>
    <x v="9"/>
    <x v="135"/>
    <x v="0"/>
    <x v="68"/>
    <x v="7"/>
    <x v="22"/>
    <x v="372"/>
    <x v="767"/>
    <x v="197"/>
    <x v="6"/>
    <x v="56"/>
    <x v="348"/>
    <x v="0"/>
    <x v="7"/>
    <x v="0"/>
    <x v="1"/>
    <x v="0"/>
    <x v="11"/>
  </r>
  <r>
    <x v="392"/>
    <x v="2"/>
    <x v="677"/>
    <x v="5"/>
    <x v="5"/>
    <x v="4"/>
    <x v="0"/>
    <x v="67"/>
    <x v="9"/>
    <x v="194"/>
    <x v="0"/>
    <x v="215"/>
    <x v="7"/>
    <x v="92"/>
    <x v="252"/>
    <x v="206"/>
    <x v="408"/>
    <x v="6"/>
    <x v="37"/>
    <x v="347"/>
    <x v="0"/>
    <x v="7"/>
    <x v="0"/>
    <x v="1"/>
    <x v="0"/>
    <x v="11"/>
  </r>
  <r>
    <x v="315"/>
    <x v="2"/>
    <x v="576"/>
    <x v="5"/>
    <x v="5"/>
    <x v="4"/>
    <x v="0"/>
    <x v="32"/>
    <x v="9"/>
    <x v="251"/>
    <x v="0"/>
    <x v="43"/>
    <x v="7"/>
    <x v="127"/>
    <x v="394"/>
    <x v="765"/>
    <x v="197"/>
    <x v="6"/>
    <x v="35"/>
    <x v="346"/>
    <x v="0"/>
    <x v="7"/>
    <x v="0"/>
    <x v="1"/>
    <x v="0"/>
    <x v="11"/>
  </r>
  <r>
    <x v="338"/>
    <x v="2"/>
    <x v="493"/>
    <x v="8"/>
    <x v="8"/>
    <x v="4"/>
    <x v="0"/>
    <x v="311"/>
    <x v="4"/>
    <x v="5"/>
    <x v="0"/>
    <x v="249"/>
    <x v="1"/>
    <x v="143"/>
    <x v="723"/>
    <x v="79"/>
    <x v="367"/>
    <x v="6"/>
    <x v="53"/>
    <x v="345"/>
    <x v="0"/>
    <x v="1"/>
    <x v="0"/>
    <x v="1"/>
    <x v="0"/>
    <x v="11"/>
  </r>
  <r>
    <x v="552"/>
    <x v="4"/>
    <x v="915"/>
    <x v="3"/>
    <x v="2"/>
    <x v="4"/>
    <x v="0"/>
    <x v="72"/>
    <x v="9"/>
    <x v="325"/>
    <x v="0"/>
    <x v="86"/>
    <x v="7"/>
    <x v="111"/>
    <x v="203"/>
    <x v="62"/>
    <x v="145"/>
    <x v="6"/>
    <x v="56"/>
    <x v="344"/>
    <x v="0"/>
    <x v="7"/>
    <x v="0"/>
    <x v="1"/>
    <x v="0"/>
    <x v="11"/>
  </r>
  <r>
    <x v="485"/>
    <x v="3"/>
    <x v="21"/>
    <x v="0"/>
    <x v="5"/>
    <x v="4"/>
    <x v="0"/>
    <x v="49"/>
    <x v="9"/>
    <x v="202"/>
    <x v="0"/>
    <x v="139"/>
    <x v="6"/>
    <x v="141"/>
    <x v="359"/>
    <x v="824"/>
    <x v="341"/>
    <x v="6"/>
    <x v="35"/>
    <x v="343"/>
    <x v="0"/>
    <x v="6"/>
    <x v="0"/>
    <x v="1"/>
    <x v="0"/>
    <x v="11"/>
  </r>
  <r>
    <x v="125"/>
    <x v="0"/>
    <x v="794"/>
    <x v="0"/>
    <x v="5"/>
    <x v="4"/>
    <x v="0"/>
    <x v="0"/>
    <x v="9"/>
    <x v="323"/>
    <x v="0"/>
    <x v="203"/>
    <x v="6"/>
    <x v="157"/>
    <x v="933"/>
    <x v="835"/>
    <x v="327"/>
    <x v="1"/>
    <x v="39"/>
    <x v="342"/>
    <x v="0"/>
    <x v="6"/>
    <x v="0"/>
    <x v="1"/>
    <x v="0"/>
    <x v="11"/>
  </r>
  <r>
    <x v="487"/>
    <x v="3"/>
    <x v="209"/>
    <x v="5"/>
    <x v="4"/>
    <x v="4"/>
    <x v="0"/>
    <x v="51"/>
    <x v="9"/>
    <x v="260"/>
    <x v="0"/>
    <x v="124"/>
    <x v="6"/>
    <x v="287"/>
    <x v="216"/>
    <x v="930"/>
    <x v="311"/>
    <x v="6"/>
    <x v="54"/>
    <x v="341"/>
    <x v="0"/>
    <x v="6"/>
    <x v="0"/>
    <x v="1"/>
    <x v="0"/>
    <x v="11"/>
  </r>
  <r>
    <x v="904"/>
    <x v="12"/>
    <x v="566"/>
    <x v="7"/>
    <x v="4"/>
    <x v="4"/>
    <x v="0"/>
    <x v="202"/>
    <x v="9"/>
    <x v="137"/>
    <x v="0"/>
    <x v="174"/>
    <x v="7"/>
    <x v="72"/>
    <x v="308"/>
    <x v="496"/>
    <x v="430"/>
    <x v="6"/>
    <x v="56"/>
    <x v="340"/>
    <x v="0"/>
    <x v="7"/>
    <x v="0"/>
    <x v="1"/>
    <x v="2"/>
    <x v="11"/>
  </r>
  <r>
    <x v="13"/>
    <x v="0"/>
    <x v="904"/>
    <x v="0"/>
    <x v="5"/>
    <x v="4"/>
    <x v="0"/>
    <x v="0"/>
    <x v="9"/>
    <x v="215"/>
    <x v="0"/>
    <x v="80"/>
    <x v="7"/>
    <x v="134"/>
    <x v="402"/>
    <x v="766"/>
    <x v="197"/>
    <x v="6"/>
    <x v="35"/>
    <x v="339"/>
    <x v="0"/>
    <x v="7"/>
    <x v="0"/>
    <x v="1"/>
    <x v="0"/>
    <x v="11"/>
  </r>
  <r>
    <x v="247"/>
    <x v="1"/>
    <x v="726"/>
    <x v="0"/>
    <x v="6"/>
    <x v="4"/>
    <x v="0"/>
    <x v="14"/>
    <x v="9"/>
    <x v="258"/>
    <x v="0"/>
    <x v="137"/>
    <x v="7"/>
    <x v="65"/>
    <x v="987"/>
    <x v="885"/>
    <x v="468"/>
    <x v="1"/>
    <x v="39"/>
    <x v="338"/>
    <x v="0"/>
    <x v="7"/>
    <x v="0"/>
    <x v="1"/>
    <x v="0"/>
    <x v="11"/>
  </r>
  <r>
    <x v="466"/>
    <x v="3"/>
    <x v="518"/>
    <x v="4"/>
    <x v="4"/>
    <x v="4"/>
    <x v="0"/>
    <x v="57"/>
    <x v="9"/>
    <x v="324"/>
    <x v="0"/>
    <x v="49"/>
    <x v="6"/>
    <x v="26"/>
    <x v="539"/>
    <x v="443"/>
    <x v="431"/>
    <x v="6"/>
    <x v="56"/>
    <x v="337"/>
    <x v="0"/>
    <x v="6"/>
    <x v="0"/>
    <x v="1"/>
    <x v="0"/>
    <x v="11"/>
  </r>
  <r>
    <x v="955"/>
    <x v="15"/>
    <x v="89"/>
    <x v="7"/>
    <x v="6"/>
    <x v="4"/>
    <x v="0"/>
    <x v="230"/>
    <x v="9"/>
    <x v="294"/>
    <x v="0"/>
    <x v="84"/>
    <x v="7"/>
    <x v="185"/>
    <x v="159"/>
    <x v="55"/>
    <x v="340"/>
    <x v="6"/>
    <x v="56"/>
    <x v="336"/>
    <x v="0"/>
    <x v="7"/>
    <x v="0"/>
    <x v="1"/>
    <x v="3"/>
    <x v="11"/>
  </r>
  <r>
    <x v="957"/>
    <x v="15"/>
    <x v="89"/>
    <x v="8"/>
    <x v="8"/>
    <x v="4"/>
    <x v="0"/>
    <x v="240"/>
    <x v="3"/>
    <x v="0"/>
    <x v="0"/>
    <x v="0"/>
    <x v="8"/>
    <x v="198"/>
    <x v="162"/>
    <x v="56"/>
    <x v="340"/>
    <x v="6"/>
    <x v="56"/>
    <x v="336"/>
    <x v="0"/>
    <x v="8"/>
    <x v="0"/>
    <x v="1"/>
    <x v="3"/>
    <x v="11"/>
  </r>
  <r>
    <x v="117"/>
    <x v="0"/>
    <x v="958"/>
    <x v="7"/>
    <x v="6"/>
    <x v="4"/>
    <x v="0"/>
    <x v="3"/>
    <x v="9"/>
    <x v="96"/>
    <x v="0"/>
    <x v="198"/>
    <x v="7"/>
    <x v="26"/>
    <x v="95"/>
    <x v="267"/>
    <x v="101"/>
    <x v="6"/>
    <x v="9"/>
    <x v="335"/>
    <x v="0"/>
    <x v="7"/>
    <x v="0"/>
    <x v="1"/>
    <x v="0"/>
    <x v="11"/>
  </r>
  <r>
    <x v="407"/>
    <x v="2"/>
    <x v="957"/>
    <x v="6"/>
    <x v="6"/>
    <x v="4"/>
    <x v="0"/>
    <x v="35"/>
    <x v="9"/>
    <x v="93"/>
    <x v="0"/>
    <x v="120"/>
    <x v="6"/>
    <x v="26"/>
    <x v="96"/>
    <x v="268"/>
    <x v="101"/>
    <x v="6"/>
    <x v="9"/>
    <x v="334"/>
    <x v="0"/>
    <x v="6"/>
    <x v="0"/>
    <x v="1"/>
    <x v="0"/>
    <x v="11"/>
  </r>
  <r>
    <x v="288"/>
    <x v="1"/>
    <x v="928"/>
    <x v="0"/>
    <x v="7"/>
    <x v="4"/>
    <x v="0"/>
    <x v="14"/>
    <x v="9"/>
    <x v="302"/>
    <x v="0"/>
    <x v="139"/>
    <x v="7"/>
    <x v="22"/>
    <x v="986"/>
    <x v="927"/>
    <x v="468"/>
    <x v="1"/>
    <x v="39"/>
    <x v="333"/>
    <x v="0"/>
    <x v="7"/>
    <x v="0"/>
    <x v="1"/>
    <x v="0"/>
    <x v="11"/>
  </r>
  <r>
    <x v="886"/>
    <x v="11"/>
    <x v="662"/>
    <x v="0"/>
    <x v="7"/>
    <x v="4"/>
    <x v="0"/>
    <x v="171"/>
    <x v="9"/>
    <x v="277"/>
    <x v="0"/>
    <x v="67"/>
    <x v="7"/>
    <x v="82"/>
    <x v="988"/>
    <x v="910"/>
    <x v="468"/>
    <x v="1"/>
    <x v="39"/>
    <x v="332"/>
    <x v="0"/>
    <x v="7"/>
    <x v="0"/>
    <x v="1"/>
    <x v="2"/>
    <x v="11"/>
  </r>
  <r>
    <x v="25"/>
    <x v="0"/>
    <x v="196"/>
    <x v="3"/>
    <x v="4"/>
    <x v="4"/>
    <x v="0"/>
    <x v="4"/>
    <x v="9"/>
    <x v="77"/>
    <x v="0"/>
    <x v="119"/>
    <x v="7"/>
    <x v="37"/>
    <x v="204"/>
    <x v="978"/>
    <x v="227"/>
    <x v="6"/>
    <x v="56"/>
    <x v="331"/>
    <x v="0"/>
    <x v="7"/>
    <x v="0"/>
    <x v="1"/>
    <x v="0"/>
    <x v="11"/>
  </r>
  <r>
    <x v="322"/>
    <x v="2"/>
    <x v="443"/>
    <x v="0"/>
    <x v="6"/>
    <x v="4"/>
    <x v="0"/>
    <x v="31"/>
    <x v="9"/>
    <x v="108"/>
    <x v="0"/>
    <x v="90"/>
    <x v="6"/>
    <x v="123"/>
    <x v="480"/>
    <x v="592"/>
    <x v="22"/>
    <x v="6"/>
    <x v="20"/>
    <x v="330"/>
    <x v="0"/>
    <x v="6"/>
    <x v="0"/>
    <x v="1"/>
    <x v="0"/>
    <x v="11"/>
  </r>
  <r>
    <x v="632"/>
    <x v="5"/>
    <x v="719"/>
    <x v="5"/>
    <x v="8"/>
    <x v="4"/>
    <x v="0"/>
    <x v="172"/>
    <x v="9"/>
    <x v="172"/>
    <x v="0"/>
    <x v="105"/>
    <x v="6"/>
    <x v="22"/>
    <x v="146"/>
    <x v="357"/>
    <x v="93"/>
    <x v="0"/>
    <x v="28"/>
    <x v="329"/>
    <x v="0"/>
    <x v="6"/>
    <x v="0"/>
    <x v="1"/>
    <x v="1"/>
    <x v="11"/>
  </r>
  <r>
    <x v="366"/>
    <x v="2"/>
    <x v="222"/>
    <x v="7"/>
    <x v="5"/>
    <x v="4"/>
    <x v="0"/>
    <x v="195"/>
    <x v="9"/>
    <x v="335"/>
    <x v="0"/>
    <x v="77"/>
    <x v="6"/>
    <x v="210"/>
    <x v="822"/>
    <x v="342"/>
    <x v="214"/>
    <x v="2"/>
    <x v="15"/>
    <x v="328"/>
    <x v="0"/>
    <x v="6"/>
    <x v="0"/>
    <x v="1"/>
    <x v="0"/>
    <x v="11"/>
  </r>
  <r>
    <x v="283"/>
    <x v="1"/>
    <x v="101"/>
    <x v="7"/>
    <x v="5"/>
    <x v="4"/>
    <x v="0"/>
    <x v="41"/>
    <x v="9"/>
    <x v="118"/>
    <x v="0"/>
    <x v="205"/>
    <x v="7"/>
    <x v="37"/>
    <x v="764"/>
    <x v="110"/>
    <x v="39"/>
    <x v="6"/>
    <x v="56"/>
    <x v="327"/>
    <x v="0"/>
    <x v="7"/>
    <x v="0"/>
    <x v="1"/>
    <x v="0"/>
    <x v="11"/>
  </r>
  <r>
    <x v="102"/>
    <x v="0"/>
    <x v="400"/>
    <x v="6"/>
    <x v="4"/>
    <x v="4"/>
    <x v="0"/>
    <x v="59"/>
    <x v="9"/>
    <x v="248"/>
    <x v="0"/>
    <x v="82"/>
    <x v="6"/>
    <x v="334"/>
    <x v="824"/>
    <x v="390"/>
    <x v="27"/>
    <x v="1"/>
    <x v="0"/>
    <x v="326"/>
    <x v="0"/>
    <x v="6"/>
    <x v="0"/>
    <x v="1"/>
    <x v="0"/>
    <x v="10"/>
  </r>
  <r>
    <x v="504"/>
    <x v="3"/>
    <x v="155"/>
    <x v="5"/>
    <x v="6"/>
    <x v="4"/>
    <x v="0"/>
    <x v="79"/>
    <x v="9"/>
    <x v="265"/>
    <x v="0"/>
    <x v="78"/>
    <x v="7"/>
    <x v="82"/>
    <x v="381"/>
    <x v="350"/>
    <x v="179"/>
    <x v="0"/>
    <x v="46"/>
    <x v="325"/>
    <x v="0"/>
    <x v="7"/>
    <x v="0"/>
    <x v="1"/>
    <x v="0"/>
    <x v="10"/>
  </r>
  <r>
    <x v="123"/>
    <x v="0"/>
    <x v="61"/>
    <x v="4"/>
    <x v="4"/>
    <x v="4"/>
    <x v="0"/>
    <x v="26"/>
    <x v="9"/>
    <x v="207"/>
    <x v="0"/>
    <x v="207"/>
    <x v="7"/>
    <x v="120"/>
    <x v="863"/>
    <x v="687"/>
    <x v="164"/>
    <x v="6"/>
    <x v="56"/>
    <x v="324"/>
    <x v="0"/>
    <x v="7"/>
    <x v="0"/>
    <x v="1"/>
    <x v="0"/>
    <x v="10"/>
  </r>
  <r>
    <x v="104"/>
    <x v="0"/>
    <x v="648"/>
    <x v="3"/>
    <x v="5"/>
    <x v="4"/>
    <x v="0"/>
    <x v="1"/>
    <x v="9"/>
    <x v="138"/>
    <x v="0"/>
    <x v="84"/>
    <x v="6"/>
    <x v="79"/>
    <x v="566"/>
    <x v="440"/>
    <x v="429"/>
    <x v="6"/>
    <x v="20"/>
    <x v="323"/>
    <x v="0"/>
    <x v="6"/>
    <x v="0"/>
    <x v="1"/>
    <x v="0"/>
    <x v="10"/>
  </r>
  <r>
    <x v="499"/>
    <x v="3"/>
    <x v="580"/>
    <x v="0"/>
    <x v="5"/>
    <x v="4"/>
    <x v="0"/>
    <x v="49"/>
    <x v="9"/>
    <x v="238"/>
    <x v="0"/>
    <x v="148"/>
    <x v="6"/>
    <x v="286"/>
    <x v="126"/>
    <x v="294"/>
    <x v="404"/>
    <x v="5"/>
    <x v="5"/>
    <x v="322"/>
    <x v="0"/>
    <x v="6"/>
    <x v="0"/>
    <x v="1"/>
    <x v="0"/>
    <x v="10"/>
  </r>
  <r>
    <x v="876"/>
    <x v="11"/>
    <x v="240"/>
    <x v="9"/>
    <x v="8"/>
    <x v="4"/>
    <x v="0"/>
    <x v="288"/>
    <x v="9"/>
    <x v="329"/>
    <x v="0"/>
    <x v="88"/>
    <x v="7"/>
    <x v="103"/>
    <x v="803"/>
    <x v="395"/>
    <x v="285"/>
    <x v="1"/>
    <x v="33"/>
    <x v="321"/>
    <x v="0"/>
    <x v="7"/>
    <x v="0"/>
    <x v="1"/>
    <x v="2"/>
    <x v="10"/>
  </r>
  <r>
    <x v="182"/>
    <x v="1"/>
    <x v="940"/>
    <x v="0"/>
    <x v="5"/>
    <x v="4"/>
    <x v="0"/>
    <x v="14"/>
    <x v="9"/>
    <x v="165"/>
    <x v="0"/>
    <x v="60"/>
    <x v="7"/>
    <x v="98"/>
    <x v="416"/>
    <x v="778"/>
    <x v="204"/>
    <x v="6"/>
    <x v="35"/>
    <x v="320"/>
    <x v="0"/>
    <x v="7"/>
    <x v="0"/>
    <x v="1"/>
    <x v="0"/>
    <x v="10"/>
  </r>
  <r>
    <x v="856"/>
    <x v="10"/>
    <x v="860"/>
    <x v="8"/>
    <x v="6"/>
    <x v="4"/>
    <x v="0"/>
    <x v="234"/>
    <x v="9"/>
    <x v="320"/>
    <x v="0"/>
    <x v="124"/>
    <x v="6"/>
    <x v="254"/>
    <x v="404"/>
    <x v="208"/>
    <x v="501"/>
    <x v="5"/>
    <x v="37"/>
    <x v="319"/>
    <x v="0"/>
    <x v="6"/>
    <x v="0"/>
    <x v="1"/>
    <x v="2"/>
    <x v="10"/>
  </r>
  <r>
    <x v="871"/>
    <x v="11"/>
    <x v="266"/>
    <x v="5"/>
    <x v="6"/>
    <x v="4"/>
    <x v="0"/>
    <x v="172"/>
    <x v="9"/>
    <x v="232"/>
    <x v="0"/>
    <x v="78"/>
    <x v="7"/>
    <x v="229"/>
    <x v="450"/>
    <x v="803"/>
    <x v="204"/>
    <x v="6"/>
    <x v="35"/>
    <x v="318"/>
    <x v="0"/>
    <x v="7"/>
    <x v="0"/>
    <x v="1"/>
    <x v="2"/>
    <x v="10"/>
  </r>
  <r>
    <x v="769"/>
    <x v="7"/>
    <x v="532"/>
    <x v="7"/>
    <x v="6"/>
    <x v="4"/>
    <x v="0"/>
    <x v="256"/>
    <x v="9"/>
    <x v="322"/>
    <x v="0"/>
    <x v="76"/>
    <x v="7"/>
    <x v="138"/>
    <x v="867"/>
    <x v="686"/>
    <x v="164"/>
    <x v="6"/>
    <x v="56"/>
    <x v="317"/>
    <x v="0"/>
    <x v="7"/>
    <x v="0"/>
    <x v="1"/>
    <x v="1"/>
    <x v="10"/>
  </r>
  <r>
    <x v="779"/>
    <x v="7"/>
    <x v="793"/>
    <x v="4"/>
    <x v="4"/>
    <x v="4"/>
    <x v="0"/>
    <x v="123"/>
    <x v="9"/>
    <x v="298"/>
    <x v="0"/>
    <x v="125"/>
    <x v="7"/>
    <x v="49"/>
    <x v="616"/>
    <x v="414"/>
    <x v="305"/>
    <x v="6"/>
    <x v="56"/>
    <x v="316"/>
    <x v="1"/>
    <x v="7"/>
    <x v="0"/>
    <x v="1"/>
    <x v="1"/>
    <x v="10"/>
  </r>
  <r>
    <x v="415"/>
    <x v="2"/>
    <x v="144"/>
    <x v="3"/>
    <x v="5"/>
    <x v="4"/>
    <x v="0"/>
    <x v="33"/>
    <x v="9"/>
    <x v="161"/>
    <x v="0"/>
    <x v="98"/>
    <x v="7"/>
    <x v="79"/>
    <x v="559"/>
    <x v="444"/>
    <x v="431"/>
    <x v="6"/>
    <x v="20"/>
    <x v="315"/>
    <x v="0"/>
    <x v="7"/>
    <x v="0"/>
    <x v="1"/>
    <x v="0"/>
    <x v="10"/>
  </r>
  <r>
    <x v="239"/>
    <x v="1"/>
    <x v="47"/>
    <x v="6"/>
    <x v="4"/>
    <x v="4"/>
    <x v="0"/>
    <x v="57"/>
    <x v="9"/>
    <x v="196"/>
    <x v="0"/>
    <x v="88"/>
    <x v="7"/>
    <x v="107"/>
    <x v="639"/>
    <x v="169"/>
    <x v="401"/>
    <x v="6"/>
    <x v="56"/>
    <x v="314"/>
    <x v="0"/>
    <x v="7"/>
    <x v="0"/>
    <x v="1"/>
    <x v="0"/>
    <x v="10"/>
  </r>
  <r>
    <x v="749"/>
    <x v="7"/>
    <x v="481"/>
    <x v="5"/>
    <x v="3"/>
    <x v="4"/>
    <x v="0"/>
    <x v="292"/>
    <x v="9"/>
    <x v="178"/>
    <x v="0"/>
    <x v="155"/>
    <x v="7"/>
    <x v="49"/>
    <x v="898"/>
    <x v="98"/>
    <x v="61"/>
    <x v="6"/>
    <x v="56"/>
    <x v="313"/>
    <x v="0"/>
    <x v="7"/>
    <x v="0"/>
    <x v="1"/>
    <x v="1"/>
    <x v="10"/>
  </r>
  <r>
    <x v="917"/>
    <x v="13"/>
    <x v="418"/>
    <x v="8"/>
    <x v="6"/>
    <x v="4"/>
    <x v="0"/>
    <x v="235"/>
    <x v="9"/>
    <x v="328"/>
    <x v="0"/>
    <x v="48"/>
    <x v="6"/>
    <x v="255"/>
    <x v="163"/>
    <x v="290"/>
    <x v="160"/>
    <x v="5"/>
    <x v="9"/>
    <x v="312"/>
    <x v="0"/>
    <x v="6"/>
    <x v="0"/>
    <x v="1"/>
    <x v="2"/>
    <x v="10"/>
  </r>
  <r>
    <x v="595"/>
    <x v="4"/>
    <x v="629"/>
    <x v="5"/>
    <x v="6"/>
    <x v="4"/>
    <x v="0"/>
    <x v="75"/>
    <x v="9"/>
    <x v="297"/>
    <x v="0"/>
    <x v="123"/>
    <x v="7"/>
    <x v="122"/>
    <x v="564"/>
    <x v="441"/>
    <x v="431"/>
    <x v="6"/>
    <x v="20"/>
    <x v="311"/>
    <x v="0"/>
    <x v="7"/>
    <x v="0"/>
    <x v="1"/>
    <x v="0"/>
    <x v="10"/>
  </r>
  <r>
    <x v="331"/>
    <x v="2"/>
    <x v="448"/>
    <x v="6"/>
    <x v="4"/>
    <x v="4"/>
    <x v="0"/>
    <x v="66"/>
    <x v="9"/>
    <x v="319"/>
    <x v="0"/>
    <x v="86"/>
    <x v="6"/>
    <x v="134"/>
    <x v="546"/>
    <x v="449"/>
    <x v="331"/>
    <x v="6"/>
    <x v="20"/>
    <x v="310"/>
    <x v="0"/>
    <x v="6"/>
    <x v="0"/>
    <x v="1"/>
    <x v="0"/>
    <x v="10"/>
  </r>
  <r>
    <x v="3"/>
    <x v="0"/>
    <x v="295"/>
    <x v="3"/>
    <x v="5"/>
    <x v="4"/>
    <x v="0"/>
    <x v="7"/>
    <x v="9"/>
    <x v="216"/>
    <x v="0"/>
    <x v="89"/>
    <x v="7"/>
    <x v="122"/>
    <x v="514"/>
    <x v="458"/>
    <x v="330"/>
    <x v="6"/>
    <x v="20"/>
    <x v="309"/>
    <x v="0"/>
    <x v="7"/>
    <x v="0"/>
    <x v="1"/>
    <x v="0"/>
    <x v="10"/>
  </r>
  <r>
    <x v="326"/>
    <x v="2"/>
    <x v="294"/>
    <x v="5"/>
    <x v="5"/>
    <x v="4"/>
    <x v="0"/>
    <x v="55"/>
    <x v="9"/>
    <x v="308"/>
    <x v="0"/>
    <x v="89"/>
    <x v="7"/>
    <x v="65"/>
    <x v="516"/>
    <x v="455"/>
    <x v="330"/>
    <x v="6"/>
    <x v="20"/>
    <x v="308"/>
    <x v="0"/>
    <x v="7"/>
    <x v="0"/>
    <x v="1"/>
    <x v="0"/>
    <x v="10"/>
  </r>
  <r>
    <x v="979"/>
    <x v="22"/>
    <x v="899"/>
    <x v="0"/>
    <x v="7"/>
    <x v="4"/>
    <x v="0"/>
    <x v="262"/>
    <x v="7"/>
    <x v="239"/>
    <x v="0"/>
    <x v="96"/>
    <x v="8"/>
    <x v="122"/>
    <x v="565"/>
    <x v="445"/>
    <x v="431"/>
    <x v="6"/>
    <x v="20"/>
    <x v="307"/>
    <x v="0"/>
    <x v="8"/>
    <x v="0"/>
    <x v="1"/>
    <x v="3"/>
    <x v="10"/>
  </r>
  <r>
    <x v="233"/>
    <x v="1"/>
    <x v="658"/>
    <x v="8"/>
    <x v="6"/>
    <x v="4"/>
    <x v="0"/>
    <x v="121"/>
    <x v="9"/>
    <x v="164"/>
    <x v="0"/>
    <x v="102"/>
    <x v="7"/>
    <x v="20"/>
    <x v="797"/>
    <x v="620"/>
    <x v="249"/>
    <x v="1"/>
    <x v="23"/>
    <x v="306"/>
    <x v="0"/>
    <x v="7"/>
    <x v="0"/>
    <x v="1"/>
    <x v="0"/>
    <x v="10"/>
  </r>
  <r>
    <x v="733"/>
    <x v="6"/>
    <x v="38"/>
    <x v="0"/>
    <x v="4"/>
    <x v="4"/>
    <x v="0"/>
    <x v="101"/>
    <x v="9"/>
    <x v="270"/>
    <x v="0"/>
    <x v="63"/>
    <x v="6"/>
    <x v="323"/>
    <x v="368"/>
    <x v="618"/>
    <x v="45"/>
    <x v="6"/>
    <x v="20"/>
    <x v="305"/>
    <x v="1"/>
    <x v="6"/>
    <x v="0"/>
    <x v="1"/>
    <x v="1"/>
    <x v="10"/>
  </r>
  <r>
    <x v="524"/>
    <x v="3"/>
    <x v="845"/>
    <x v="0"/>
    <x v="5"/>
    <x v="4"/>
    <x v="0"/>
    <x v="49"/>
    <x v="9"/>
    <x v="194"/>
    <x v="0"/>
    <x v="166"/>
    <x v="6"/>
    <x v="138"/>
    <x v="578"/>
    <x v="428"/>
    <x v="429"/>
    <x v="6"/>
    <x v="20"/>
    <x v="304"/>
    <x v="0"/>
    <x v="6"/>
    <x v="0"/>
    <x v="1"/>
    <x v="0"/>
    <x v="10"/>
  </r>
  <r>
    <x v="128"/>
    <x v="0"/>
    <x v="621"/>
    <x v="0"/>
    <x v="6"/>
    <x v="4"/>
    <x v="0"/>
    <x v="0"/>
    <x v="9"/>
    <x v="144"/>
    <x v="0"/>
    <x v="157"/>
    <x v="6"/>
    <x v="20"/>
    <x v="408"/>
    <x v="531"/>
    <x v="186"/>
    <x v="6"/>
    <x v="20"/>
    <x v="303"/>
    <x v="0"/>
    <x v="6"/>
    <x v="0"/>
    <x v="1"/>
    <x v="0"/>
    <x v="10"/>
  </r>
  <r>
    <x v="155"/>
    <x v="0"/>
    <x v="476"/>
    <x v="3"/>
    <x v="4"/>
    <x v="4"/>
    <x v="0"/>
    <x v="2"/>
    <x v="9"/>
    <x v="99"/>
    <x v="0"/>
    <x v="202"/>
    <x v="7"/>
    <x v="146"/>
    <x v="588"/>
    <x v="576"/>
    <x v="373"/>
    <x v="6"/>
    <x v="20"/>
    <x v="302"/>
    <x v="1"/>
    <x v="7"/>
    <x v="0"/>
    <x v="1"/>
    <x v="0"/>
    <x v="10"/>
  </r>
  <r>
    <x v="393"/>
    <x v="2"/>
    <x v="225"/>
    <x v="0"/>
    <x v="3"/>
    <x v="4"/>
    <x v="0"/>
    <x v="31"/>
    <x v="9"/>
    <x v="201"/>
    <x v="0"/>
    <x v="149"/>
    <x v="6"/>
    <x v="326"/>
    <x v="242"/>
    <x v="919"/>
    <x v="433"/>
    <x v="6"/>
    <x v="54"/>
    <x v="301"/>
    <x v="0"/>
    <x v="6"/>
    <x v="0"/>
    <x v="1"/>
    <x v="0"/>
    <x v="10"/>
  </r>
  <r>
    <x v="691"/>
    <x v="6"/>
    <x v="134"/>
    <x v="7"/>
    <x v="2"/>
    <x v="4"/>
    <x v="0"/>
    <x v="106"/>
    <x v="9"/>
    <x v="300"/>
    <x v="0"/>
    <x v="125"/>
    <x v="7"/>
    <x v="357"/>
    <x v="592"/>
    <x v="545"/>
    <x v="335"/>
    <x v="6"/>
    <x v="56"/>
    <x v="300"/>
    <x v="0"/>
    <x v="7"/>
    <x v="0"/>
    <x v="1"/>
    <x v="1"/>
    <x v="10"/>
  </r>
  <r>
    <x v="195"/>
    <x v="1"/>
    <x v="619"/>
    <x v="6"/>
    <x v="3"/>
    <x v="4"/>
    <x v="0"/>
    <x v="20"/>
    <x v="9"/>
    <x v="69"/>
    <x v="0"/>
    <x v="238"/>
    <x v="7"/>
    <x v="110"/>
    <x v="800"/>
    <x v="673"/>
    <x v="188"/>
    <x v="6"/>
    <x v="56"/>
    <x v="299"/>
    <x v="0"/>
    <x v="7"/>
    <x v="0"/>
    <x v="1"/>
    <x v="0"/>
    <x v="10"/>
  </r>
  <r>
    <x v="307"/>
    <x v="1"/>
    <x v="870"/>
    <x v="0"/>
    <x v="4"/>
    <x v="4"/>
    <x v="0"/>
    <x v="14"/>
    <x v="9"/>
    <x v="136"/>
    <x v="0"/>
    <x v="158"/>
    <x v="7"/>
    <x v="50"/>
    <x v="620"/>
    <x v="415"/>
    <x v="305"/>
    <x v="6"/>
    <x v="56"/>
    <x v="298"/>
    <x v="1"/>
    <x v="7"/>
    <x v="0"/>
    <x v="1"/>
    <x v="0"/>
    <x v="9"/>
  </r>
  <r>
    <x v="756"/>
    <x v="7"/>
    <x v="869"/>
    <x v="5"/>
    <x v="5"/>
    <x v="4"/>
    <x v="0"/>
    <x v="118"/>
    <x v="9"/>
    <x v="153"/>
    <x v="0"/>
    <x v="136"/>
    <x v="7"/>
    <x v="145"/>
    <x v="609"/>
    <x v="419"/>
    <x v="392"/>
    <x v="6"/>
    <x v="56"/>
    <x v="297"/>
    <x v="0"/>
    <x v="7"/>
    <x v="0"/>
    <x v="1"/>
    <x v="1"/>
    <x v="9"/>
  </r>
  <r>
    <x v="982"/>
    <x v="24"/>
    <x v="868"/>
    <x v="0"/>
    <x v="7"/>
    <x v="4"/>
    <x v="0"/>
    <x v="289"/>
    <x v="7"/>
    <x v="287"/>
    <x v="0"/>
    <x v="95"/>
    <x v="5"/>
    <x v="122"/>
    <x v="581"/>
    <x v="433"/>
    <x v="6"/>
    <x v="6"/>
    <x v="20"/>
    <x v="296"/>
    <x v="1"/>
    <x v="5"/>
    <x v="0"/>
    <x v="1"/>
    <x v="3"/>
    <x v="9"/>
  </r>
  <r>
    <x v="965"/>
    <x v="17"/>
    <x v="775"/>
    <x v="0"/>
    <x v="4"/>
    <x v="4"/>
    <x v="0"/>
    <x v="228"/>
    <x v="9"/>
    <x v="122"/>
    <x v="0"/>
    <x v="225"/>
    <x v="7"/>
    <x v="20"/>
    <x v="19"/>
    <x v="859"/>
    <x v="247"/>
    <x v="6"/>
    <x v="56"/>
    <x v="295"/>
    <x v="1"/>
    <x v="7"/>
    <x v="0"/>
    <x v="1"/>
    <x v="3"/>
    <x v="9"/>
  </r>
  <r>
    <x v="477"/>
    <x v="3"/>
    <x v="472"/>
    <x v="5"/>
    <x v="5"/>
    <x v="4"/>
    <x v="0"/>
    <x v="155"/>
    <x v="9"/>
    <x v="299"/>
    <x v="0"/>
    <x v="94"/>
    <x v="6"/>
    <x v="20"/>
    <x v="719"/>
    <x v="183"/>
    <x v="131"/>
    <x v="6"/>
    <x v="56"/>
    <x v="294"/>
    <x v="0"/>
    <x v="6"/>
    <x v="0"/>
    <x v="1"/>
    <x v="0"/>
    <x v="9"/>
  </r>
  <r>
    <x v="491"/>
    <x v="3"/>
    <x v="188"/>
    <x v="4"/>
    <x v="6"/>
    <x v="4"/>
    <x v="0"/>
    <x v="62"/>
    <x v="9"/>
    <x v="334"/>
    <x v="0"/>
    <x v="106"/>
    <x v="6"/>
    <x v="136"/>
    <x v="908"/>
    <x v="728"/>
    <x v="299"/>
    <x v="1"/>
    <x v="23"/>
    <x v="293"/>
    <x v="0"/>
    <x v="6"/>
    <x v="0"/>
    <x v="1"/>
    <x v="0"/>
    <x v="9"/>
  </r>
  <r>
    <x v="659"/>
    <x v="5"/>
    <x v="921"/>
    <x v="4"/>
    <x v="6"/>
    <x v="4"/>
    <x v="0"/>
    <x v="97"/>
    <x v="9"/>
    <x v="343"/>
    <x v="0"/>
    <x v="108"/>
    <x v="6"/>
    <x v="144"/>
    <x v="909"/>
    <x v="727"/>
    <x v="299"/>
    <x v="1"/>
    <x v="23"/>
    <x v="292"/>
    <x v="0"/>
    <x v="6"/>
    <x v="0"/>
    <x v="1"/>
    <x v="1"/>
    <x v="9"/>
  </r>
  <r>
    <x v="710"/>
    <x v="6"/>
    <x v="864"/>
    <x v="0"/>
    <x v="6"/>
    <x v="4"/>
    <x v="0"/>
    <x v="101"/>
    <x v="9"/>
    <x v="191"/>
    <x v="0"/>
    <x v="142"/>
    <x v="7"/>
    <x v="20"/>
    <x v="479"/>
    <x v="643"/>
    <x v="286"/>
    <x v="6"/>
    <x v="20"/>
    <x v="291"/>
    <x v="0"/>
    <x v="7"/>
    <x v="0"/>
    <x v="1"/>
    <x v="1"/>
    <x v="9"/>
  </r>
  <r>
    <x v="706"/>
    <x v="6"/>
    <x v="743"/>
    <x v="5"/>
    <x v="4"/>
    <x v="4"/>
    <x v="0"/>
    <x v="106"/>
    <x v="9"/>
    <x v="278"/>
    <x v="0"/>
    <x v="34"/>
    <x v="7"/>
    <x v="20"/>
    <x v="20"/>
    <x v="877"/>
    <x v="386"/>
    <x v="6"/>
    <x v="56"/>
    <x v="290"/>
    <x v="0"/>
    <x v="7"/>
    <x v="0"/>
    <x v="1"/>
    <x v="1"/>
    <x v="9"/>
  </r>
  <r>
    <x v="758"/>
    <x v="7"/>
    <x v="497"/>
    <x v="8"/>
    <x v="7"/>
    <x v="4"/>
    <x v="0"/>
    <x v="129"/>
    <x v="9"/>
    <x v="327"/>
    <x v="0"/>
    <x v="210"/>
    <x v="6"/>
    <x v="44"/>
    <x v="587"/>
    <x v="198"/>
    <x v="352"/>
    <x v="6"/>
    <x v="10"/>
    <x v="289"/>
    <x v="0"/>
    <x v="6"/>
    <x v="0"/>
    <x v="1"/>
    <x v="1"/>
    <x v="9"/>
  </r>
  <r>
    <x v="860"/>
    <x v="10"/>
    <x v="360"/>
    <x v="5"/>
    <x v="6"/>
    <x v="4"/>
    <x v="0"/>
    <x v="160"/>
    <x v="9"/>
    <x v="105"/>
    <x v="0"/>
    <x v="166"/>
    <x v="7"/>
    <x v="20"/>
    <x v="325"/>
    <x v="554"/>
    <x v="261"/>
    <x v="6"/>
    <x v="20"/>
    <x v="288"/>
    <x v="0"/>
    <x v="7"/>
    <x v="0"/>
    <x v="1"/>
    <x v="2"/>
    <x v="9"/>
  </r>
  <r>
    <x v="410"/>
    <x v="2"/>
    <x v="359"/>
    <x v="0"/>
    <x v="5"/>
    <x v="4"/>
    <x v="0"/>
    <x v="31"/>
    <x v="9"/>
    <x v="72"/>
    <x v="0"/>
    <x v="92"/>
    <x v="6"/>
    <x v="20"/>
    <x v="270"/>
    <x v="869"/>
    <x v="199"/>
    <x v="6"/>
    <x v="56"/>
    <x v="287"/>
    <x v="0"/>
    <x v="6"/>
    <x v="0"/>
    <x v="1"/>
    <x v="0"/>
    <x v="9"/>
  </r>
  <r>
    <x v="354"/>
    <x v="2"/>
    <x v="58"/>
    <x v="7"/>
    <x v="3"/>
    <x v="4"/>
    <x v="0"/>
    <x v="41"/>
    <x v="9"/>
    <x v="202"/>
    <x v="0"/>
    <x v="177"/>
    <x v="6"/>
    <x v="20"/>
    <x v="923"/>
    <x v="95"/>
    <x v="358"/>
    <x v="6"/>
    <x v="56"/>
    <x v="286"/>
    <x v="0"/>
    <x v="6"/>
    <x v="0"/>
    <x v="1"/>
    <x v="0"/>
    <x v="9"/>
  </r>
  <r>
    <x v="286"/>
    <x v="1"/>
    <x v="771"/>
    <x v="0"/>
    <x v="7"/>
    <x v="4"/>
    <x v="0"/>
    <x v="14"/>
    <x v="9"/>
    <x v="338"/>
    <x v="0"/>
    <x v="175"/>
    <x v="7"/>
    <x v="49"/>
    <x v="842"/>
    <x v="658"/>
    <x v="322"/>
    <x v="1"/>
    <x v="23"/>
    <x v="285"/>
    <x v="0"/>
    <x v="7"/>
    <x v="0"/>
    <x v="1"/>
    <x v="0"/>
    <x v="9"/>
  </r>
  <r>
    <x v="375"/>
    <x v="2"/>
    <x v="492"/>
    <x v="5"/>
    <x v="5"/>
    <x v="4"/>
    <x v="0"/>
    <x v="43"/>
    <x v="9"/>
    <x v="322"/>
    <x v="0"/>
    <x v="113"/>
    <x v="6"/>
    <x v="234"/>
    <x v="745"/>
    <x v="539"/>
    <x v="499"/>
    <x v="6"/>
    <x v="56"/>
    <x v="284"/>
    <x v="0"/>
    <x v="6"/>
    <x v="0"/>
    <x v="1"/>
    <x v="0"/>
    <x v="9"/>
  </r>
  <r>
    <x v="656"/>
    <x v="5"/>
    <x v="270"/>
    <x v="0"/>
    <x v="5"/>
    <x v="4"/>
    <x v="0"/>
    <x v="84"/>
    <x v="9"/>
    <x v="192"/>
    <x v="0"/>
    <x v="160"/>
    <x v="7"/>
    <x v="136"/>
    <x v="640"/>
    <x v="167"/>
    <x v="256"/>
    <x v="6"/>
    <x v="56"/>
    <x v="283"/>
    <x v="0"/>
    <x v="7"/>
    <x v="0"/>
    <x v="1"/>
    <x v="1"/>
    <x v="9"/>
  </r>
  <r>
    <x v="136"/>
    <x v="0"/>
    <x v="239"/>
    <x v="5"/>
    <x v="4"/>
    <x v="4"/>
    <x v="0"/>
    <x v="11"/>
    <x v="9"/>
    <x v="247"/>
    <x v="0"/>
    <x v="65"/>
    <x v="6"/>
    <x v="240"/>
    <x v="670"/>
    <x v="517"/>
    <x v="450"/>
    <x v="6"/>
    <x v="38"/>
    <x v="282"/>
    <x v="0"/>
    <x v="6"/>
    <x v="0"/>
    <x v="1"/>
    <x v="0"/>
    <x v="9"/>
  </r>
  <r>
    <x v="495"/>
    <x v="3"/>
    <x v="238"/>
    <x v="0"/>
    <x v="5"/>
    <x v="4"/>
    <x v="0"/>
    <x v="49"/>
    <x v="9"/>
    <x v="257"/>
    <x v="0"/>
    <x v="44"/>
    <x v="6"/>
    <x v="138"/>
    <x v="277"/>
    <x v="868"/>
    <x v="199"/>
    <x v="6"/>
    <x v="42"/>
    <x v="281"/>
    <x v="0"/>
    <x v="6"/>
    <x v="0"/>
    <x v="1"/>
    <x v="0"/>
    <x v="9"/>
  </r>
  <r>
    <x v="181"/>
    <x v="1"/>
    <x v="179"/>
    <x v="0"/>
    <x v="3"/>
    <x v="4"/>
    <x v="0"/>
    <x v="14"/>
    <x v="9"/>
    <x v="216"/>
    <x v="0"/>
    <x v="145"/>
    <x v="7"/>
    <x v="20"/>
    <x v="796"/>
    <x v="653"/>
    <x v="426"/>
    <x v="6"/>
    <x v="56"/>
    <x v="280"/>
    <x v="0"/>
    <x v="7"/>
    <x v="0"/>
    <x v="1"/>
    <x v="0"/>
    <x v="9"/>
  </r>
  <r>
    <x v="823"/>
    <x v="9"/>
    <x v="148"/>
    <x v="0"/>
    <x v="4"/>
    <x v="4"/>
    <x v="0"/>
    <x v="144"/>
    <x v="9"/>
    <x v="282"/>
    <x v="0"/>
    <x v="132"/>
    <x v="6"/>
    <x v="20"/>
    <x v="794"/>
    <x v="652"/>
    <x v="426"/>
    <x v="6"/>
    <x v="56"/>
    <x v="279"/>
    <x v="0"/>
    <x v="6"/>
    <x v="0"/>
    <x v="1"/>
    <x v="1"/>
    <x v="9"/>
  </r>
  <r>
    <x v="776"/>
    <x v="7"/>
    <x v="147"/>
    <x v="0"/>
    <x v="4"/>
    <x v="4"/>
    <x v="0"/>
    <x v="115"/>
    <x v="9"/>
    <x v="301"/>
    <x v="0"/>
    <x v="139"/>
    <x v="7"/>
    <x v="37"/>
    <x v="791"/>
    <x v="650"/>
    <x v="426"/>
    <x v="6"/>
    <x v="56"/>
    <x v="278"/>
    <x v="0"/>
    <x v="7"/>
    <x v="0"/>
    <x v="1"/>
    <x v="1"/>
    <x v="9"/>
  </r>
  <r>
    <x v="113"/>
    <x v="0"/>
    <x v="913"/>
    <x v="0"/>
    <x v="6"/>
    <x v="4"/>
    <x v="0"/>
    <x v="0"/>
    <x v="9"/>
    <x v="133"/>
    <x v="0"/>
    <x v="148"/>
    <x v="6"/>
    <x v="2"/>
    <x v="49"/>
    <x v="278"/>
    <x v="458"/>
    <x v="5"/>
    <x v="9"/>
    <x v="277"/>
    <x v="0"/>
    <x v="6"/>
    <x v="0"/>
    <x v="1"/>
    <x v="0"/>
    <x v="9"/>
  </r>
  <r>
    <x v="15"/>
    <x v="0"/>
    <x v="909"/>
    <x v="0"/>
    <x v="6"/>
    <x v="4"/>
    <x v="0"/>
    <x v="0"/>
    <x v="9"/>
    <x v="107"/>
    <x v="0"/>
    <x v="183"/>
    <x v="7"/>
    <x v="34"/>
    <x v="536"/>
    <x v="631"/>
    <x v="254"/>
    <x v="6"/>
    <x v="20"/>
    <x v="276"/>
    <x v="0"/>
    <x v="7"/>
    <x v="0"/>
    <x v="1"/>
    <x v="0"/>
    <x v="9"/>
  </r>
  <r>
    <x v="560"/>
    <x v="4"/>
    <x v="306"/>
    <x v="0"/>
    <x v="4"/>
    <x v="4"/>
    <x v="0"/>
    <x v="67"/>
    <x v="9"/>
    <x v="339"/>
    <x v="0"/>
    <x v="154"/>
    <x v="6"/>
    <x v="316"/>
    <x v="976"/>
    <x v="851"/>
    <x v="31"/>
    <x v="1"/>
    <x v="39"/>
    <x v="275"/>
    <x v="0"/>
    <x v="6"/>
    <x v="0"/>
    <x v="1"/>
    <x v="0"/>
    <x v="9"/>
  </r>
  <r>
    <x v="173"/>
    <x v="1"/>
    <x v="88"/>
    <x v="0"/>
    <x v="6"/>
    <x v="4"/>
    <x v="0"/>
    <x v="14"/>
    <x v="9"/>
    <x v="96"/>
    <x v="0"/>
    <x v="201"/>
    <x v="6"/>
    <x v="79"/>
    <x v="38"/>
    <x v="226"/>
    <x v="81"/>
    <x v="5"/>
    <x v="9"/>
    <x v="274"/>
    <x v="0"/>
    <x v="6"/>
    <x v="0"/>
    <x v="1"/>
    <x v="0"/>
    <x v="9"/>
  </r>
  <r>
    <x v="320"/>
    <x v="2"/>
    <x v="754"/>
    <x v="0"/>
    <x v="4"/>
    <x v="4"/>
    <x v="0"/>
    <x v="31"/>
    <x v="9"/>
    <x v="154"/>
    <x v="0"/>
    <x v="133"/>
    <x v="6"/>
    <x v="208"/>
    <x v="304"/>
    <x v="541"/>
    <x v="289"/>
    <x v="6"/>
    <x v="20"/>
    <x v="273"/>
    <x v="0"/>
    <x v="6"/>
    <x v="0"/>
    <x v="1"/>
    <x v="0"/>
    <x v="9"/>
  </r>
  <r>
    <x v="132"/>
    <x v="0"/>
    <x v="258"/>
    <x v="0"/>
    <x v="3"/>
    <x v="4"/>
    <x v="0"/>
    <x v="0"/>
    <x v="9"/>
    <x v="182"/>
    <x v="0"/>
    <x v="146"/>
    <x v="6"/>
    <x v="338"/>
    <x v="256"/>
    <x v="916"/>
    <x v="433"/>
    <x v="6"/>
    <x v="54"/>
    <x v="272"/>
    <x v="0"/>
    <x v="6"/>
    <x v="0"/>
    <x v="1"/>
    <x v="0"/>
    <x v="9"/>
  </r>
  <r>
    <x v="303"/>
    <x v="1"/>
    <x v="140"/>
    <x v="0"/>
    <x v="3"/>
    <x v="4"/>
    <x v="0"/>
    <x v="14"/>
    <x v="9"/>
    <x v="330"/>
    <x v="0"/>
    <x v="65"/>
    <x v="6"/>
    <x v="314"/>
    <x v="830"/>
    <x v="389"/>
    <x v="13"/>
    <x v="1"/>
    <x v="0"/>
    <x v="271"/>
    <x v="1"/>
    <x v="6"/>
    <x v="0"/>
    <x v="1"/>
    <x v="0"/>
    <x v="9"/>
  </r>
  <r>
    <x v="380"/>
    <x v="2"/>
    <x v="224"/>
    <x v="0"/>
    <x v="6"/>
    <x v="4"/>
    <x v="0"/>
    <x v="31"/>
    <x v="9"/>
    <x v="83"/>
    <x v="0"/>
    <x v="163"/>
    <x v="7"/>
    <x v="102"/>
    <x v="477"/>
    <x v="642"/>
    <x v="286"/>
    <x v="6"/>
    <x v="20"/>
    <x v="270"/>
    <x v="0"/>
    <x v="7"/>
    <x v="0"/>
    <x v="1"/>
    <x v="0"/>
    <x v="9"/>
  </r>
  <r>
    <x v="815"/>
    <x v="8"/>
    <x v="193"/>
    <x v="0"/>
    <x v="6"/>
    <x v="4"/>
    <x v="0"/>
    <x v="129"/>
    <x v="9"/>
    <x v="156"/>
    <x v="0"/>
    <x v="103"/>
    <x v="6"/>
    <x v="20"/>
    <x v="468"/>
    <x v="641"/>
    <x v="343"/>
    <x v="6"/>
    <x v="20"/>
    <x v="269"/>
    <x v="1"/>
    <x v="6"/>
    <x v="0"/>
    <x v="1"/>
    <x v="1"/>
    <x v="9"/>
  </r>
  <r>
    <x v="648"/>
    <x v="5"/>
    <x v="133"/>
    <x v="0"/>
    <x v="6"/>
    <x v="4"/>
    <x v="0"/>
    <x v="84"/>
    <x v="9"/>
    <x v="140"/>
    <x v="0"/>
    <x v="162"/>
    <x v="7"/>
    <x v="54"/>
    <x v="478"/>
    <x v="644"/>
    <x v="286"/>
    <x v="6"/>
    <x v="20"/>
    <x v="268"/>
    <x v="0"/>
    <x v="7"/>
    <x v="0"/>
    <x v="1"/>
    <x v="1"/>
    <x v="9"/>
  </r>
  <r>
    <x v="321"/>
    <x v="2"/>
    <x v="893"/>
    <x v="0"/>
    <x v="5"/>
    <x v="4"/>
    <x v="0"/>
    <x v="31"/>
    <x v="9"/>
    <x v="76"/>
    <x v="0"/>
    <x v="190"/>
    <x v="6"/>
    <x v="57"/>
    <x v="489"/>
    <x v="596"/>
    <x v="22"/>
    <x v="6"/>
    <x v="20"/>
    <x v="267"/>
    <x v="0"/>
    <x v="6"/>
    <x v="0"/>
    <x v="1"/>
    <x v="0"/>
    <x v="9"/>
  </r>
  <r>
    <x v="798"/>
    <x v="8"/>
    <x v="888"/>
    <x v="0"/>
    <x v="3"/>
    <x v="4"/>
    <x v="0"/>
    <x v="129"/>
    <x v="9"/>
    <x v="74"/>
    <x v="0"/>
    <x v="200"/>
    <x v="7"/>
    <x v="20"/>
    <x v="132"/>
    <x v="956"/>
    <x v="448"/>
    <x v="6"/>
    <x v="56"/>
    <x v="266"/>
    <x v="0"/>
    <x v="7"/>
    <x v="0"/>
    <x v="1"/>
    <x v="1"/>
    <x v="8"/>
  </r>
  <r>
    <x v="184"/>
    <x v="1"/>
    <x v="867"/>
    <x v="0"/>
    <x v="8"/>
    <x v="4"/>
    <x v="0"/>
    <x v="14"/>
    <x v="9"/>
    <x v="261"/>
    <x v="0"/>
    <x v="194"/>
    <x v="7"/>
    <x v="20"/>
    <x v="773"/>
    <x v="373"/>
    <x v="43"/>
    <x v="1"/>
    <x v="21"/>
    <x v="265"/>
    <x v="0"/>
    <x v="7"/>
    <x v="0"/>
    <x v="1"/>
    <x v="0"/>
    <x v="8"/>
  </r>
  <r>
    <x v="64"/>
    <x v="0"/>
    <x v="841"/>
    <x v="0"/>
    <x v="5"/>
    <x v="4"/>
    <x v="0"/>
    <x v="0"/>
    <x v="9"/>
    <x v="167"/>
    <x v="0"/>
    <x v="206"/>
    <x v="6"/>
    <x v="130"/>
    <x v="619"/>
    <x v="177"/>
    <x v="366"/>
    <x v="6"/>
    <x v="34"/>
    <x v="264"/>
    <x v="0"/>
    <x v="6"/>
    <x v="0"/>
    <x v="1"/>
    <x v="0"/>
    <x v="8"/>
  </r>
  <r>
    <x v="0"/>
    <x v="0"/>
    <x v="748"/>
    <x v="7"/>
    <x v="8"/>
    <x v="4"/>
    <x v="0"/>
    <x v="300"/>
    <x v="5"/>
    <x v="12"/>
    <x v="2"/>
    <x v="234"/>
    <x v="5"/>
    <x v="12"/>
    <x v="815"/>
    <x v="102"/>
    <x v="407"/>
    <x v="3"/>
    <x v="53"/>
    <x v="263"/>
    <x v="0"/>
    <x v="5"/>
    <x v="0"/>
    <x v="1"/>
    <x v="0"/>
    <x v="8"/>
  </r>
  <r>
    <x v="517"/>
    <x v="3"/>
    <x v="320"/>
    <x v="0"/>
    <x v="6"/>
    <x v="4"/>
    <x v="0"/>
    <x v="49"/>
    <x v="9"/>
    <x v="197"/>
    <x v="0"/>
    <x v="134"/>
    <x v="6"/>
    <x v="20"/>
    <x v="735"/>
    <x v="526"/>
    <x v="500"/>
    <x v="1"/>
    <x v="44"/>
    <x v="262"/>
    <x v="0"/>
    <x v="6"/>
    <x v="0"/>
    <x v="1"/>
    <x v="0"/>
    <x v="8"/>
  </r>
  <r>
    <x v="292"/>
    <x v="1"/>
    <x v="836"/>
    <x v="0"/>
    <x v="5"/>
    <x v="4"/>
    <x v="0"/>
    <x v="14"/>
    <x v="9"/>
    <x v="152"/>
    <x v="0"/>
    <x v="116"/>
    <x v="6"/>
    <x v="136"/>
    <x v="407"/>
    <x v="763"/>
    <x v="197"/>
    <x v="6"/>
    <x v="35"/>
    <x v="261"/>
    <x v="0"/>
    <x v="6"/>
    <x v="0"/>
    <x v="1"/>
    <x v="0"/>
    <x v="8"/>
  </r>
  <r>
    <x v="80"/>
    <x v="0"/>
    <x v="613"/>
    <x v="0"/>
    <x v="5"/>
    <x v="4"/>
    <x v="0"/>
    <x v="0"/>
    <x v="9"/>
    <x v="223"/>
    <x v="0"/>
    <x v="196"/>
    <x v="6"/>
    <x v="136"/>
    <x v="648"/>
    <x v="565"/>
    <x v="80"/>
    <x v="6"/>
    <x v="38"/>
    <x v="260"/>
    <x v="0"/>
    <x v="6"/>
    <x v="0"/>
    <x v="1"/>
    <x v="0"/>
    <x v="8"/>
  </r>
  <r>
    <x v="262"/>
    <x v="1"/>
    <x v="184"/>
    <x v="0"/>
    <x v="4"/>
    <x v="4"/>
    <x v="0"/>
    <x v="14"/>
    <x v="9"/>
    <x v="214"/>
    <x v="0"/>
    <x v="124"/>
    <x v="6"/>
    <x v="252"/>
    <x v="176"/>
    <x v="948"/>
    <x v="161"/>
    <x v="6"/>
    <x v="56"/>
    <x v="259"/>
    <x v="0"/>
    <x v="6"/>
    <x v="0"/>
    <x v="1"/>
    <x v="0"/>
    <x v="8"/>
  </r>
  <r>
    <x v="627"/>
    <x v="5"/>
    <x v="986"/>
    <x v="0"/>
    <x v="4"/>
    <x v="4"/>
    <x v="0"/>
    <x v="84"/>
    <x v="9"/>
    <x v="269"/>
    <x v="0"/>
    <x v="228"/>
    <x v="6"/>
    <x v="20"/>
    <x v="856"/>
    <x v="699"/>
    <x v="164"/>
    <x v="6"/>
    <x v="56"/>
    <x v="258"/>
    <x v="0"/>
    <x v="6"/>
    <x v="0"/>
    <x v="1"/>
    <x v="1"/>
    <x v="8"/>
  </r>
  <r>
    <x v="382"/>
    <x v="2"/>
    <x v="237"/>
    <x v="0"/>
    <x v="5"/>
    <x v="4"/>
    <x v="0"/>
    <x v="31"/>
    <x v="9"/>
    <x v="264"/>
    <x v="0"/>
    <x v="219"/>
    <x v="7"/>
    <x v="127"/>
    <x v="904"/>
    <x v="719"/>
    <x v="213"/>
    <x v="1"/>
    <x v="56"/>
    <x v="257"/>
    <x v="0"/>
    <x v="7"/>
    <x v="0"/>
    <x v="1"/>
    <x v="0"/>
    <x v="8"/>
  </r>
  <r>
    <x v="413"/>
    <x v="2"/>
    <x v="27"/>
    <x v="0"/>
    <x v="6"/>
    <x v="4"/>
    <x v="0"/>
    <x v="31"/>
    <x v="9"/>
    <x v="301"/>
    <x v="0"/>
    <x v="112"/>
    <x v="6"/>
    <x v="20"/>
    <x v="930"/>
    <x v="408"/>
    <x v="17"/>
    <x v="1"/>
    <x v="39"/>
    <x v="256"/>
    <x v="0"/>
    <x v="6"/>
    <x v="0"/>
    <x v="1"/>
    <x v="0"/>
    <x v="8"/>
  </r>
  <r>
    <x v="105"/>
    <x v="0"/>
    <x v="939"/>
    <x v="0"/>
    <x v="4"/>
    <x v="4"/>
    <x v="0"/>
    <x v="0"/>
    <x v="9"/>
    <x v="279"/>
    <x v="0"/>
    <x v="235"/>
    <x v="7"/>
    <x v="98"/>
    <x v="903"/>
    <x v="717"/>
    <x v="213"/>
    <x v="6"/>
    <x v="56"/>
    <x v="255"/>
    <x v="0"/>
    <x v="7"/>
    <x v="0"/>
    <x v="1"/>
    <x v="0"/>
    <x v="8"/>
  </r>
  <r>
    <x v="802"/>
    <x v="8"/>
    <x v="885"/>
    <x v="0"/>
    <x v="6"/>
    <x v="4"/>
    <x v="0"/>
    <x v="129"/>
    <x v="9"/>
    <x v="311"/>
    <x v="0"/>
    <x v="112"/>
    <x v="6"/>
    <x v="49"/>
    <x v="929"/>
    <x v="409"/>
    <x v="17"/>
    <x v="1"/>
    <x v="39"/>
    <x v="254"/>
    <x v="0"/>
    <x v="6"/>
    <x v="0"/>
    <x v="1"/>
    <x v="1"/>
    <x v="8"/>
  </r>
  <r>
    <x v="824"/>
    <x v="9"/>
    <x v="826"/>
    <x v="0"/>
    <x v="6"/>
    <x v="4"/>
    <x v="0"/>
    <x v="144"/>
    <x v="9"/>
    <x v="240"/>
    <x v="0"/>
    <x v="239"/>
    <x v="7"/>
    <x v="130"/>
    <x v="899"/>
    <x v="711"/>
    <x v="427"/>
    <x v="1"/>
    <x v="56"/>
    <x v="253"/>
    <x v="0"/>
    <x v="7"/>
    <x v="0"/>
    <x v="1"/>
    <x v="1"/>
    <x v="8"/>
  </r>
  <r>
    <x v="967"/>
    <x v="18"/>
    <x v="825"/>
    <x v="0"/>
    <x v="8"/>
    <x v="4"/>
    <x v="0"/>
    <x v="238"/>
    <x v="7"/>
    <x v="0"/>
    <x v="0"/>
    <x v="0"/>
    <x v="8"/>
    <x v="107"/>
    <x v="900"/>
    <x v="714"/>
    <x v="213"/>
    <x v="6"/>
    <x v="56"/>
    <x v="252"/>
    <x v="0"/>
    <x v="8"/>
    <x v="0"/>
    <x v="1"/>
    <x v="3"/>
    <x v="8"/>
  </r>
  <r>
    <x v="193"/>
    <x v="1"/>
    <x v="707"/>
    <x v="0"/>
    <x v="6"/>
    <x v="4"/>
    <x v="0"/>
    <x v="14"/>
    <x v="9"/>
    <x v="243"/>
    <x v="0"/>
    <x v="113"/>
    <x v="6"/>
    <x v="20"/>
    <x v="724"/>
    <x v="429"/>
    <x v="455"/>
    <x v="1"/>
    <x v="29"/>
    <x v="251"/>
    <x v="0"/>
    <x v="6"/>
    <x v="0"/>
    <x v="1"/>
    <x v="0"/>
    <x v="8"/>
  </r>
  <r>
    <x v="767"/>
    <x v="7"/>
    <x v="703"/>
    <x v="0"/>
    <x v="6"/>
    <x v="4"/>
    <x v="0"/>
    <x v="115"/>
    <x v="9"/>
    <x v="185"/>
    <x v="0"/>
    <x v="58"/>
    <x v="7"/>
    <x v="111"/>
    <x v="22"/>
    <x v="913"/>
    <x v="456"/>
    <x v="6"/>
    <x v="31"/>
    <x v="250"/>
    <x v="0"/>
    <x v="7"/>
    <x v="0"/>
    <x v="1"/>
    <x v="1"/>
    <x v="8"/>
  </r>
  <r>
    <x v="894"/>
    <x v="11"/>
    <x v="119"/>
    <x v="0"/>
    <x v="5"/>
    <x v="4"/>
    <x v="0"/>
    <x v="171"/>
    <x v="9"/>
    <x v="113"/>
    <x v="0"/>
    <x v="117"/>
    <x v="7"/>
    <x v="20"/>
    <x v="2"/>
    <x v="313"/>
    <x v="420"/>
    <x v="6"/>
    <x v="52"/>
    <x v="249"/>
    <x v="1"/>
    <x v="7"/>
    <x v="0"/>
    <x v="1"/>
    <x v="2"/>
    <x v="8"/>
  </r>
  <r>
    <x v="83"/>
    <x v="0"/>
    <x v="486"/>
    <x v="0"/>
    <x v="5"/>
    <x v="4"/>
    <x v="0"/>
    <x v="0"/>
    <x v="9"/>
    <x v="54"/>
    <x v="0"/>
    <x v="155"/>
    <x v="6"/>
    <x v="130"/>
    <x v="473"/>
    <x v="782"/>
    <x v="382"/>
    <x v="6"/>
    <x v="35"/>
    <x v="248"/>
    <x v="0"/>
    <x v="6"/>
    <x v="0"/>
    <x v="1"/>
    <x v="0"/>
    <x v="8"/>
  </r>
  <r>
    <x v="483"/>
    <x v="3"/>
    <x v="666"/>
    <x v="0"/>
    <x v="6"/>
    <x v="4"/>
    <x v="0"/>
    <x v="49"/>
    <x v="9"/>
    <x v="161"/>
    <x v="0"/>
    <x v="184"/>
    <x v="7"/>
    <x v="130"/>
    <x v="70"/>
    <x v="251"/>
    <x v="326"/>
    <x v="5"/>
    <x v="9"/>
    <x v="247"/>
    <x v="0"/>
    <x v="7"/>
    <x v="0"/>
    <x v="1"/>
    <x v="0"/>
    <x v="8"/>
  </r>
  <r>
    <x v="563"/>
    <x v="4"/>
    <x v="519"/>
    <x v="0"/>
    <x v="4"/>
    <x v="4"/>
    <x v="0"/>
    <x v="67"/>
    <x v="9"/>
    <x v="331"/>
    <x v="0"/>
    <x v="128"/>
    <x v="6"/>
    <x v="305"/>
    <x v="975"/>
    <x v="850"/>
    <x v="31"/>
    <x v="1"/>
    <x v="39"/>
    <x v="246"/>
    <x v="0"/>
    <x v="6"/>
    <x v="0"/>
    <x v="1"/>
    <x v="0"/>
    <x v="8"/>
  </r>
  <r>
    <x v="294"/>
    <x v="1"/>
    <x v="203"/>
    <x v="0"/>
    <x v="5"/>
    <x v="4"/>
    <x v="0"/>
    <x v="14"/>
    <x v="9"/>
    <x v="177"/>
    <x v="0"/>
    <x v="135"/>
    <x v="7"/>
    <x v="130"/>
    <x v="429"/>
    <x v="784"/>
    <x v="204"/>
    <x v="6"/>
    <x v="35"/>
    <x v="245"/>
    <x v="0"/>
    <x v="7"/>
    <x v="0"/>
    <x v="1"/>
    <x v="0"/>
    <x v="8"/>
  </r>
  <r>
    <x v="622"/>
    <x v="5"/>
    <x v="852"/>
    <x v="0"/>
    <x v="5"/>
    <x v="4"/>
    <x v="0"/>
    <x v="84"/>
    <x v="9"/>
    <x v="212"/>
    <x v="0"/>
    <x v="150"/>
    <x v="7"/>
    <x v="124"/>
    <x v="571"/>
    <x v="608"/>
    <x v="470"/>
    <x v="6"/>
    <x v="20"/>
    <x v="244"/>
    <x v="0"/>
    <x v="7"/>
    <x v="0"/>
    <x v="1"/>
    <x v="1"/>
    <x v="8"/>
  </r>
  <r>
    <x v="646"/>
    <x v="5"/>
    <x v="851"/>
    <x v="0"/>
    <x v="6"/>
    <x v="4"/>
    <x v="0"/>
    <x v="84"/>
    <x v="9"/>
    <x v="316"/>
    <x v="0"/>
    <x v="72"/>
    <x v="6"/>
    <x v="212"/>
    <x v="876"/>
    <x v="676"/>
    <x v="2"/>
    <x v="1"/>
    <x v="23"/>
    <x v="243"/>
    <x v="0"/>
    <x v="6"/>
    <x v="0"/>
    <x v="1"/>
    <x v="1"/>
    <x v="8"/>
  </r>
  <r>
    <x v="465"/>
    <x v="3"/>
    <x v="696"/>
    <x v="0"/>
    <x v="8"/>
    <x v="4"/>
    <x v="0"/>
    <x v="49"/>
    <x v="9"/>
    <x v="252"/>
    <x v="0"/>
    <x v="75"/>
    <x v="7"/>
    <x v="26"/>
    <x v="836"/>
    <x v="333"/>
    <x v="109"/>
    <x v="6"/>
    <x v="1"/>
    <x v="242"/>
    <x v="0"/>
    <x v="7"/>
    <x v="0"/>
    <x v="1"/>
    <x v="0"/>
    <x v="8"/>
  </r>
  <r>
    <x v="90"/>
    <x v="0"/>
    <x v="814"/>
    <x v="0"/>
    <x v="6"/>
    <x v="4"/>
    <x v="0"/>
    <x v="0"/>
    <x v="9"/>
    <x v="77"/>
    <x v="0"/>
    <x v="141"/>
    <x v="7"/>
    <x v="130"/>
    <x v="319"/>
    <x v="520"/>
    <x v="390"/>
    <x v="6"/>
    <x v="20"/>
    <x v="241"/>
    <x v="0"/>
    <x v="7"/>
    <x v="0"/>
    <x v="1"/>
    <x v="0"/>
    <x v="8"/>
  </r>
  <r>
    <x v="436"/>
    <x v="3"/>
    <x v="332"/>
    <x v="0"/>
    <x v="6"/>
    <x v="4"/>
    <x v="0"/>
    <x v="49"/>
    <x v="9"/>
    <x v="188"/>
    <x v="0"/>
    <x v="181"/>
    <x v="7"/>
    <x v="148"/>
    <x v="444"/>
    <x v="799"/>
    <x v="204"/>
    <x v="6"/>
    <x v="35"/>
    <x v="240"/>
    <x v="0"/>
    <x v="7"/>
    <x v="0"/>
    <x v="1"/>
    <x v="0"/>
    <x v="8"/>
  </r>
  <r>
    <x v="873"/>
    <x v="11"/>
    <x v="716"/>
    <x v="0"/>
    <x v="6"/>
    <x v="4"/>
    <x v="0"/>
    <x v="171"/>
    <x v="9"/>
    <x v="260"/>
    <x v="0"/>
    <x v="0"/>
    <x v="6"/>
    <x v="94"/>
    <x v="717"/>
    <x v="117"/>
    <x v="107"/>
    <x v="3"/>
    <x v="26"/>
    <x v="239"/>
    <x v="0"/>
    <x v="6"/>
    <x v="0"/>
    <x v="1"/>
    <x v="2"/>
    <x v="8"/>
  </r>
  <r>
    <x v="74"/>
    <x v="0"/>
    <x v="683"/>
    <x v="0"/>
    <x v="5"/>
    <x v="4"/>
    <x v="0"/>
    <x v="0"/>
    <x v="9"/>
    <x v="114"/>
    <x v="0"/>
    <x v="0"/>
    <x v="7"/>
    <x v="94"/>
    <x v="662"/>
    <x v="151"/>
    <x v="370"/>
    <x v="6"/>
    <x v="56"/>
    <x v="238"/>
    <x v="0"/>
    <x v="7"/>
    <x v="0"/>
    <x v="1"/>
    <x v="0"/>
    <x v="8"/>
  </r>
  <r>
    <x v="790"/>
    <x v="8"/>
    <x v="652"/>
    <x v="0"/>
    <x v="5"/>
    <x v="4"/>
    <x v="0"/>
    <x v="129"/>
    <x v="9"/>
    <x v="201"/>
    <x v="0"/>
    <x v="0"/>
    <x v="7"/>
    <x v="130"/>
    <x v="293"/>
    <x v="852"/>
    <x v="199"/>
    <x v="6"/>
    <x v="56"/>
    <x v="237"/>
    <x v="0"/>
    <x v="7"/>
    <x v="0"/>
    <x v="1"/>
    <x v="1"/>
    <x v="8"/>
  </r>
  <r>
    <x v="358"/>
    <x v="2"/>
    <x v="285"/>
    <x v="0"/>
    <x v="4"/>
    <x v="4"/>
    <x v="0"/>
    <x v="31"/>
    <x v="9"/>
    <x v="118"/>
    <x v="0"/>
    <x v="0"/>
    <x v="6"/>
    <x v="216"/>
    <x v="420"/>
    <x v="806"/>
    <x v="204"/>
    <x v="6"/>
    <x v="56"/>
    <x v="236"/>
    <x v="0"/>
    <x v="6"/>
    <x v="0"/>
    <x v="1"/>
    <x v="0"/>
    <x v="8"/>
  </r>
  <r>
    <x v="424"/>
    <x v="2"/>
    <x v="399"/>
    <x v="0"/>
    <x v="5"/>
    <x v="4"/>
    <x v="0"/>
    <x v="31"/>
    <x v="9"/>
    <x v="198"/>
    <x v="0"/>
    <x v="0"/>
    <x v="6"/>
    <x v="134"/>
    <x v="439"/>
    <x v="802"/>
    <x v="304"/>
    <x v="6"/>
    <x v="35"/>
    <x v="235"/>
    <x v="1"/>
    <x v="6"/>
    <x v="0"/>
    <x v="1"/>
    <x v="0"/>
    <x v="7"/>
  </r>
  <r>
    <x v="947"/>
    <x v="14"/>
    <x v="99"/>
    <x v="8"/>
    <x v="8"/>
    <x v="4"/>
    <x v="0"/>
    <x v="334"/>
    <x v="0"/>
    <x v="0"/>
    <x v="0"/>
    <x v="0"/>
    <x v="5"/>
    <x v="1"/>
    <x v="990"/>
    <x v="89"/>
    <x v="82"/>
    <x v="3"/>
    <x v="53"/>
    <x v="234"/>
    <x v="0"/>
    <x v="5"/>
    <x v="0"/>
    <x v="1"/>
    <x v="2"/>
    <x v="7"/>
  </r>
  <r>
    <x v="832"/>
    <x v="9"/>
    <x v="57"/>
    <x v="0"/>
    <x v="6"/>
    <x v="4"/>
    <x v="0"/>
    <x v="144"/>
    <x v="9"/>
    <x v="176"/>
    <x v="0"/>
    <x v="0"/>
    <x v="6"/>
    <x v="122"/>
    <x v="576"/>
    <x v="436"/>
    <x v="429"/>
    <x v="6"/>
    <x v="20"/>
    <x v="233"/>
    <x v="0"/>
    <x v="6"/>
    <x v="0"/>
    <x v="1"/>
    <x v="1"/>
    <x v="7"/>
  </r>
  <r>
    <x v="265"/>
    <x v="1"/>
    <x v="770"/>
    <x v="0"/>
    <x v="6"/>
    <x v="4"/>
    <x v="0"/>
    <x v="14"/>
    <x v="0"/>
    <x v="0"/>
    <x v="0"/>
    <x v="0"/>
    <x v="5"/>
    <x v="1"/>
    <x v="991"/>
    <x v="88"/>
    <x v="82"/>
    <x v="3"/>
    <x v="53"/>
    <x v="232"/>
    <x v="0"/>
    <x v="5"/>
    <x v="0"/>
    <x v="1"/>
    <x v="0"/>
    <x v="7"/>
  </r>
  <r>
    <x v="405"/>
    <x v="2"/>
    <x v="316"/>
    <x v="0"/>
    <x v="6"/>
    <x v="4"/>
    <x v="0"/>
    <x v="31"/>
    <x v="9"/>
    <x v="78"/>
    <x v="0"/>
    <x v="0"/>
    <x v="4"/>
    <x v="20"/>
    <x v="518"/>
    <x v="636"/>
    <x v="254"/>
    <x v="6"/>
    <x v="20"/>
    <x v="231"/>
    <x v="0"/>
    <x v="4"/>
    <x v="0"/>
    <x v="1"/>
    <x v="0"/>
    <x v="7"/>
  </r>
  <r>
    <x v="869"/>
    <x v="11"/>
    <x v="315"/>
    <x v="0"/>
    <x v="6"/>
    <x v="4"/>
    <x v="0"/>
    <x v="171"/>
    <x v="9"/>
    <x v="147"/>
    <x v="0"/>
    <x v="0"/>
    <x v="7"/>
    <x v="20"/>
    <x v="513"/>
    <x v="639"/>
    <x v="254"/>
    <x v="6"/>
    <x v="20"/>
    <x v="230"/>
    <x v="0"/>
    <x v="7"/>
    <x v="0"/>
    <x v="1"/>
    <x v="2"/>
    <x v="7"/>
  </r>
  <r>
    <x v="33"/>
    <x v="0"/>
    <x v="424"/>
    <x v="0"/>
    <x v="5"/>
    <x v="4"/>
    <x v="0"/>
    <x v="0"/>
    <x v="9"/>
    <x v="303"/>
    <x v="0"/>
    <x v="0"/>
    <x v="7"/>
    <x v="79"/>
    <x v="656"/>
    <x v="421"/>
    <x v="44"/>
    <x v="6"/>
    <x v="19"/>
    <x v="229"/>
    <x v="0"/>
    <x v="7"/>
    <x v="0"/>
    <x v="1"/>
    <x v="0"/>
    <x v="7"/>
  </r>
  <r>
    <x v="884"/>
    <x v="11"/>
    <x v="233"/>
    <x v="0"/>
    <x v="6"/>
    <x v="4"/>
    <x v="0"/>
    <x v="171"/>
    <x v="9"/>
    <x v="185"/>
    <x v="0"/>
    <x v="0"/>
    <x v="7"/>
    <x v="32"/>
    <x v="486"/>
    <x v="707"/>
    <x v="16"/>
    <x v="6"/>
    <x v="35"/>
    <x v="228"/>
    <x v="0"/>
    <x v="7"/>
    <x v="0"/>
    <x v="1"/>
    <x v="2"/>
    <x v="7"/>
  </r>
  <r>
    <x v="14"/>
    <x v="0"/>
    <x v="457"/>
    <x v="0"/>
    <x v="3"/>
    <x v="4"/>
    <x v="0"/>
    <x v="0"/>
    <x v="9"/>
    <x v="85"/>
    <x v="0"/>
    <x v="0"/>
    <x v="7"/>
    <x v="122"/>
    <x v="674"/>
    <x v="733"/>
    <x v="400"/>
    <x v="6"/>
    <x v="56"/>
    <x v="227"/>
    <x v="0"/>
    <x v="7"/>
    <x v="0"/>
    <x v="1"/>
    <x v="0"/>
    <x v="7"/>
  </r>
  <r>
    <x v="30"/>
    <x v="0"/>
    <x v="980"/>
    <x v="0"/>
    <x v="6"/>
    <x v="4"/>
    <x v="0"/>
    <x v="0"/>
    <x v="9"/>
    <x v="251"/>
    <x v="0"/>
    <x v="0"/>
    <x v="7"/>
    <x v="20"/>
    <x v="617"/>
    <x v="178"/>
    <x v="376"/>
    <x v="6"/>
    <x v="34"/>
    <x v="226"/>
    <x v="0"/>
    <x v="7"/>
    <x v="0"/>
    <x v="1"/>
    <x v="0"/>
    <x v="7"/>
  </r>
  <r>
    <x v="107"/>
    <x v="0"/>
    <x v="729"/>
    <x v="0"/>
    <x v="7"/>
    <x v="4"/>
    <x v="0"/>
    <x v="0"/>
    <x v="9"/>
    <x v="263"/>
    <x v="0"/>
    <x v="0"/>
    <x v="7"/>
    <x v="20"/>
    <x v="814"/>
    <x v="366"/>
    <x v="9"/>
    <x v="1"/>
    <x v="21"/>
    <x v="225"/>
    <x v="0"/>
    <x v="7"/>
    <x v="0"/>
    <x v="1"/>
    <x v="0"/>
    <x v="7"/>
  </r>
  <r>
    <x v="210"/>
    <x v="1"/>
    <x v="596"/>
    <x v="0"/>
    <x v="6"/>
    <x v="4"/>
    <x v="0"/>
    <x v="14"/>
    <x v="9"/>
    <x v="178"/>
    <x v="0"/>
    <x v="0"/>
    <x v="6"/>
    <x v="184"/>
    <x v="68"/>
    <x v="266"/>
    <x v="281"/>
    <x v="5"/>
    <x v="9"/>
    <x v="224"/>
    <x v="0"/>
    <x v="6"/>
    <x v="0"/>
    <x v="1"/>
    <x v="0"/>
    <x v="7"/>
  </r>
  <r>
    <x v="357"/>
    <x v="2"/>
    <x v="564"/>
    <x v="0"/>
    <x v="4"/>
    <x v="4"/>
    <x v="0"/>
    <x v="31"/>
    <x v="9"/>
    <x v="91"/>
    <x v="0"/>
    <x v="0"/>
    <x v="7"/>
    <x v="130"/>
    <x v="260"/>
    <x v="892"/>
    <x v="433"/>
    <x v="6"/>
    <x v="56"/>
    <x v="223"/>
    <x v="0"/>
    <x v="7"/>
    <x v="0"/>
    <x v="1"/>
    <x v="0"/>
    <x v="7"/>
  </r>
  <r>
    <x v="701"/>
    <x v="6"/>
    <x v="849"/>
    <x v="0"/>
    <x v="6"/>
    <x v="4"/>
    <x v="0"/>
    <x v="101"/>
    <x v="9"/>
    <x v="84"/>
    <x v="0"/>
    <x v="0"/>
    <x v="7"/>
    <x v="227"/>
    <x v="658"/>
    <x v="721"/>
    <x v="266"/>
    <x v="6"/>
    <x v="53"/>
    <x v="222"/>
    <x v="0"/>
    <x v="7"/>
    <x v="0"/>
    <x v="1"/>
    <x v="1"/>
    <x v="7"/>
  </r>
  <r>
    <x v="374"/>
    <x v="2"/>
    <x v="590"/>
    <x v="0"/>
    <x v="6"/>
    <x v="4"/>
    <x v="0"/>
    <x v="31"/>
    <x v="9"/>
    <x v="205"/>
    <x v="0"/>
    <x v="0"/>
    <x v="6"/>
    <x v="203"/>
    <x v="94"/>
    <x v="276"/>
    <x v="101"/>
    <x v="5"/>
    <x v="9"/>
    <x v="221"/>
    <x v="0"/>
    <x v="6"/>
    <x v="0"/>
    <x v="1"/>
    <x v="0"/>
    <x v="7"/>
  </r>
  <r>
    <x v="469"/>
    <x v="3"/>
    <x v="589"/>
    <x v="0"/>
    <x v="5"/>
    <x v="4"/>
    <x v="0"/>
    <x v="49"/>
    <x v="9"/>
    <x v="102"/>
    <x v="0"/>
    <x v="0"/>
    <x v="7"/>
    <x v="97"/>
    <x v="698"/>
    <x v="126"/>
    <x v="317"/>
    <x v="3"/>
    <x v="56"/>
    <x v="220"/>
    <x v="0"/>
    <x v="7"/>
    <x v="0"/>
    <x v="1"/>
    <x v="0"/>
    <x v="7"/>
  </r>
  <r>
    <x v="725"/>
    <x v="6"/>
    <x v="977"/>
    <x v="0"/>
    <x v="5"/>
    <x v="4"/>
    <x v="0"/>
    <x v="101"/>
    <x v="9"/>
    <x v="259"/>
    <x v="0"/>
    <x v="0"/>
    <x v="7"/>
    <x v="129"/>
    <x v="744"/>
    <x v="532"/>
    <x v="150"/>
    <x v="1"/>
    <x v="56"/>
    <x v="219"/>
    <x v="0"/>
    <x v="7"/>
    <x v="0"/>
    <x v="1"/>
    <x v="1"/>
    <x v="7"/>
  </r>
  <r>
    <x v="4"/>
    <x v="0"/>
    <x v="898"/>
    <x v="0"/>
    <x v="4"/>
    <x v="4"/>
    <x v="0"/>
    <x v="0"/>
    <x v="9"/>
    <x v="222"/>
    <x v="0"/>
    <x v="0"/>
    <x v="7"/>
    <x v="266"/>
    <x v="139"/>
    <x v="293"/>
    <x v="78"/>
    <x v="5"/>
    <x v="9"/>
    <x v="218"/>
    <x v="0"/>
    <x v="7"/>
    <x v="0"/>
    <x v="1"/>
    <x v="0"/>
    <x v="7"/>
  </r>
  <r>
    <x v="865"/>
    <x v="10"/>
    <x v="135"/>
    <x v="0"/>
    <x v="6"/>
    <x v="4"/>
    <x v="0"/>
    <x v="157"/>
    <x v="9"/>
    <x v="116"/>
    <x v="0"/>
    <x v="0"/>
    <x v="7"/>
    <x v="124"/>
    <x v="599"/>
    <x v="552"/>
    <x v="273"/>
    <x v="6"/>
    <x v="38"/>
    <x v="217"/>
    <x v="1"/>
    <x v="7"/>
    <x v="0"/>
    <x v="1"/>
    <x v="2"/>
    <x v="7"/>
  </r>
  <r>
    <x v="833"/>
    <x v="9"/>
    <x v="78"/>
    <x v="0"/>
    <x v="4"/>
    <x v="4"/>
    <x v="0"/>
    <x v="144"/>
    <x v="9"/>
    <x v="45"/>
    <x v="0"/>
    <x v="0"/>
    <x v="7"/>
    <x v="336"/>
    <x v="829"/>
    <x v="385"/>
    <x v="174"/>
    <x v="1"/>
    <x v="0"/>
    <x v="216"/>
    <x v="0"/>
    <x v="7"/>
    <x v="0"/>
    <x v="1"/>
    <x v="1"/>
    <x v="7"/>
  </r>
  <r>
    <x v="179"/>
    <x v="1"/>
    <x v="132"/>
    <x v="0"/>
    <x v="5"/>
    <x v="4"/>
    <x v="0"/>
    <x v="14"/>
    <x v="9"/>
    <x v="194"/>
    <x v="0"/>
    <x v="0"/>
    <x v="7"/>
    <x v="144"/>
    <x v="419"/>
    <x v="769"/>
    <x v="197"/>
    <x v="6"/>
    <x v="35"/>
    <x v="215"/>
    <x v="0"/>
    <x v="7"/>
    <x v="0"/>
    <x v="1"/>
    <x v="0"/>
    <x v="7"/>
  </r>
  <r>
    <x v="97"/>
    <x v="0"/>
    <x v="73"/>
    <x v="0"/>
    <x v="6"/>
    <x v="4"/>
    <x v="0"/>
    <x v="0"/>
    <x v="9"/>
    <x v="219"/>
    <x v="0"/>
    <x v="0"/>
    <x v="7"/>
    <x v="2"/>
    <x v="873"/>
    <x v="354"/>
    <x v="442"/>
    <x v="1"/>
    <x v="49"/>
    <x v="214"/>
    <x v="0"/>
    <x v="7"/>
    <x v="0"/>
    <x v="1"/>
    <x v="0"/>
    <x v="7"/>
  </r>
  <r>
    <x v="323"/>
    <x v="2"/>
    <x v="284"/>
    <x v="0"/>
    <x v="7"/>
    <x v="4"/>
    <x v="0"/>
    <x v="31"/>
    <x v="9"/>
    <x v="123"/>
    <x v="0"/>
    <x v="0"/>
    <x v="7"/>
    <x v="22"/>
    <x v="488"/>
    <x v="693"/>
    <x v="16"/>
    <x v="6"/>
    <x v="35"/>
    <x v="213"/>
    <x v="0"/>
    <x v="7"/>
    <x v="0"/>
    <x v="1"/>
    <x v="0"/>
    <x v="7"/>
  </r>
  <r>
    <x v="240"/>
    <x v="1"/>
    <x v="64"/>
    <x v="0"/>
    <x v="5"/>
    <x v="4"/>
    <x v="0"/>
    <x v="14"/>
    <x v="9"/>
    <x v="154"/>
    <x v="0"/>
    <x v="0"/>
    <x v="7"/>
    <x v="20"/>
    <x v="193"/>
    <x v="934"/>
    <x v="360"/>
    <x v="6"/>
    <x v="54"/>
    <x v="212"/>
    <x v="0"/>
    <x v="7"/>
    <x v="0"/>
    <x v="1"/>
    <x v="0"/>
    <x v="7"/>
  </r>
  <r>
    <x v="764"/>
    <x v="7"/>
    <x v="33"/>
    <x v="0"/>
    <x v="5"/>
    <x v="4"/>
    <x v="0"/>
    <x v="115"/>
    <x v="9"/>
    <x v="184"/>
    <x v="0"/>
    <x v="0"/>
    <x v="7"/>
    <x v="79"/>
    <x v="194"/>
    <x v="931"/>
    <x v="360"/>
    <x v="6"/>
    <x v="54"/>
    <x v="211"/>
    <x v="0"/>
    <x v="7"/>
    <x v="0"/>
    <x v="1"/>
    <x v="1"/>
    <x v="7"/>
  </r>
  <r>
    <x v="463"/>
    <x v="3"/>
    <x v="774"/>
    <x v="0"/>
    <x v="6"/>
    <x v="4"/>
    <x v="0"/>
    <x v="49"/>
    <x v="9"/>
    <x v="153"/>
    <x v="0"/>
    <x v="0"/>
    <x v="7"/>
    <x v="49"/>
    <x v="302"/>
    <x v="847"/>
    <x v="252"/>
    <x v="6"/>
    <x v="42"/>
    <x v="210"/>
    <x v="0"/>
    <x v="7"/>
    <x v="0"/>
    <x v="1"/>
    <x v="0"/>
    <x v="6"/>
  </r>
  <r>
    <x v="496"/>
    <x v="3"/>
    <x v="617"/>
    <x v="0"/>
    <x v="4"/>
    <x v="4"/>
    <x v="0"/>
    <x v="49"/>
    <x v="9"/>
    <x v="230"/>
    <x v="0"/>
    <x v="0"/>
    <x v="7"/>
    <x v="37"/>
    <x v="743"/>
    <x v="540"/>
    <x v="499"/>
    <x v="6"/>
    <x v="56"/>
    <x v="209"/>
    <x v="0"/>
    <x v="7"/>
    <x v="0"/>
    <x v="1"/>
    <x v="0"/>
    <x v="6"/>
  </r>
  <r>
    <x v="63"/>
    <x v="0"/>
    <x v="60"/>
    <x v="0"/>
    <x v="4"/>
    <x v="4"/>
    <x v="0"/>
    <x v="0"/>
    <x v="9"/>
    <x v="288"/>
    <x v="0"/>
    <x v="0"/>
    <x v="7"/>
    <x v="265"/>
    <x v="882"/>
    <x v="669"/>
    <x v="138"/>
    <x v="1"/>
    <x v="23"/>
    <x v="208"/>
    <x v="0"/>
    <x v="7"/>
    <x v="0"/>
    <x v="1"/>
    <x v="0"/>
    <x v="6"/>
  </r>
  <r>
    <x v="935"/>
    <x v="13"/>
    <x v="468"/>
    <x v="0"/>
    <x v="8"/>
    <x v="4"/>
    <x v="0"/>
    <x v="197"/>
    <x v="9"/>
    <x v="141"/>
    <x v="0"/>
    <x v="0"/>
    <x v="7"/>
    <x v="20"/>
    <x v="818"/>
    <x v="411"/>
    <x v="438"/>
    <x v="1"/>
    <x v="36"/>
    <x v="207"/>
    <x v="1"/>
    <x v="7"/>
    <x v="0"/>
    <x v="1"/>
    <x v="2"/>
    <x v="6"/>
  </r>
  <r>
    <x v="655"/>
    <x v="5"/>
    <x v="985"/>
    <x v="0"/>
    <x v="6"/>
    <x v="4"/>
    <x v="0"/>
    <x v="84"/>
    <x v="9"/>
    <x v="81"/>
    <x v="0"/>
    <x v="0"/>
    <x v="7"/>
    <x v="130"/>
    <x v="393"/>
    <x v="757"/>
    <x v="197"/>
    <x v="6"/>
    <x v="35"/>
    <x v="206"/>
    <x v="0"/>
    <x v="7"/>
    <x v="0"/>
    <x v="1"/>
    <x v="1"/>
    <x v="6"/>
  </r>
  <r>
    <x v="847"/>
    <x v="10"/>
    <x v="642"/>
    <x v="0"/>
    <x v="5"/>
    <x v="4"/>
    <x v="0"/>
    <x v="157"/>
    <x v="9"/>
    <x v="73"/>
    <x v="0"/>
    <x v="0"/>
    <x v="7"/>
    <x v="130"/>
    <x v="464"/>
    <x v="549"/>
    <x v="190"/>
    <x v="6"/>
    <x v="20"/>
    <x v="205"/>
    <x v="0"/>
    <x v="7"/>
    <x v="0"/>
    <x v="1"/>
    <x v="2"/>
    <x v="6"/>
  </r>
  <r>
    <x v="666"/>
    <x v="5"/>
    <x v="392"/>
    <x v="0"/>
    <x v="5"/>
    <x v="4"/>
    <x v="0"/>
    <x v="84"/>
    <x v="9"/>
    <x v="219"/>
    <x v="0"/>
    <x v="0"/>
    <x v="7"/>
    <x v="140"/>
    <x v="654"/>
    <x v="725"/>
    <x v="156"/>
    <x v="6"/>
    <x v="56"/>
    <x v="204"/>
    <x v="0"/>
    <x v="7"/>
    <x v="0"/>
    <x v="1"/>
    <x v="1"/>
    <x v="6"/>
  </r>
  <r>
    <x v="8"/>
    <x v="0"/>
    <x v="355"/>
    <x v="0"/>
    <x v="5"/>
    <x v="4"/>
    <x v="0"/>
    <x v="0"/>
    <x v="9"/>
    <x v="59"/>
    <x v="0"/>
    <x v="0"/>
    <x v="7"/>
    <x v="130"/>
    <x v="533"/>
    <x v="632"/>
    <x v="254"/>
    <x v="6"/>
    <x v="20"/>
    <x v="203"/>
    <x v="0"/>
    <x v="7"/>
    <x v="0"/>
    <x v="1"/>
    <x v="0"/>
    <x v="6"/>
  </r>
  <r>
    <x v="281"/>
    <x v="1"/>
    <x v="908"/>
    <x v="6"/>
    <x v="5"/>
    <x v="4"/>
    <x v="0"/>
    <x v="84"/>
    <x v="0"/>
    <x v="0"/>
    <x v="0"/>
    <x v="0"/>
    <x v="5"/>
    <x v="272"/>
    <x v="984"/>
    <x v="81"/>
    <x v="203"/>
    <x v="3"/>
    <x v="53"/>
    <x v="202"/>
    <x v="0"/>
    <x v="5"/>
    <x v="0"/>
    <x v="1"/>
    <x v="0"/>
    <x v="6"/>
  </r>
  <r>
    <x v="72"/>
    <x v="0"/>
    <x v="857"/>
    <x v="0"/>
    <x v="7"/>
    <x v="4"/>
    <x v="0"/>
    <x v="0"/>
    <x v="9"/>
    <x v="220"/>
    <x v="0"/>
    <x v="0"/>
    <x v="7"/>
    <x v="20"/>
    <x v="879"/>
    <x v="344"/>
    <x v="432"/>
    <x v="2"/>
    <x v="15"/>
    <x v="201"/>
    <x v="0"/>
    <x v="7"/>
    <x v="0"/>
    <x v="1"/>
    <x v="0"/>
    <x v="6"/>
  </r>
  <r>
    <x v="882"/>
    <x v="11"/>
    <x v="204"/>
    <x v="0"/>
    <x v="6"/>
    <x v="4"/>
    <x v="0"/>
    <x v="171"/>
    <x v="9"/>
    <x v="161"/>
    <x v="0"/>
    <x v="0"/>
    <x v="7"/>
    <x v="130"/>
    <x v="195"/>
    <x v="239"/>
    <x v="375"/>
    <x v="6"/>
    <x v="37"/>
    <x v="200"/>
    <x v="0"/>
    <x v="7"/>
    <x v="0"/>
    <x v="1"/>
    <x v="2"/>
    <x v="6"/>
  </r>
  <r>
    <x v="237"/>
    <x v="1"/>
    <x v="143"/>
    <x v="0"/>
    <x v="6"/>
    <x v="4"/>
    <x v="0"/>
    <x v="14"/>
    <x v="9"/>
    <x v="119"/>
    <x v="0"/>
    <x v="0"/>
    <x v="7"/>
    <x v="203"/>
    <x v="210"/>
    <x v="221"/>
    <x v="11"/>
    <x v="6"/>
    <x v="37"/>
    <x v="199"/>
    <x v="0"/>
    <x v="7"/>
    <x v="0"/>
    <x v="1"/>
    <x v="0"/>
    <x v="6"/>
  </r>
  <r>
    <x v="378"/>
    <x v="2"/>
    <x v="855"/>
    <x v="0"/>
    <x v="5"/>
    <x v="4"/>
    <x v="0"/>
    <x v="31"/>
    <x v="9"/>
    <x v="180"/>
    <x v="0"/>
    <x v="0"/>
    <x v="7"/>
    <x v="94"/>
    <x v="191"/>
    <x v="250"/>
    <x v="329"/>
    <x v="6"/>
    <x v="37"/>
    <x v="198"/>
    <x v="0"/>
    <x v="7"/>
    <x v="0"/>
    <x v="1"/>
    <x v="0"/>
    <x v="6"/>
  </r>
  <r>
    <x v="978"/>
    <x v="21"/>
    <x v="758"/>
    <x v="0"/>
    <x v="7"/>
    <x v="4"/>
    <x v="0"/>
    <x v="252"/>
    <x v="7"/>
    <x v="243"/>
    <x v="0"/>
    <x v="0"/>
    <x v="8"/>
    <x v="130"/>
    <x v="207"/>
    <x v="223"/>
    <x v="28"/>
    <x v="6"/>
    <x v="37"/>
    <x v="197"/>
    <x v="0"/>
    <x v="8"/>
    <x v="0"/>
    <x v="1"/>
    <x v="3"/>
    <x v="6"/>
  </r>
  <r>
    <x v="334"/>
    <x v="2"/>
    <x v="625"/>
    <x v="0"/>
    <x v="5"/>
    <x v="4"/>
    <x v="0"/>
    <x v="31"/>
    <x v="9"/>
    <x v="96"/>
    <x v="0"/>
    <x v="0"/>
    <x v="7"/>
    <x v="56"/>
    <x v="339"/>
    <x v="828"/>
    <x v="341"/>
    <x v="6"/>
    <x v="42"/>
    <x v="196"/>
    <x v="0"/>
    <x v="7"/>
    <x v="0"/>
    <x v="1"/>
    <x v="0"/>
    <x v="6"/>
  </r>
  <r>
    <x v="456"/>
    <x v="3"/>
    <x v="781"/>
    <x v="0"/>
    <x v="6"/>
    <x v="4"/>
    <x v="0"/>
    <x v="49"/>
    <x v="9"/>
    <x v="283"/>
    <x v="0"/>
    <x v="0"/>
    <x v="7"/>
    <x v="178"/>
    <x v="801"/>
    <x v="629"/>
    <x v="210"/>
    <x v="1"/>
    <x v="23"/>
    <x v="195"/>
    <x v="0"/>
    <x v="7"/>
    <x v="0"/>
    <x v="1"/>
    <x v="0"/>
    <x v="6"/>
  </r>
  <r>
    <x v="85"/>
    <x v="0"/>
    <x v="622"/>
    <x v="0"/>
    <x v="5"/>
    <x v="4"/>
    <x v="0"/>
    <x v="0"/>
    <x v="9"/>
    <x v="64"/>
    <x v="0"/>
    <x v="0"/>
    <x v="7"/>
    <x v="130"/>
    <x v="466"/>
    <x v="602"/>
    <x v="22"/>
    <x v="6"/>
    <x v="20"/>
    <x v="194"/>
    <x v="0"/>
    <x v="7"/>
    <x v="0"/>
    <x v="1"/>
    <x v="0"/>
    <x v="6"/>
  </r>
  <r>
    <x v="501"/>
    <x v="3"/>
    <x v="895"/>
    <x v="7"/>
    <x v="6"/>
    <x v="4"/>
    <x v="0"/>
    <x v="307"/>
    <x v="10"/>
    <x v="14"/>
    <x v="0"/>
    <x v="153"/>
    <x v="1"/>
    <x v="181"/>
    <x v="919"/>
    <x v="101"/>
    <x v="238"/>
    <x v="3"/>
    <x v="53"/>
    <x v="193"/>
    <x v="0"/>
    <x v="1"/>
    <x v="0"/>
    <x v="1"/>
    <x v="0"/>
    <x v="6"/>
  </r>
  <r>
    <x v="690"/>
    <x v="6"/>
    <x v="778"/>
    <x v="0"/>
    <x v="6"/>
    <x v="4"/>
    <x v="0"/>
    <x v="101"/>
    <x v="9"/>
    <x v="183"/>
    <x v="0"/>
    <x v="0"/>
    <x v="7"/>
    <x v="136"/>
    <x v="557"/>
    <x v="570"/>
    <x v="459"/>
    <x v="6"/>
    <x v="20"/>
    <x v="192"/>
    <x v="0"/>
    <x v="7"/>
    <x v="0"/>
    <x v="1"/>
    <x v="1"/>
    <x v="6"/>
  </r>
  <r>
    <x v="821"/>
    <x v="9"/>
    <x v="405"/>
    <x v="0"/>
    <x v="5"/>
    <x v="4"/>
    <x v="0"/>
    <x v="144"/>
    <x v="9"/>
    <x v="68"/>
    <x v="0"/>
    <x v="0"/>
    <x v="7"/>
    <x v="138"/>
    <x v="445"/>
    <x v="486"/>
    <x v="57"/>
    <x v="6"/>
    <x v="20"/>
    <x v="191"/>
    <x v="0"/>
    <x v="7"/>
    <x v="0"/>
    <x v="1"/>
    <x v="1"/>
    <x v="6"/>
  </r>
  <r>
    <x v="259"/>
    <x v="1"/>
    <x v="404"/>
    <x v="0"/>
    <x v="7"/>
    <x v="4"/>
    <x v="0"/>
    <x v="14"/>
    <x v="9"/>
    <x v="92"/>
    <x v="0"/>
    <x v="0"/>
    <x v="7"/>
    <x v="20"/>
    <x v="664"/>
    <x v="154"/>
    <x v="97"/>
    <x v="6"/>
    <x v="13"/>
    <x v="190"/>
    <x v="0"/>
    <x v="7"/>
    <x v="0"/>
    <x v="1"/>
    <x v="0"/>
    <x v="6"/>
  </r>
  <r>
    <x v="901"/>
    <x v="12"/>
    <x v="844"/>
    <x v="0"/>
    <x v="8"/>
    <x v="4"/>
    <x v="0"/>
    <x v="183"/>
    <x v="9"/>
    <x v="211"/>
    <x v="0"/>
    <x v="0"/>
    <x v="7"/>
    <x v="49"/>
    <x v="739"/>
    <x v="383"/>
    <x v="58"/>
    <x v="1"/>
    <x v="19"/>
    <x v="189"/>
    <x v="0"/>
    <x v="7"/>
    <x v="0"/>
    <x v="1"/>
    <x v="2"/>
    <x v="6"/>
  </r>
  <r>
    <x v="583"/>
    <x v="4"/>
    <x v="503"/>
    <x v="0"/>
    <x v="5"/>
    <x v="4"/>
    <x v="0"/>
    <x v="67"/>
    <x v="9"/>
    <x v="35"/>
    <x v="0"/>
    <x v="0"/>
    <x v="6"/>
    <x v="111"/>
    <x v="467"/>
    <x v="481"/>
    <x v="57"/>
    <x v="6"/>
    <x v="20"/>
    <x v="188"/>
    <x v="0"/>
    <x v="6"/>
    <x v="0"/>
    <x v="1"/>
    <x v="0"/>
    <x v="6"/>
  </r>
  <r>
    <x v="908"/>
    <x v="12"/>
    <x v="401"/>
    <x v="0"/>
    <x v="7"/>
    <x v="4"/>
    <x v="0"/>
    <x v="183"/>
    <x v="9"/>
    <x v="184"/>
    <x v="0"/>
    <x v="0"/>
    <x v="7"/>
    <x v="196"/>
    <x v="657"/>
    <x v="157"/>
    <x v="368"/>
    <x v="6"/>
    <x v="56"/>
    <x v="187"/>
    <x v="0"/>
    <x v="7"/>
    <x v="0"/>
    <x v="1"/>
    <x v="2"/>
    <x v="6"/>
  </r>
  <r>
    <x v="580"/>
    <x v="4"/>
    <x v="283"/>
    <x v="5"/>
    <x v="6"/>
    <x v="4"/>
    <x v="0"/>
    <x v="80"/>
    <x v="0"/>
    <x v="0"/>
    <x v="0"/>
    <x v="0"/>
    <x v="5"/>
    <x v="139"/>
    <x v="980"/>
    <x v="85"/>
    <x v="324"/>
    <x v="3"/>
    <x v="56"/>
    <x v="186"/>
    <x v="0"/>
    <x v="5"/>
    <x v="0"/>
    <x v="1"/>
    <x v="0"/>
    <x v="6"/>
  </r>
  <r>
    <x v="696"/>
    <x v="6"/>
    <x v="253"/>
    <x v="0"/>
    <x v="6"/>
    <x v="4"/>
    <x v="0"/>
    <x v="101"/>
    <x v="9"/>
    <x v="145"/>
    <x v="0"/>
    <x v="0"/>
    <x v="6"/>
    <x v="239"/>
    <x v="231"/>
    <x v="915"/>
    <x v="359"/>
    <x v="6"/>
    <x v="54"/>
    <x v="185"/>
    <x v="0"/>
    <x v="6"/>
    <x v="0"/>
    <x v="1"/>
    <x v="1"/>
    <x v="6"/>
  </r>
  <r>
    <x v="526"/>
    <x v="3"/>
    <x v="3"/>
    <x v="0"/>
    <x v="4"/>
    <x v="4"/>
    <x v="0"/>
    <x v="49"/>
    <x v="9"/>
    <x v="11"/>
    <x v="0"/>
    <x v="0"/>
    <x v="7"/>
    <x v="130"/>
    <x v="603"/>
    <x v="587"/>
    <x v="273"/>
    <x v="6"/>
    <x v="56"/>
    <x v="184"/>
    <x v="1"/>
    <x v="7"/>
    <x v="0"/>
    <x v="1"/>
    <x v="0"/>
    <x v="6"/>
  </r>
  <r>
    <x v="850"/>
    <x v="10"/>
    <x v="2"/>
    <x v="0"/>
    <x v="6"/>
    <x v="4"/>
    <x v="0"/>
    <x v="157"/>
    <x v="9"/>
    <x v="119"/>
    <x v="0"/>
    <x v="0"/>
    <x v="7"/>
    <x v="130"/>
    <x v="607"/>
    <x v="580"/>
    <x v="243"/>
    <x v="6"/>
    <x v="38"/>
    <x v="183"/>
    <x v="0"/>
    <x v="7"/>
    <x v="0"/>
    <x v="1"/>
    <x v="2"/>
    <x v="6"/>
  </r>
  <r>
    <x v="101"/>
    <x v="0"/>
    <x v="187"/>
    <x v="0"/>
    <x v="6"/>
    <x v="4"/>
    <x v="0"/>
    <x v="0"/>
    <x v="9"/>
    <x v="164"/>
    <x v="0"/>
    <x v="0"/>
    <x v="7"/>
    <x v="124"/>
    <x v="461"/>
    <x v="787"/>
    <x v="204"/>
    <x v="6"/>
    <x v="35"/>
    <x v="182"/>
    <x v="0"/>
    <x v="7"/>
    <x v="0"/>
    <x v="1"/>
    <x v="0"/>
    <x v="5"/>
  </r>
  <r>
    <x v="654"/>
    <x v="5"/>
    <x v="186"/>
    <x v="0"/>
    <x v="6"/>
    <x v="4"/>
    <x v="0"/>
    <x v="84"/>
    <x v="9"/>
    <x v="227"/>
    <x v="0"/>
    <x v="0"/>
    <x v="7"/>
    <x v="122"/>
    <x v="884"/>
    <x v="369"/>
    <x v="42"/>
    <x v="1"/>
    <x v="51"/>
    <x v="181"/>
    <x v="0"/>
    <x v="7"/>
    <x v="0"/>
    <x v="1"/>
    <x v="1"/>
    <x v="5"/>
  </r>
  <r>
    <x v="52"/>
    <x v="0"/>
    <x v="835"/>
    <x v="0"/>
    <x v="5"/>
    <x v="4"/>
    <x v="0"/>
    <x v="0"/>
    <x v="9"/>
    <x v="88"/>
    <x v="0"/>
    <x v="0"/>
    <x v="7"/>
    <x v="130"/>
    <x v="889"/>
    <x v="368"/>
    <x v="37"/>
    <x v="1"/>
    <x v="4"/>
    <x v="180"/>
    <x v="0"/>
    <x v="7"/>
    <x v="0"/>
    <x v="1"/>
    <x v="0"/>
    <x v="5"/>
  </r>
  <r>
    <x v="450"/>
    <x v="3"/>
    <x v="834"/>
    <x v="0"/>
    <x v="5"/>
    <x v="4"/>
    <x v="0"/>
    <x v="49"/>
    <x v="9"/>
    <x v="196"/>
    <x v="0"/>
    <x v="0"/>
    <x v="7"/>
    <x v="179"/>
    <x v="890"/>
    <x v="367"/>
    <x v="41"/>
    <x v="1"/>
    <x v="4"/>
    <x v="179"/>
    <x v="0"/>
    <x v="7"/>
    <x v="0"/>
    <x v="1"/>
    <x v="0"/>
    <x v="5"/>
  </r>
  <r>
    <x v="435"/>
    <x v="3"/>
    <x v="612"/>
    <x v="0"/>
    <x v="5"/>
    <x v="4"/>
    <x v="0"/>
    <x v="49"/>
    <x v="9"/>
    <x v="165"/>
    <x v="0"/>
    <x v="0"/>
    <x v="6"/>
    <x v="130"/>
    <x v="422"/>
    <x v="775"/>
    <x v="204"/>
    <x v="6"/>
    <x v="35"/>
    <x v="178"/>
    <x v="0"/>
    <x v="6"/>
    <x v="0"/>
    <x v="1"/>
    <x v="0"/>
    <x v="5"/>
  </r>
  <r>
    <x v="186"/>
    <x v="1"/>
    <x v="611"/>
    <x v="0"/>
    <x v="5"/>
    <x v="4"/>
    <x v="0"/>
    <x v="14"/>
    <x v="9"/>
    <x v="87"/>
    <x v="0"/>
    <x v="0"/>
    <x v="7"/>
    <x v="130"/>
    <x v="428"/>
    <x v="794"/>
    <x v="204"/>
    <x v="6"/>
    <x v="35"/>
    <x v="177"/>
    <x v="0"/>
    <x v="7"/>
    <x v="0"/>
    <x v="1"/>
    <x v="0"/>
    <x v="5"/>
  </r>
  <r>
    <x v="919"/>
    <x v="13"/>
    <x v="579"/>
    <x v="0"/>
    <x v="6"/>
    <x v="4"/>
    <x v="0"/>
    <x v="197"/>
    <x v="9"/>
    <x v="131"/>
    <x v="0"/>
    <x v="0"/>
    <x v="7"/>
    <x v="130"/>
    <x v="411"/>
    <x v="777"/>
    <x v="204"/>
    <x v="6"/>
    <x v="35"/>
    <x v="176"/>
    <x v="0"/>
    <x v="7"/>
    <x v="0"/>
    <x v="1"/>
    <x v="2"/>
    <x v="5"/>
  </r>
  <r>
    <x v="16"/>
    <x v="0"/>
    <x v="548"/>
    <x v="0"/>
    <x v="5"/>
    <x v="4"/>
    <x v="0"/>
    <x v="0"/>
    <x v="9"/>
    <x v="17"/>
    <x v="0"/>
    <x v="0"/>
    <x v="0"/>
    <x v="130"/>
    <x v="437"/>
    <x v="797"/>
    <x v="204"/>
    <x v="6"/>
    <x v="35"/>
    <x v="175"/>
    <x v="0"/>
    <x v="0"/>
    <x v="0"/>
    <x v="1"/>
    <x v="0"/>
    <x v="5"/>
  </r>
  <r>
    <x v="918"/>
    <x v="13"/>
    <x v="547"/>
    <x v="0"/>
    <x v="6"/>
    <x v="4"/>
    <x v="0"/>
    <x v="197"/>
    <x v="9"/>
    <x v="103"/>
    <x v="0"/>
    <x v="0"/>
    <x v="7"/>
    <x v="122"/>
    <x v="421"/>
    <x v="792"/>
    <x v="204"/>
    <x v="6"/>
    <x v="56"/>
    <x v="174"/>
    <x v="0"/>
    <x v="7"/>
    <x v="0"/>
    <x v="1"/>
    <x v="2"/>
    <x v="5"/>
  </r>
  <r>
    <x v="952"/>
    <x v="15"/>
    <x v="546"/>
    <x v="0"/>
    <x v="6"/>
    <x v="4"/>
    <x v="0"/>
    <x v="218"/>
    <x v="9"/>
    <x v="81"/>
    <x v="0"/>
    <x v="0"/>
    <x v="7"/>
    <x v="130"/>
    <x v="469"/>
    <x v="781"/>
    <x v="382"/>
    <x v="6"/>
    <x v="35"/>
    <x v="173"/>
    <x v="0"/>
    <x v="7"/>
    <x v="0"/>
    <x v="1"/>
    <x v="3"/>
    <x v="5"/>
  </r>
  <r>
    <x v="1"/>
    <x v="0"/>
    <x v="245"/>
    <x v="0"/>
    <x v="6"/>
    <x v="4"/>
    <x v="0"/>
    <x v="0"/>
    <x v="9"/>
    <x v="205"/>
    <x v="0"/>
    <x v="0"/>
    <x v="7"/>
    <x v="56"/>
    <x v="610"/>
    <x v="197"/>
    <x v="173"/>
    <x v="6"/>
    <x v="10"/>
    <x v="172"/>
    <x v="0"/>
    <x v="7"/>
    <x v="0"/>
    <x v="1"/>
    <x v="0"/>
    <x v="5"/>
  </r>
  <r>
    <x v="636"/>
    <x v="5"/>
    <x v="944"/>
    <x v="0"/>
    <x v="6"/>
    <x v="4"/>
    <x v="0"/>
    <x v="84"/>
    <x v="9"/>
    <x v="9"/>
    <x v="0"/>
    <x v="0"/>
    <x v="7"/>
    <x v="178"/>
    <x v="440"/>
    <x v="810"/>
    <x v="204"/>
    <x v="6"/>
    <x v="35"/>
    <x v="171"/>
    <x v="0"/>
    <x v="7"/>
    <x v="0"/>
    <x v="1"/>
    <x v="1"/>
    <x v="5"/>
  </r>
  <r>
    <x v="472"/>
    <x v="3"/>
    <x v="829"/>
    <x v="0"/>
    <x v="5"/>
    <x v="4"/>
    <x v="0"/>
    <x v="49"/>
    <x v="9"/>
    <x v="174"/>
    <x v="0"/>
    <x v="0"/>
    <x v="7"/>
    <x v="141"/>
    <x v="366"/>
    <x v="493"/>
    <x v="221"/>
    <x v="6"/>
    <x v="20"/>
    <x v="170"/>
    <x v="0"/>
    <x v="7"/>
    <x v="0"/>
    <x v="1"/>
    <x v="0"/>
    <x v="5"/>
  </r>
  <r>
    <x v="408"/>
    <x v="2"/>
    <x v="183"/>
    <x v="0"/>
    <x v="7"/>
    <x v="4"/>
    <x v="0"/>
    <x v="31"/>
    <x v="9"/>
    <x v="156"/>
    <x v="0"/>
    <x v="0"/>
    <x v="7"/>
    <x v="20"/>
    <x v="811"/>
    <x v="633"/>
    <x v="259"/>
    <x v="1"/>
    <x v="23"/>
    <x v="169"/>
    <x v="0"/>
    <x v="7"/>
    <x v="0"/>
    <x v="1"/>
    <x v="0"/>
    <x v="5"/>
  </r>
  <r>
    <x v="649"/>
    <x v="5"/>
    <x v="124"/>
    <x v="0"/>
    <x v="6"/>
    <x v="4"/>
    <x v="0"/>
    <x v="84"/>
    <x v="9"/>
    <x v="137"/>
    <x v="0"/>
    <x v="0"/>
    <x v="7"/>
    <x v="92"/>
    <x v="222"/>
    <x v="907"/>
    <x v="241"/>
    <x v="6"/>
    <x v="54"/>
    <x v="168"/>
    <x v="0"/>
    <x v="7"/>
    <x v="0"/>
    <x v="1"/>
    <x v="1"/>
    <x v="5"/>
  </r>
  <r>
    <x v="32"/>
    <x v="0"/>
    <x v="55"/>
    <x v="0"/>
    <x v="5"/>
    <x v="4"/>
    <x v="0"/>
    <x v="0"/>
    <x v="9"/>
    <x v="174"/>
    <x v="0"/>
    <x v="0"/>
    <x v="6"/>
    <x v="134"/>
    <x v="328"/>
    <x v="352"/>
    <x v="309"/>
    <x v="0"/>
    <x v="46"/>
    <x v="167"/>
    <x v="0"/>
    <x v="6"/>
    <x v="0"/>
    <x v="1"/>
    <x v="0"/>
    <x v="5"/>
  </r>
  <r>
    <x v="521"/>
    <x v="3"/>
    <x v="912"/>
    <x v="0"/>
    <x v="5"/>
    <x v="4"/>
    <x v="0"/>
    <x v="49"/>
    <x v="9"/>
    <x v="126"/>
    <x v="0"/>
    <x v="0"/>
    <x v="7"/>
    <x v="49"/>
    <x v="462"/>
    <x v="595"/>
    <x v="22"/>
    <x v="6"/>
    <x v="20"/>
    <x v="166"/>
    <x v="0"/>
    <x v="7"/>
    <x v="0"/>
    <x v="1"/>
    <x v="0"/>
    <x v="5"/>
  </r>
  <r>
    <x v="55"/>
    <x v="0"/>
    <x v="264"/>
    <x v="0"/>
    <x v="5"/>
    <x v="4"/>
    <x v="0"/>
    <x v="0"/>
    <x v="9"/>
    <x v="218"/>
    <x v="0"/>
    <x v="0"/>
    <x v="7"/>
    <x v="167"/>
    <x v="705"/>
    <x v="122"/>
    <x v="121"/>
    <x v="3"/>
    <x v="26"/>
    <x v="165"/>
    <x v="0"/>
    <x v="7"/>
    <x v="0"/>
    <x v="1"/>
    <x v="0"/>
    <x v="5"/>
  </r>
  <r>
    <x v="476"/>
    <x v="3"/>
    <x v="118"/>
    <x v="0"/>
    <x v="6"/>
    <x v="4"/>
    <x v="0"/>
    <x v="49"/>
    <x v="9"/>
    <x v="281"/>
    <x v="0"/>
    <x v="0"/>
    <x v="7"/>
    <x v="20"/>
    <x v="920"/>
    <x v="690"/>
    <x v="481"/>
    <x v="1"/>
    <x v="39"/>
    <x v="164"/>
    <x v="0"/>
    <x v="7"/>
    <x v="0"/>
    <x v="1"/>
    <x v="0"/>
    <x v="5"/>
  </r>
  <r>
    <x v="196"/>
    <x v="1"/>
    <x v="91"/>
    <x v="0"/>
    <x v="5"/>
    <x v="4"/>
    <x v="0"/>
    <x v="14"/>
    <x v="9"/>
    <x v="67"/>
    <x v="0"/>
    <x v="0"/>
    <x v="7"/>
    <x v="130"/>
    <x v="264"/>
    <x v="894"/>
    <x v="226"/>
    <x v="6"/>
    <x v="56"/>
    <x v="163"/>
    <x v="0"/>
    <x v="7"/>
    <x v="0"/>
    <x v="1"/>
    <x v="0"/>
    <x v="5"/>
  </r>
  <r>
    <x v="141"/>
    <x v="0"/>
    <x v="964"/>
    <x v="0"/>
    <x v="6"/>
    <x v="4"/>
    <x v="0"/>
    <x v="0"/>
    <x v="9"/>
    <x v="185"/>
    <x v="0"/>
    <x v="0"/>
    <x v="7"/>
    <x v="20"/>
    <x v="799"/>
    <x v="662"/>
    <x v="425"/>
    <x v="6"/>
    <x v="23"/>
    <x v="162"/>
    <x v="0"/>
    <x v="7"/>
    <x v="0"/>
    <x v="1"/>
    <x v="0"/>
    <x v="5"/>
  </r>
  <r>
    <x v="220"/>
    <x v="1"/>
    <x v="524"/>
    <x v="0"/>
    <x v="4"/>
    <x v="4"/>
    <x v="0"/>
    <x v="14"/>
    <x v="9"/>
    <x v="140"/>
    <x v="0"/>
    <x v="0"/>
    <x v="7"/>
    <x v="20"/>
    <x v="331"/>
    <x v="764"/>
    <x v="182"/>
    <x v="6"/>
    <x v="56"/>
    <x v="161"/>
    <x v="0"/>
    <x v="7"/>
    <x v="0"/>
    <x v="1"/>
    <x v="0"/>
    <x v="5"/>
  </r>
  <r>
    <x v="56"/>
    <x v="0"/>
    <x v="351"/>
    <x v="0"/>
    <x v="5"/>
    <x v="4"/>
    <x v="0"/>
    <x v="0"/>
    <x v="0"/>
    <x v="0"/>
    <x v="0"/>
    <x v="0"/>
    <x v="5"/>
    <x v="156"/>
    <x v="983"/>
    <x v="83"/>
    <x v="225"/>
    <x v="3"/>
    <x v="53"/>
    <x v="160"/>
    <x v="0"/>
    <x v="5"/>
    <x v="0"/>
    <x v="1"/>
    <x v="0"/>
    <x v="5"/>
  </r>
  <r>
    <x v="19"/>
    <x v="0"/>
    <x v="699"/>
    <x v="0"/>
    <x v="8"/>
    <x v="4"/>
    <x v="0"/>
    <x v="0"/>
    <x v="9"/>
    <x v="134"/>
    <x v="0"/>
    <x v="0"/>
    <x v="7"/>
    <x v="20"/>
    <x v="993"/>
    <x v="329"/>
    <x v="422"/>
    <x v="6"/>
    <x v="18"/>
    <x v="159"/>
    <x v="0"/>
    <x v="7"/>
    <x v="0"/>
    <x v="1"/>
    <x v="0"/>
    <x v="5"/>
  </r>
  <r>
    <x v="951"/>
    <x v="14"/>
    <x v="595"/>
    <x v="0"/>
    <x v="4"/>
    <x v="4"/>
    <x v="0"/>
    <x v="208"/>
    <x v="9"/>
    <x v="167"/>
    <x v="0"/>
    <x v="0"/>
    <x v="7"/>
    <x v="20"/>
    <x v="247"/>
    <x v="446"/>
    <x v="435"/>
    <x v="6"/>
    <x v="56"/>
    <x v="158"/>
    <x v="1"/>
    <x v="7"/>
    <x v="0"/>
    <x v="1"/>
    <x v="2"/>
    <x v="5"/>
  </r>
  <r>
    <x v="58"/>
    <x v="0"/>
    <x v="563"/>
    <x v="0"/>
    <x v="7"/>
    <x v="4"/>
    <x v="0"/>
    <x v="0"/>
    <x v="9"/>
    <x v="168"/>
    <x v="0"/>
    <x v="0"/>
    <x v="7"/>
    <x v="20"/>
    <x v="992"/>
    <x v="330"/>
    <x v="422"/>
    <x v="6"/>
    <x v="18"/>
    <x v="157"/>
    <x v="0"/>
    <x v="7"/>
    <x v="0"/>
    <x v="1"/>
    <x v="0"/>
    <x v="5"/>
  </r>
  <r>
    <x v="419"/>
    <x v="2"/>
    <x v="202"/>
    <x v="0"/>
    <x v="4"/>
    <x v="4"/>
    <x v="0"/>
    <x v="31"/>
    <x v="9"/>
    <x v="135"/>
    <x v="0"/>
    <x v="0"/>
    <x v="7"/>
    <x v="130"/>
    <x v="448"/>
    <x v="482"/>
    <x v="57"/>
    <x v="6"/>
    <x v="20"/>
    <x v="156"/>
    <x v="0"/>
    <x v="7"/>
    <x v="0"/>
    <x v="1"/>
    <x v="0"/>
    <x v="5"/>
  </r>
  <r>
    <x v="416"/>
    <x v="2"/>
    <x v="115"/>
    <x v="0"/>
    <x v="4"/>
    <x v="4"/>
    <x v="0"/>
    <x v="31"/>
    <x v="9"/>
    <x v="51"/>
    <x v="0"/>
    <x v="0"/>
    <x v="0"/>
    <x v="130"/>
    <x v="447"/>
    <x v="484"/>
    <x v="57"/>
    <x v="6"/>
    <x v="20"/>
    <x v="155"/>
    <x v="0"/>
    <x v="0"/>
    <x v="0"/>
    <x v="1"/>
    <x v="0"/>
    <x v="5"/>
  </r>
  <r>
    <x v="937"/>
    <x v="14"/>
    <x v="114"/>
    <x v="0"/>
    <x v="7"/>
    <x v="4"/>
    <x v="0"/>
    <x v="208"/>
    <x v="9"/>
    <x v="149"/>
    <x v="0"/>
    <x v="0"/>
    <x v="7"/>
    <x v="130"/>
    <x v="443"/>
    <x v="483"/>
    <x v="57"/>
    <x v="6"/>
    <x v="20"/>
    <x v="154"/>
    <x v="0"/>
    <x v="7"/>
    <x v="0"/>
    <x v="1"/>
    <x v="2"/>
    <x v="5"/>
  </r>
  <r>
    <x v="771"/>
    <x v="7"/>
    <x v="377"/>
    <x v="0"/>
    <x v="4"/>
    <x v="4"/>
    <x v="0"/>
    <x v="115"/>
    <x v="9"/>
    <x v="0"/>
    <x v="0"/>
    <x v="0"/>
    <x v="7"/>
    <x v="335"/>
    <x v="107"/>
    <x v="298"/>
    <x v="395"/>
    <x v="5"/>
    <x v="3"/>
    <x v="153"/>
    <x v="0"/>
    <x v="7"/>
    <x v="0"/>
    <x v="1"/>
    <x v="1"/>
    <x v="5"/>
  </r>
  <r>
    <x v="887"/>
    <x v="11"/>
    <x v="112"/>
    <x v="0"/>
    <x v="6"/>
    <x v="4"/>
    <x v="0"/>
    <x v="171"/>
    <x v="9"/>
    <x v="0"/>
    <x v="0"/>
    <x v="0"/>
    <x v="7"/>
    <x v="103"/>
    <x v="522"/>
    <x v="548"/>
    <x v="244"/>
    <x v="6"/>
    <x v="20"/>
    <x v="152"/>
    <x v="0"/>
    <x v="7"/>
    <x v="0"/>
    <x v="1"/>
    <x v="2"/>
    <x v="5"/>
  </r>
  <r>
    <x v="271"/>
    <x v="1"/>
    <x v="77"/>
    <x v="0"/>
    <x v="7"/>
    <x v="4"/>
    <x v="0"/>
    <x v="14"/>
    <x v="9"/>
    <x v="0"/>
    <x v="0"/>
    <x v="0"/>
    <x v="7"/>
    <x v="20"/>
    <x v="356"/>
    <x v="713"/>
    <x v="152"/>
    <x v="6"/>
    <x v="35"/>
    <x v="151"/>
    <x v="0"/>
    <x v="7"/>
    <x v="0"/>
    <x v="1"/>
    <x v="0"/>
    <x v="5"/>
  </r>
  <r>
    <x v="293"/>
    <x v="1"/>
    <x v="160"/>
    <x v="0"/>
    <x v="5"/>
    <x v="4"/>
    <x v="0"/>
    <x v="14"/>
    <x v="9"/>
    <x v="0"/>
    <x v="0"/>
    <x v="0"/>
    <x v="7"/>
    <x v="130"/>
    <x v="396"/>
    <x v="762"/>
    <x v="197"/>
    <x v="6"/>
    <x v="35"/>
    <x v="150"/>
    <x v="0"/>
    <x v="7"/>
    <x v="0"/>
    <x v="1"/>
    <x v="0"/>
    <x v="5"/>
  </r>
  <r>
    <x v="511"/>
    <x v="3"/>
    <x v="892"/>
    <x v="0"/>
    <x v="5"/>
    <x v="4"/>
    <x v="0"/>
    <x v="49"/>
    <x v="9"/>
    <x v="0"/>
    <x v="0"/>
    <x v="0"/>
    <x v="7"/>
    <x v="201"/>
    <x v="910"/>
    <x v="738"/>
    <x v="424"/>
    <x v="6"/>
    <x v="56"/>
    <x v="149"/>
    <x v="0"/>
    <x v="7"/>
    <x v="0"/>
    <x v="1"/>
    <x v="0"/>
    <x v="5"/>
  </r>
  <r>
    <x v="745"/>
    <x v="7"/>
    <x v="221"/>
    <x v="0"/>
    <x v="5"/>
    <x v="4"/>
    <x v="0"/>
    <x v="115"/>
    <x v="9"/>
    <x v="0"/>
    <x v="0"/>
    <x v="0"/>
    <x v="7"/>
    <x v="311"/>
    <x v="201"/>
    <x v="54"/>
    <x v="145"/>
    <x v="6"/>
    <x v="56"/>
    <x v="148"/>
    <x v="0"/>
    <x v="7"/>
    <x v="0"/>
    <x v="1"/>
    <x v="1"/>
    <x v="5"/>
  </r>
  <r>
    <x v="581"/>
    <x v="4"/>
    <x v="948"/>
    <x v="0"/>
    <x v="5"/>
    <x v="4"/>
    <x v="0"/>
    <x v="67"/>
    <x v="9"/>
    <x v="0"/>
    <x v="0"/>
    <x v="0"/>
    <x v="6"/>
    <x v="130"/>
    <x v="282"/>
    <x v="881"/>
    <x v="226"/>
    <x v="6"/>
    <x v="56"/>
    <x v="147"/>
    <x v="0"/>
    <x v="6"/>
    <x v="0"/>
    <x v="1"/>
    <x v="0"/>
    <x v="4"/>
  </r>
  <r>
    <x v="108"/>
    <x v="0"/>
    <x v="713"/>
    <x v="0"/>
    <x v="5"/>
    <x v="4"/>
    <x v="0"/>
    <x v="0"/>
    <x v="9"/>
    <x v="0"/>
    <x v="0"/>
    <x v="0"/>
    <x v="6"/>
    <x v="188"/>
    <x v="355"/>
    <x v="492"/>
    <x v="221"/>
    <x v="6"/>
    <x v="20"/>
    <x v="146"/>
    <x v="0"/>
    <x v="6"/>
    <x v="0"/>
    <x v="1"/>
    <x v="0"/>
    <x v="4"/>
  </r>
  <r>
    <x v="791"/>
    <x v="8"/>
    <x v="366"/>
    <x v="0"/>
    <x v="6"/>
    <x v="4"/>
    <x v="0"/>
    <x v="129"/>
    <x v="9"/>
    <x v="0"/>
    <x v="0"/>
    <x v="0"/>
    <x v="7"/>
    <x v="130"/>
    <x v="684"/>
    <x v="508"/>
    <x v="66"/>
    <x v="6"/>
    <x v="38"/>
    <x v="145"/>
    <x v="0"/>
    <x v="7"/>
    <x v="0"/>
    <x v="1"/>
    <x v="1"/>
    <x v="4"/>
  </r>
  <r>
    <x v="643"/>
    <x v="5"/>
    <x v="185"/>
    <x v="0"/>
    <x v="6"/>
    <x v="4"/>
    <x v="0"/>
    <x v="84"/>
    <x v="0"/>
    <x v="0"/>
    <x v="0"/>
    <x v="0"/>
    <x v="5"/>
    <x v="161"/>
    <x v="982"/>
    <x v="82"/>
    <x v="184"/>
    <x v="3"/>
    <x v="53"/>
    <x v="144"/>
    <x v="0"/>
    <x v="5"/>
    <x v="0"/>
    <x v="1"/>
    <x v="1"/>
    <x v="4"/>
  </r>
  <r>
    <x v="180"/>
    <x v="1"/>
    <x v="975"/>
    <x v="0"/>
    <x v="4"/>
    <x v="4"/>
    <x v="0"/>
    <x v="14"/>
    <x v="9"/>
    <x v="0"/>
    <x v="0"/>
    <x v="0"/>
    <x v="6"/>
    <x v="270"/>
    <x v="178"/>
    <x v="291"/>
    <x v="26"/>
    <x v="5"/>
    <x v="9"/>
    <x v="143"/>
    <x v="0"/>
    <x v="6"/>
    <x v="0"/>
    <x v="1"/>
    <x v="0"/>
    <x v="4"/>
  </r>
  <r>
    <x v="863"/>
    <x v="10"/>
    <x v="863"/>
    <x v="0"/>
    <x v="6"/>
    <x v="4"/>
    <x v="0"/>
    <x v="157"/>
    <x v="9"/>
    <x v="0"/>
    <x v="0"/>
    <x v="0"/>
    <x v="7"/>
    <x v="130"/>
    <x v="206"/>
    <x v="939"/>
    <x v="224"/>
    <x v="6"/>
    <x v="54"/>
    <x v="142"/>
    <x v="0"/>
    <x v="7"/>
    <x v="0"/>
    <x v="1"/>
    <x v="2"/>
    <x v="4"/>
  </r>
  <r>
    <x v="671"/>
    <x v="5"/>
    <x v="647"/>
    <x v="0"/>
    <x v="5"/>
    <x v="4"/>
    <x v="0"/>
    <x v="84"/>
    <x v="9"/>
    <x v="0"/>
    <x v="0"/>
    <x v="0"/>
    <x v="7"/>
    <x v="130"/>
    <x v="376"/>
    <x v="747"/>
    <x v="182"/>
    <x v="6"/>
    <x v="35"/>
    <x v="141"/>
    <x v="0"/>
    <x v="7"/>
    <x v="0"/>
    <x v="1"/>
    <x v="1"/>
    <x v="4"/>
  </r>
  <r>
    <x v="593"/>
    <x v="4"/>
    <x v="578"/>
    <x v="0"/>
    <x v="5"/>
    <x v="4"/>
    <x v="0"/>
    <x v="67"/>
    <x v="9"/>
    <x v="0"/>
    <x v="0"/>
    <x v="0"/>
    <x v="7"/>
    <x v="173"/>
    <x v="390"/>
    <x v="748"/>
    <x v="182"/>
    <x v="6"/>
    <x v="35"/>
    <x v="140"/>
    <x v="0"/>
    <x v="7"/>
    <x v="0"/>
    <x v="1"/>
    <x v="0"/>
    <x v="4"/>
  </r>
  <r>
    <x v="772"/>
    <x v="7"/>
    <x v="396"/>
    <x v="0"/>
    <x v="8"/>
    <x v="4"/>
    <x v="0"/>
    <x v="115"/>
    <x v="9"/>
    <x v="0"/>
    <x v="0"/>
    <x v="0"/>
    <x v="7"/>
    <x v="20"/>
    <x v="896"/>
    <x v="353"/>
    <x v="114"/>
    <x v="1"/>
    <x v="49"/>
    <x v="139"/>
    <x v="0"/>
    <x v="7"/>
    <x v="0"/>
    <x v="1"/>
    <x v="1"/>
    <x v="4"/>
  </r>
  <r>
    <x v="66"/>
    <x v="0"/>
    <x v="244"/>
    <x v="0"/>
    <x v="3"/>
    <x v="4"/>
    <x v="0"/>
    <x v="0"/>
    <x v="9"/>
    <x v="0"/>
    <x v="0"/>
    <x v="0"/>
    <x v="7"/>
    <x v="338"/>
    <x v="831"/>
    <x v="392"/>
    <x v="27"/>
    <x v="1"/>
    <x v="0"/>
    <x v="138"/>
    <x v="0"/>
    <x v="7"/>
    <x v="0"/>
    <x v="1"/>
    <x v="0"/>
    <x v="4"/>
  </r>
  <r>
    <x v="736"/>
    <x v="6"/>
    <x v="542"/>
    <x v="8"/>
    <x v="7"/>
    <x v="4"/>
    <x v="0"/>
    <x v="324"/>
    <x v="2"/>
    <x v="18"/>
    <x v="0"/>
    <x v="222"/>
    <x v="5"/>
    <x v="36"/>
    <x v="806"/>
    <x v="105"/>
    <x v="142"/>
    <x v="3"/>
    <x v="53"/>
    <x v="137"/>
    <x v="1"/>
    <x v="5"/>
    <x v="0"/>
    <x v="1"/>
    <x v="1"/>
    <x v="4"/>
  </r>
  <r>
    <x v="846"/>
    <x v="10"/>
    <x v="967"/>
    <x v="0"/>
    <x v="7"/>
    <x v="4"/>
    <x v="0"/>
    <x v="157"/>
    <x v="9"/>
    <x v="0"/>
    <x v="0"/>
    <x v="0"/>
    <x v="7"/>
    <x v="200"/>
    <x v="689"/>
    <x v="136"/>
    <x v="397"/>
    <x v="3"/>
    <x v="26"/>
    <x v="136"/>
    <x v="0"/>
    <x v="7"/>
    <x v="0"/>
    <x v="1"/>
    <x v="2"/>
    <x v="4"/>
  </r>
  <r>
    <x v="65"/>
    <x v="0"/>
    <x v="824"/>
    <x v="0"/>
    <x v="6"/>
    <x v="4"/>
    <x v="0"/>
    <x v="0"/>
    <x v="9"/>
    <x v="0"/>
    <x v="0"/>
    <x v="0"/>
    <x v="7"/>
    <x v="56"/>
    <x v="741"/>
    <x v="523"/>
    <x v="374"/>
    <x v="1"/>
    <x v="44"/>
    <x v="135"/>
    <x v="0"/>
    <x v="7"/>
    <x v="0"/>
    <x v="1"/>
    <x v="0"/>
    <x v="4"/>
  </r>
  <r>
    <x v="903"/>
    <x v="12"/>
    <x v="675"/>
    <x v="0"/>
    <x v="8"/>
    <x v="4"/>
    <x v="0"/>
    <x v="183"/>
    <x v="9"/>
    <x v="0"/>
    <x v="0"/>
    <x v="0"/>
    <x v="7"/>
    <x v="130"/>
    <x v="742"/>
    <x v="522"/>
    <x v="374"/>
    <x v="1"/>
    <x v="44"/>
    <x v="134"/>
    <x v="0"/>
    <x v="7"/>
    <x v="0"/>
    <x v="1"/>
    <x v="2"/>
    <x v="4"/>
  </r>
  <r>
    <x v="274"/>
    <x v="1"/>
    <x v="734"/>
    <x v="0"/>
    <x v="5"/>
    <x v="4"/>
    <x v="0"/>
    <x v="14"/>
    <x v="9"/>
    <x v="0"/>
    <x v="0"/>
    <x v="0"/>
    <x v="7"/>
    <x v="130"/>
    <x v="209"/>
    <x v="935"/>
    <x v="224"/>
    <x v="6"/>
    <x v="54"/>
    <x v="133"/>
    <x v="0"/>
    <x v="7"/>
    <x v="0"/>
    <x v="1"/>
    <x v="0"/>
    <x v="4"/>
  </r>
  <r>
    <x v="578"/>
    <x v="4"/>
    <x v="669"/>
    <x v="0"/>
    <x v="5"/>
    <x v="4"/>
    <x v="0"/>
    <x v="67"/>
    <x v="9"/>
    <x v="0"/>
    <x v="0"/>
    <x v="0"/>
    <x v="7"/>
    <x v="72"/>
    <x v="622"/>
    <x v="174"/>
    <x v="380"/>
    <x v="6"/>
    <x v="56"/>
    <x v="132"/>
    <x v="0"/>
    <x v="7"/>
    <x v="0"/>
    <x v="1"/>
    <x v="0"/>
    <x v="4"/>
  </r>
  <r>
    <x v="879"/>
    <x v="11"/>
    <x v="570"/>
    <x v="0"/>
    <x v="8"/>
    <x v="4"/>
    <x v="0"/>
    <x v="171"/>
    <x v="9"/>
    <x v="0"/>
    <x v="0"/>
    <x v="0"/>
    <x v="7"/>
    <x v="56"/>
    <x v="895"/>
    <x v="351"/>
    <x v="111"/>
    <x v="1"/>
    <x v="49"/>
    <x v="131"/>
    <x v="0"/>
    <x v="7"/>
    <x v="0"/>
    <x v="1"/>
    <x v="2"/>
    <x v="4"/>
  </r>
  <r>
    <x v="347"/>
    <x v="2"/>
    <x v="350"/>
    <x v="0"/>
    <x v="7"/>
    <x v="4"/>
    <x v="0"/>
    <x v="31"/>
    <x v="9"/>
    <x v="0"/>
    <x v="0"/>
    <x v="0"/>
    <x v="7"/>
    <x v="20"/>
    <x v="685"/>
    <x v="159"/>
    <x v="362"/>
    <x v="6"/>
    <x v="16"/>
    <x v="130"/>
    <x v="0"/>
    <x v="7"/>
    <x v="0"/>
    <x v="1"/>
    <x v="0"/>
    <x v="4"/>
  </r>
  <r>
    <x v="615"/>
    <x v="5"/>
    <x v="480"/>
    <x v="0"/>
    <x v="6"/>
    <x v="4"/>
    <x v="0"/>
    <x v="84"/>
    <x v="9"/>
    <x v="0"/>
    <x v="0"/>
    <x v="0"/>
    <x v="7"/>
    <x v="215"/>
    <x v="711"/>
    <x v="135"/>
    <x v="460"/>
    <x v="3"/>
    <x v="26"/>
    <x v="129"/>
    <x v="0"/>
    <x v="7"/>
    <x v="0"/>
    <x v="1"/>
    <x v="1"/>
    <x v="4"/>
  </r>
  <r>
    <x v="175"/>
    <x v="1"/>
    <x v="561"/>
    <x v="0"/>
    <x v="4"/>
    <x v="4"/>
    <x v="0"/>
    <x v="14"/>
    <x v="9"/>
    <x v="0"/>
    <x v="0"/>
    <x v="0"/>
    <x v="7"/>
    <x v="107"/>
    <x v="424"/>
    <x v="791"/>
    <x v="204"/>
    <x v="6"/>
    <x v="35"/>
    <x v="128"/>
    <x v="0"/>
    <x v="7"/>
    <x v="0"/>
    <x v="1"/>
    <x v="0"/>
    <x v="4"/>
  </r>
  <r>
    <x v="721"/>
    <x v="6"/>
    <x v="517"/>
    <x v="0"/>
    <x v="6"/>
    <x v="4"/>
    <x v="0"/>
    <x v="101"/>
    <x v="9"/>
    <x v="0"/>
    <x v="0"/>
    <x v="0"/>
    <x v="7"/>
    <x v="219"/>
    <x v="441"/>
    <x v="783"/>
    <x v="204"/>
    <x v="6"/>
    <x v="35"/>
    <x v="127"/>
    <x v="0"/>
    <x v="7"/>
    <x v="0"/>
    <x v="1"/>
    <x v="1"/>
    <x v="4"/>
  </r>
  <r>
    <x v="731"/>
    <x v="6"/>
    <x v="298"/>
    <x v="0"/>
    <x v="6"/>
    <x v="4"/>
    <x v="0"/>
    <x v="101"/>
    <x v="9"/>
    <x v="0"/>
    <x v="0"/>
    <x v="0"/>
    <x v="6"/>
    <x v="278"/>
    <x v="425"/>
    <x v="763"/>
    <x v="197"/>
    <x v="6"/>
    <x v="35"/>
    <x v="126"/>
    <x v="0"/>
    <x v="6"/>
    <x v="0"/>
    <x v="1"/>
    <x v="1"/>
    <x v="4"/>
  </r>
  <r>
    <x v="444"/>
    <x v="3"/>
    <x v="409"/>
    <x v="0"/>
    <x v="4"/>
    <x v="4"/>
    <x v="0"/>
    <x v="49"/>
    <x v="9"/>
    <x v="0"/>
    <x v="0"/>
    <x v="0"/>
    <x v="7"/>
    <x v="293"/>
    <x v="144"/>
    <x v="41"/>
    <x v="141"/>
    <x v="6"/>
    <x v="56"/>
    <x v="125"/>
    <x v="0"/>
    <x v="7"/>
    <x v="0"/>
    <x v="1"/>
    <x v="0"/>
    <x v="4"/>
  </r>
  <r>
    <x v="836"/>
    <x v="9"/>
    <x v="139"/>
    <x v="0"/>
    <x v="6"/>
    <x v="4"/>
    <x v="0"/>
    <x v="144"/>
    <x v="9"/>
    <x v="0"/>
    <x v="0"/>
    <x v="0"/>
    <x v="7"/>
    <x v="287"/>
    <x v="406"/>
    <x v="753"/>
    <x v="197"/>
    <x v="6"/>
    <x v="35"/>
    <x v="124"/>
    <x v="0"/>
    <x v="7"/>
    <x v="0"/>
    <x v="1"/>
    <x v="1"/>
    <x v="4"/>
  </r>
  <r>
    <x v="494"/>
    <x v="3"/>
    <x v="81"/>
    <x v="0"/>
    <x v="6"/>
    <x v="4"/>
    <x v="0"/>
    <x v="49"/>
    <x v="9"/>
    <x v="0"/>
    <x v="0"/>
    <x v="0"/>
    <x v="7"/>
    <x v="228"/>
    <x v="202"/>
    <x v="235"/>
    <x v="79"/>
    <x v="5"/>
    <x v="37"/>
    <x v="123"/>
    <x v="0"/>
    <x v="7"/>
    <x v="0"/>
    <x v="1"/>
    <x v="0"/>
    <x v="4"/>
  </r>
  <r>
    <x v="295"/>
    <x v="1"/>
    <x v="897"/>
    <x v="0"/>
    <x v="6"/>
    <x v="4"/>
    <x v="0"/>
    <x v="14"/>
    <x v="9"/>
    <x v="0"/>
    <x v="0"/>
    <x v="0"/>
    <x v="6"/>
    <x v="44"/>
    <x v="781"/>
    <x v="399"/>
    <x v="328"/>
    <x v="1"/>
    <x v="19"/>
    <x v="122"/>
    <x v="0"/>
    <x v="6"/>
    <x v="0"/>
    <x v="1"/>
    <x v="0"/>
    <x v="4"/>
  </r>
  <r>
    <x v="589"/>
    <x v="4"/>
    <x v="657"/>
    <x v="0"/>
    <x v="5"/>
    <x v="4"/>
    <x v="0"/>
    <x v="67"/>
    <x v="9"/>
    <x v="0"/>
    <x v="0"/>
    <x v="0"/>
    <x v="7"/>
    <x v="130"/>
    <x v="940"/>
    <x v="27"/>
    <x v="12"/>
    <x v="3"/>
    <x v="53"/>
    <x v="121"/>
    <x v="0"/>
    <x v="7"/>
    <x v="0"/>
    <x v="1"/>
    <x v="0"/>
    <x v="4"/>
  </r>
  <r>
    <x v="536"/>
    <x v="4"/>
    <x v="228"/>
    <x v="0"/>
    <x v="4"/>
    <x v="4"/>
    <x v="0"/>
    <x v="67"/>
    <x v="9"/>
    <x v="0"/>
    <x v="0"/>
    <x v="0"/>
    <x v="7"/>
    <x v="189"/>
    <x v="944"/>
    <x v="846"/>
    <x v="492"/>
    <x v="6"/>
    <x v="56"/>
    <x v="120"/>
    <x v="0"/>
    <x v="7"/>
    <x v="0"/>
    <x v="1"/>
    <x v="0"/>
    <x v="4"/>
  </r>
  <r>
    <x v="726"/>
    <x v="6"/>
    <x v="104"/>
    <x v="0"/>
    <x v="5"/>
    <x v="4"/>
    <x v="0"/>
    <x v="101"/>
    <x v="9"/>
    <x v="0"/>
    <x v="0"/>
    <x v="0"/>
    <x v="7"/>
    <x v="130"/>
    <x v="593"/>
    <x v="529"/>
    <x v="446"/>
    <x v="6"/>
    <x v="56"/>
    <x v="119"/>
    <x v="0"/>
    <x v="7"/>
    <x v="0"/>
    <x v="1"/>
    <x v="1"/>
    <x v="4"/>
  </r>
  <r>
    <x v="174"/>
    <x v="1"/>
    <x v="103"/>
    <x v="0"/>
    <x v="6"/>
    <x v="4"/>
    <x v="0"/>
    <x v="14"/>
    <x v="9"/>
    <x v="0"/>
    <x v="0"/>
    <x v="0"/>
    <x v="7"/>
    <x v="130"/>
    <x v="767"/>
    <x v="370"/>
    <x v="175"/>
    <x v="1"/>
    <x v="21"/>
    <x v="118"/>
    <x v="0"/>
    <x v="7"/>
    <x v="0"/>
    <x v="1"/>
    <x v="0"/>
    <x v="4"/>
  </r>
  <r>
    <x v="793"/>
    <x v="8"/>
    <x v="159"/>
    <x v="0"/>
    <x v="6"/>
    <x v="4"/>
    <x v="0"/>
    <x v="129"/>
    <x v="9"/>
    <x v="0"/>
    <x v="0"/>
    <x v="0"/>
    <x v="7"/>
    <x v="230"/>
    <x v="259"/>
    <x v="903"/>
    <x v="433"/>
    <x v="6"/>
    <x v="56"/>
    <x v="117"/>
    <x v="0"/>
    <x v="7"/>
    <x v="0"/>
    <x v="1"/>
    <x v="1"/>
    <x v="4"/>
  </r>
  <r>
    <x v="204"/>
    <x v="1"/>
    <x v="891"/>
    <x v="0"/>
    <x v="5"/>
    <x v="4"/>
    <x v="0"/>
    <x v="14"/>
    <x v="9"/>
    <x v="0"/>
    <x v="0"/>
    <x v="0"/>
    <x v="7"/>
    <x v="211"/>
    <x v="956"/>
    <x v="64"/>
    <x v="306"/>
    <x v="3"/>
    <x v="53"/>
    <x v="116"/>
    <x v="0"/>
    <x v="7"/>
    <x v="0"/>
    <x v="1"/>
    <x v="0"/>
    <x v="4"/>
  </r>
  <r>
    <x v="620"/>
    <x v="5"/>
    <x v="618"/>
    <x v="0"/>
    <x v="6"/>
    <x v="4"/>
    <x v="0"/>
    <x v="84"/>
    <x v="9"/>
    <x v="0"/>
    <x v="0"/>
    <x v="0"/>
    <x v="7"/>
    <x v="253"/>
    <x v="449"/>
    <x v="798"/>
    <x v="204"/>
    <x v="6"/>
    <x v="35"/>
    <x v="115"/>
    <x v="0"/>
    <x v="7"/>
    <x v="0"/>
    <x v="1"/>
    <x v="1"/>
    <x v="4"/>
  </r>
  <r>
    <x v="443"/>
    <x v="3"/>
    <x v="887"/>
    <x v="0"/>
    <x v="4"/>
    <x v="4"/>
    <x v="0"/>
    <x v="49"/>
    <x v="9"/>
    <x v="0"/>
    <x v="0"/>
    <x v="0"/>
    <x v="7"/>
    <x v="282"/>
    <x v="141"/>
    <x v="42"/>
    <x v="141"/>
    <x v="6"/>
    <x v="56"/>
    <x v="114"/>
    <x v="0"/>
    <x v="7"/>
    <x v="0"/>
    <x v="1"/>
    <x v="0"/>
    <x v="3"/>
  </r>
  <r>
    <x v="906"/>
    <x v="12"/>
    <x v="946"/>
    <x v="0"/>
    <x v="6"/>
    <x v="4"/>
    <x v="0"/>
    <x v="183"/>
    <x v="9"/>
    <x v="0"/>
    <x v="0"/>
    <x v="0"/>
    <x v="7"/>
    <x v="130"/>
    <x v="509"/>
    <x v="556"/>
    <x v="244"/>
    <x v="6"/>
    <x v="20"/>
    <x v="113"/>
    <x v="0"/>
    <x v="7"/>
    <x v="0"/>
    <x v="1"/>
    <x v="2"/>
    <x v="3"/>
  </r>
  <r>
    <x v="647"/>
    <x v="5"/>
    <x v="274"/>
    <x v="0"/>
    <x v="6"/>
    <x v="4"/>
    <x v="0"/>
    <x v="84"/>
    <x v="9"/>
    <x v="0"/>
    <x v="0"/>
    <x v="0"/>
    <x v="7"/>
    <x v="130"/>
    <x v="353"/>
    <x v="610"/>
    <x v="239"/>
    <x v="6"/>
    <x v="20"/>
    <x v="112"/>
    <x v="0"/>
    <x v="7"/>
    <x v="0"/>
    <x v="1"/>
    <x v="1"/>
    <x v="3"/>
  </r>
  <r>
    <x v="370"/>
    <x v="2"/>
    <x v="273"/>
    <x v="0"/>
    <x v="5"/>
    <x v="4"/>
    <x v="0"/>
    <x v="31"/>
    <x v="9"/>
    <x v="0"/>
    <x v="0"/>
    <x v="0"/>
    <x v="7"/>
    <x v="130"/>
    <x v="351"/>
    <x v="611"/>
    <x v="239"/>
    <x v="6"/>
    <x v="20"/>
    <x v="111"/>
    <x v="0"/>
    <x v="7"/>
    <x v="0"/>
    <x v="1"/>
    <x v="0"/>
    <x v="3"/>
  </r>
  <r>
    <x v="287"/>
    <x v="1"/>
    <x v="914"/>
    <x v="0"/>
    <x v="4"/>
    <x v="4"/>
    <x v="0"/>
    <x v="14"/>
    <x v="9"/>
    <x v="0"/>
    <x v="0"/>
    <x v="0"/>
    <x v="6"/>
    <x v="288"/>
    <x v="324"/>
    <x v="501"/>
    <x v="444"/>
    <x v="6"/>
    <x v="20"/>
    <x v="110"/>
    <x v="0"/>
    <x v="6"/>
    <x v="0"/>
    <x v="1"/>
    <x v="0"/>
    <x v="3"/>
  </r>
  <r>
    <x v="275"/>
    <x v="1"/>
    <x v="94"/>
    <x v="0"/>
    <x v="5"/>
    <x v="4"/>
    <x v="0"/>
    <x v="14"/>
    <x v="9"/>
    <x v="0"/>
    <x v="0"/>
    <x v="0"/>
    <x v="7"/>
    <x v="107"/>
    <x v="88"/>
    <x v="247"/>
    <x v="102"/>
    <x v="6"/>
    <x v="9"/>
    <x v="109"/>
    <x v="0"/>
    <x v="7"/>
    <x v="0"/>
    <x v="1"/>
    <x v="0"/>
    <x v="3"/>
  </r>
  <r>
    <x v="439"/>
    <x v="3"/>
    <x v="52"/>
    <x v="0"/>
    <x v="4"/>
    <x v="4"/>
    <x v="0"/>
    <x v="49"/>
    <x v="9"/>
    <x v="0"/>
    <x v="0"/>
    <x v="0"/>
    <x v="7"/>
    <x v="178"/>
    <x v="594"/>
    <x v="584"/>
    <x v="355"/>
    <x v="6"/>
    <x v="20"/>
    <x v="108"/>
    <x v="0"/>
    <x v="7"/>
    <x v="0"/>
    <x v="1"/>
    <x v="0"/>
    <x v="3"/>
  </r>
  <r>
    <x v="757"/>
    <x v="7"/>
    <x v="117"/>
    <x v="0"/>
    <x v="6"/>
    <x v="4"/>
    <x v="0"/>
    <x v="115"/>
    <x v="9"/>
    <x v="0"/>
    <x v="0"/>
    <x v="0"/>
    <x v="7"/>
    <x v="130"/>
    <x v="531"/>
    <x v="184"/>
    <x v="38"/>
    <x v="5"/>
    <x v="12"/>
    <x v="107"/>
    <x v="0"/>
    <x v="7"/>
    <x v="0"/>
    <x v="1"/>
    <x v="1"/>
    <x v="3"/>
  </r>
  <r>
    <x v="359"/>
    <x v="2"/>
    <x v="934"/>
    <x v="0"/>
    <x v="5"/>
    <x v="4"/>
    <x v="0"/>
    <x v="31"/>
    <x v="9"/>
    <x v="0"/>
    <x v="0"/>
    <x v="0"/>
    <x v="7"/>
    <x v="130"/>
    <x v="494"/>
    <x v="660"/>
    <x v="8"/>
    <x v="6"/>
    <x v="20"/>
    <x v="106"/>
    <x v="0"/>
    <x v="7"/>
    <x v="0"/>
    <x v="1"/>
    <x v="0"/>
    <x v="3"/>
  </r>
  <r>
    <x v="658"/>
    <x v="5"/>
    <x v="565"/>
    <x v="0"/>
    <x v="6"/>
    <x v="4"/>
    <x v="0"/>
    <x v="84"/>
    <x v="9"/>
    <x v="0"/>
    <x v="0"/>
    <x v="0"/>
    <x v="7"/>
    <x v="20"/>
    <x v="490"/>
    <x v="682"/>
    <x v="16"/>
    <x v="6"/>
    <x v="35"/>
    <x v="105"/>
    <x v="0"/>
    <x v="7"/>
    <x v="0"/>
    <x v="1"/>
    <x v="1"/>
    <x v="3"/>
  </r>
  <r>
    <x v="661"/>
    <x v="5"/>
    <x v="523"/>
    <x v="0"/>
    <x v="6"/>
    <x v="4"/>
    <x v="0"/>
    <x v="84"/>
    <x v="9"/>
    <x v="0"/>
    <x v="0"/>
    <x v="0"/>
    <x v="7"/>
    <x v="249"/>
    <x v="273"/>
    <x v="890"/>
    <x v="226"/>
    <x v="6"/>
    <x v="42"/>
    <x v="104"/>
    <x v="0"/>
    <x v="7"/>
    <x v="0"/>
    <x v="1"/>
    <x v="1"/>
    <x v="3"/>
  </r>
  <r>
    <x v="224"/>
    <x v="1"/>
    <x v="960"/>
    <x v="0"/>
    <x v="5"/>
    <x v="4"/>
    <x v="0"/>
    <x v="14"/>
    <x v="9"/>
    <x v="0"/>
    <x v="0"/>
    <x v="0"/>
    <x v="6"/>
    <x v="130"/>
    <x v="839"/>
    <x v="382"/>
    <x v="389"/>
    <x v="1"/>
    <x v="0"/>
    <x v="103"/>
    <x v="0"/>
    <x v="6"/>
    <x v="0"/>
    <x v="1"/>
    <x v="0"/>
    <x v="3"/>
  </r>
  <r>
    <x v="228"/>
    <x v="1"/>
    <x v="725"/>
    <x v="0"/>
    <x v="7"/>
    <x v="4"/>
    <x v="0"/>
    <x v="14"/>
    <x v="9"/>
    <x v="0"/>
    <x v="0"/>
    <x v="0"/>
    <x v="6"/>
    <x v="94"/>
    <x v="192"/>
    <x v="299"/>
    <x v="276"/>
    <x v="5"/>
    <x v="5"/>
    <x v="102"/>
    <x v="0"/>
    <x v="6"/>
    <x v="0"/>
    <x v="1"/>
    <x v="0"/>
    <x v="3"/>
  </r>
  <r>
    <x v="333"/>
    <x v="2"/>
    <x v="695"/>
    <x v="0"/>
    <x v="5"/>
    <x v="4"/>
    <x v="0"/>
    <x v="31"/>
    <x v="9"/>
    <x v="0"/>
    <x v="0"/>
    <x v="0"/>
    <x v="6"/>
    <x v="130"/>
    <x v="541"/>
    <x v="507"/>
    <x v="337"/>
    <x v="6"/>
    <x v="20"/>
    <x v="101"/>
    <x v="0"/>
    <x v="6"/>
    <x v="0"/>
    <x v="1"/>
    <x v="0"/>
    <x v="3"/>
  </r>
  <r>
    <x v="170"/>
    <x v="1"/>
    <x v="416"/>
    <x v="0"/>
    <x v="5"/>
    <x v="4"/>
    <x v="0"/>
    <x v="14"/>
    <x v="9"/>
    <x v="0"/>
    <x v="0"/>
    <x v="0"/>
    <x v="7"/>
    <x v="202"/>
    <x v="427"/>
    <x v="774"/>
    <x v="204"/>
    <x v="6"/>
    <x v="35"/>
    <x v="100"/>
    <x v="0"/>
    <x v="7"/>
    <x v="0"/>
    <x v="1"/>
    <x v="0"/>
    <x v="3"/>
  </r>
  <r>
    <x v="852"/>
    <x v="10"/>
    <x v="87"/>
    <x v="0"/>
    <x v="4"/>
    <x v="4"/>
    <x v="0"/>
    <x v="157"/>
    <x v="9"/>
    <x v="0"/>
    <x v="0"/>
    <x v="0"/>
    <x v="6"/>
    <x v="130"/>
    <x v="732"/>
    <x v="564"/>
    <x v="162"/>
    <x v="6"/>
    <x v="56"/>
    <x v="99"/>
    <x v="0"/>
    <x v="6"/>
    <x v="0"/>
    <x v="1"/>
    <x v="2"/>
    <x v="3"/>
  </r>
  <r>
    <x v="249"/>
    <x v="1"/>
    <x v="80"/>
    <x v="0"/>
    <x v="4"/>
    <x v="4"/>
    <x v="0"/>
    <x v="14"/>
    <x v="9"/>
    <x v="0"/>
    <x v="0"/>
    <x v="0"/>
    <x v="7"/>
    <x v="295"/>
    <x v="326"/>
    <x v="220"/>
    <x v="398"/>
    <x v="5"/>
    <x v="37"/>
    <x v="98"/>
    <x v="0"/>
    <x v="7"/>
    <x v="0"/>
    <x v="1"/>
    <x v="0"/>
    <x v="3"/>
  </r>
  <r>
    <x v="673"/>
    <x v="5"/>
    <x v="9"/>
    <x v="0"/>
    <x v="5"/>
    <x v="4"/>
    <x v="0"/>
    <x v="84"/>
    <x v="9"/>
    <x v="0"/>
    <x v="0"/>
    <x v="0"/>
    <x v="7"/>
    <x v="187"/>
    <x v="535"/>
    <x v="453"/>
    <x v="345"/>
    <x v="6"/>
    <x v="20"/>
    <x v="97"/>
    <x v="0"/>
    <x v="7"/>
    <x v="0"/>
    <x v="1"/>
    <x v="1"/>
    <x v="3"/>
  </r>
  <r>
    <x v="264"/>
    <x v="1"/>
    <x v="442"/>
    <x v="0"/>
    <x v="7"/>
    <x v="4"/>
    <x v="0"/>
    <x v="14"/>
    <x v="9"/>
    <x v="0"/>
    <x v="0"/>
    <x v="0"/>
    <x v="7"/>
    <x v="16"/>
    <x v="779"/>
    <x v="372"/>
    <x v="194"/>
    <x v="1"/>
    <x v="21"/>
    <x v="96"/>
    <x v="0"/>
    <x v="7"/>
    <x v="0"/>
    <x v="1"/>
    <x v="0"/>
    <x v="3"/>
  </r>
  <r>
    <x v="716"/>
    <x v="6"/>
    <x v="951"/>
    <x v="0"/>
    <x v="6"/>
    <x v="4"/>
    <x v="0"/>
    <x v="101"/>
    <x v="9"/>
    <x v="0"/>
    <x v="0"/>
    <x v="0"/>
    <x v="7"/>
    <x v="154"/>
    <x v="104"/>
    <x v="285"/>
    <x v="25"/>
    <x v="5"/>
    <x v="9"/>
    <x v="95"/>
    <x v="0"/>
    <x v="7"/>
    <x v="0"/>
    <x v="1"/>
    <x v="1"/>
    <x v="3"/>
  </r>
  <r>
    <x v="342"/>
    <x v="2"/>
    <x v="370"/>
    <x v="0"/>
    <x v="5"/>
    <x v="4"/>
    <x v="0"/>
    <x v="31"/>
    <x v="9"/>
    <x v="0"/>
    <x v="0"/>
    <x v="0"/>
    <x v="7"/>
    <x v="93"/>
    <x v="214"/>
    <x v="2"/>
    <x v="218"/>
    <x v="6"/>
    <x v="14"/>
    <x v="94"/>
    <x v="0"/>
    <x v="7"/>
    <x v="0"/>
    <x v="1"/>
    <x v="0"/>
    <x v="3"/>
  </r>
  <r>
    <x v="255"/>
    <x v="1"/>
    <x v="369"/>
    <x v="0"/>
    <x v="6"/>
    <x v="4"/>
    <x v="0"/>
    <x v="14"/>
    <x v="9"/>
    <x v="0"/>
    <x v="0"/>
    <x v="0"/>
    <x v="7"/>
    <x v="135"/>
    <x v="64"/>
    <x v="257"/>
    <x v="326"/>
    <x v="5"/>
    <x v="9"/>
    <x v="93"/>
    <x v="0"/>
    <x v="7"/>
    <x v="0"/>
    <x v="1"/>
    <x v="0"/>
    <x v="3"/>
  </r>
  <r>
    <x v="164"/>
    <x v="1"/>
    <x v="282"/>
    <x v="0"/>
    <x v="5"/>
    <x v="4"/>
    <x v="0"/>
    <x v="14"/>
    <x v="9"/>
    <x v="0"/>
    <x v="0"/>
    <x v="0"/>
    <x v="7"/>
    <x v="130"/>
    <x v="676"/>
    <x v="149"/>
    <x v="399"/>
    <x v="6"/>
    <x v="16"/>
    <x v="92"/>
    <x v="0"/>
    <x v="7"/>
    <x v="0"/>
    <x v="1"/>
    <x v="0"/>
    <x v="3"/>
  </r>
  <r>
    <x v="744"/>
    <x v="7"/>
    <x v="747"/>
    <x v="0"/>
    <x v="5"/>
    <x v="4"/>
    <x v="0"/>
    <x v="115"/>
    <x v="9"/>
    <x v="0"/>
    <x v="0"/>
    <x v="0"/>
    <x v="7"/>
    <x v="309"/>
    <x v="412"/>
    <x v="743"/>
    <x v="126"/>
    <x v="6"/>
    <x v="35"/>
    <x v="91"/>
    <x v="0"/>
    <x v="7"/>
    <x v="0"/>
    <x v="1"/>
    <x v="1"/>
    <x v="2"/>
  </r>
  <r>
    <x v="921"/>
    <x v="13"/>
    <x v="154"/>
    <x v="0"/>
    <x v="6"/>
    <x v="4"/>
    <x v="0"/>
    <x v="197"/>
    <x v="9"/>
    <x v="0"/>
    <x v="0"/>
    <x v="0"/>
    <x v="7"/>
    <x v="130"/>
    <x v="966"/>
    <x v="863"/>
    <x v="482"/>
    <x v="1"/>
    <x v="39"/>
    <x v="90"/>
    <x v="0"/>
    <x v="7"/>
    <x v="0"/>
    <x v="1"/>
    <x v="2"/>
    <x v="2"/>
  </r>
  <r>
    <x v="676"/>
    <x v="5"/>
    <x v="833"/>
    <x v="0"/>
    <x v="5"/>
    <x v="4"/>
    <x v="0"/>
    <x v="84"/>
    <x v="9"/>
    <x v="0"/>
    <x v="0"/>
    <x v="0"/>
    <x v="7"/>
    <x v="94"/>
    <x v="556"/>
    <x v="535"/>
    <x v="134"/>
    <x v="6"/>
    <x v="20"/>
    <x v="89"/>
    <x v="0"/>
    <x v="7"/>
    <x v="0"/>
    <x v="1"/>
    <x v="1"/>
    <x v="2"/>
  </r>
  <r>
    <x v="218"/>
    <x v="1"/>
    <x v="610"/>
    <x v="0"/>
    <x v="6"/>
    <x v="4"/>
    <x v="0"/>
    <x v="14"/>
    <x v="9"/>
    <x v="0"/>
    <x v="0"/>
    <x v="0"/>
    <x v="7"/>
    <x v="130"/>
    <x v="851"/>
    <x v="337"/>
    <x v="236"/>
    <x v="2"/>
    <x v="56"/>
    <x v="88"/>
    <x v="0"/>
    <x v="7"/>
    <x v="0"/>
    <x v="1"/>
    <x v="0"/>
    <x v="2"/>
  </r>
  <r>
    <x v="653"/>
    <x v="5"/>
    <x v="496"/>
    <x v="0"/>
    <x v="5"/>
    <x v="4"/>
    <x v="0"/>
    <x v="84"/>
    <x v="9"/>
    <x v="0"/>
    <x v="0"/>
    <x v="0"/>
    <x v="7"/>
    <x v="264"/>
    <x v="226"/>
    <x v="924"/>
    <x v="359"/>
    <x v="6"/>
    <x v="54"/>
    <x v="87"/>
    <x v="0"/>
    <x v="7"/>
    <x v="0"/>
    <x v="1"/>
    <x v="1"/>
    <x v="2"/>
  </r>
  <r>
    <x v="24"/>
    <x v="0"/>
    <x v="272"/>
    <x v="0"/>
    <x v="3"/>
    <x v="4"/>
    <x v="0"/>
    <x v="0"/>
    <x v="9"/>
    <x v="0"/>
    <x v="0"/>
    <x v="0"/>
    <x v="6"/>
    <x v="307"/>
    <x v="668"/>
    <x v="156"/>
    <x v="406"/>
    <x v="6"/>
    <x v="13"/>
    <x v="86"/>
    <x v="0"/>
    <x v="6"/>
    <x v="0"/>
    <x v="1"/>
    <x v="0"/>
    <x v="2"/>
  </r>
  <r>
    <x v="868"/>
    <x v="10"/>
    <x v="243"/>
    <x v="0"/>
    <x v="6"/>
    <x v="4"/>
    <x v="0"/>
    <x v="157"/>
    <x v="9"/>
    <x v="0"/>
    <x v="0"/>
    <x v="0"/>
    <x v="7"/>
    <x v="130"/>
    <x v="808"/>
    <x v="407"/>
    <x v="495"/>
    <x v="1"/>
    <x v="36"/>
    <x v="85"/>
    <x v="1"/>
    <x v="7"/>
    <x v="0"/>
    <x v="1"/>
    <x v="2"/>
    <x v="2"/>
  </r>
  <r>
    <x v="765"/>
    <x v="7"/>
    <x v="918"/>
    <x v="0"/>
    <x v="6"/>
    <x v="4"/>
    <x v="0"/>
    <x v="115"/>
    <x v="9"/>
    <x v="0"/>
    <x v="0"/>
    <x v="0"/>
    <x v="7"/>
    <x v="251"/>
    <x v="457"/>
    <x v="205"/>
    <x v="50"/>
    <x v="5"/>
    <x v="37"/>
    <x v="84"/>
    <x v="0"/>
    <x v="7"/>
    <x v="0"/>
    <x v="1"/>
    <x v="1"/>
    <x v="2"/>
  </r>
  <r>
    <x v="717"/>
    <x v="6"/>
    <x v="491"/>
    <x v="0"/>
    <x v="6"/>
    <x v="4"/>
    <x v="0"/>
    <x v="101"/>
    <x v="9"/>
    <x v="0"/>
    <x v="0"/>
    <x v="0"/>
    <x v="7"/>
    <x v="193"/>
    <x v="65"/>
    <x v="263"/>
    <x v="281"/>
    <x v="5"/>
    <x v="9"/>
    <x v="83"/>
    <x v="0"/>
    <x v="7"/>
    <x v="0"/>
    <x v="1"/>
    <x v="1"/>
    <x v="2"/>
  </r>
  <r>
    <x v="922"/>
    <x v="13"/>
    <x v="465"/>
    <x v="0"/>
    <x v="6"/>
    <x v="4"/>
    <x v="0"/>
    <x v="197"/>
    <x v="9"/>
    <x v="0"/>
    <x v="0"/>
    <x v="0"/>
    <x v="6"/>
    <x v="299"/>
    <x v="129"/>
    <x v="37"/>
    <x v="141"/>
    <x v="6"/>
    <x v="56"/>
    <x v="82"/>
    <x v="0"/>
    <x v="6"/>
    <x v="0"/>
    <x v="1"/>
    <x v="2"/>
    <x v="2"/>
  </r>
  <r>
    <x v="41"/>
    <x v="0"/>
    <x v="182"/>
    <x v="0"/>
    <x v="4"/>
    <x v="4"/>
    <x v="0"/>
    <x v="0"/>
    <x v="9"/>
    <x v="0"/>
    <x v="0"/>
    <x v="0"/>
    <x v="6"/>
    <x v="242"/>
    <x v="626"/>
    <x v="568"/>
    <x v="450"/>
    <x v="6"/>
    <x v="38"/>
    <x v="81"/>
    <x v="0"/>
    <x v="6"/>
    <x v="0"/>
    <x v="1"/>
    <x v="0"/>
    <x v="2"/>
  </r>
  <r>
    <x v="464"/>
    <x v="3"/>
    <x v="51"/>
    <x v="0"/>
    <x v="4"/>
    <x v="4"/>
    <x v="0"/>
    <x v="49"/>
    <x v="9"/>
    <x v="0"/>
    <x v="0"/>
    <x v="0"/>
    <x v="6"/>
    <x v="320"/>
    <x v="583"/>
    <x v="211"/>
    <x v="387"/>
    <x v="5"/>
    <x v="10"/>
    <x v="80"/>
    <x v="0"/>
    <x v="6"/>
    <x v="0"/>
    <x v="1"/>
    <x v="0"/>
    <x v="2"/>
  </r>
  <r>
    <x v="273"/>
    <x v="1"/>
    <x v="937"/>
    <x v="0"/>
    <x v="5"/>
    <x v="4"/>
    <x v="0"/>
    <x v="14"/>
    <x v="9"/>
    <x v="0"/>
    <x v="0"/>
    <x v="0"/>
    <x v="7"/>
    <x v="88"/>
    <x v="481"/>
    <x v="716"/>
    <x v="23"/>
    <x v="6"/>
    <x v="35"/>
    <x v="79"/>
    <x v="0"/>
    <x v="7"/>
    <x v="0"/>
    <x v="1"/>
    <x v="0"/>
    <x v="2"/>
  </r>
  <r>
    <x v="575"/>
    <x v="4"/>
    <x v="632"/>
    <x v="0"/>
    <x v="5"/>
    <x v="4"/>
    <x v="0"/>
    <x v="67"/>
    <x v="9"/>
    <x v="0"/>
    <x v="0"/>
    <x v="0"/>
    <x v="6"/>
    <x v="130"/>
    <x v="690"/>
    <x v="132"/>
    <x v="119"/>
    <x v="3"/>
    <x v="26"/>
    <x v="78"/>
    <x v="0"/>
    <x v="6"/>
    <x v="0"/>
    <x v="1"/>
    <x v="0"/>
    <x v="2"/>
  </r>
  <r>
    <x v="644"/>
    <x v="5"/>
    <x v="263"/>
    <x v="0"/>
    <x v="7"/>
    <x v="4"/>
    <x v="0"/>
    <x v="84"/>
    <x v="9"/>
    <x v="0"/>
    <x v="0"/>
    <x v="0"/>
    <x v="7"/>
    <x v="71"/>
    <x v="632"/>
    <x v="301"/>
    <x v="84"/>
    <x v="6"/>
    <x v="55"/>
    <x v="77"/>
    <x v="0"/>
    <x v="7"/>
    <x v="0"/>
    <x v="1"/>
    <x v="1"/>
    <x v="2"/>
  </r>
  <r>
    <x v="489"/>
    <x v="3"/>
    <x v="174"/>
    <x v="0"/>
    <x v="5"/>
    <x v="4"/>
    <x v="0"/>
    <x v="49"/>
    <x v="9"/>
    <x v="0"/>
    <x v="0"/>
    <x v="0"/>
    <x v="7"/>
    <x v="65"/>
    <x v="74"/>
    <x v="244"/>
    <x v="102"/>
    <x v="6"/>
    <x v="56"/>
    <x v="76"/>
    <x v="0"/>
    <x v="7"/>
    <x v="0"/>
    <x v="1"/>
    <x v="0"/>
    <x v="2"/>
  </r>
  <r>
    <x v="96"/>
    <x v="0"/>
    <x v="724"/>
    <x v="0"/>
    <x v="5"/>
    <x v="4"/>
    <x v="0"/>
    <x v="0"/>
    <x v="9"/>
    <x v="0"/>
    <x v="0"/>
    <x v="0"/>
    <x v="7"/>
    <x v="215"/>
    <x v="715"/>
    <x v="123"/>
    <x v="95"/>
    <x v="3"/>
    <x v="26"/>
    <x v="75"/>
    <x v="0"/>
    <x v="7"/>
    <x v="0"/>
    <x v="1"/>
    <x v="0"/>
    <x v="2"/>
  </r>
  <r>
    <x v="523"/>
    <x v="3"/>
    <x v="694"/>
    <x v="0"/>
    <x v="5"/>
    <x v="4"/>
    <x v="0"/>
    <x v="49"/>
    <x v="9"/>
    <x v="0"/>
    <x v="0"/>
    <x v="0"/>
    <x v="7"/>
    <x v="190"/>
    <x v="155"/>
    <x v="950"/>
    <x v="161"/>
    <x v="6"/>
    <x v="56"/>
    <x v="74"/>
    <x v="0"/>
    <x v="7"/>
    <x v="0"/>
    <x v="1"/>
    <x v="0"/>
    <x v="2"/>
  </r>
  <r>
    <x v="100"/>
    <x v="0"/>
    <x v="415"/>
    <x v="0"/>
    <x v="3"/>
    <x v="4"/>
    <x v="0"/>
    <x v="0"/>
    <x v="9"/>
    <x v="0"/>
    <x v="0"/>
    <x v="0"/>
    <x v="6"/>
    <x v="318"/>
    <x v="825"/>
    <x v="387"/>
    <x v="174"/>
    <x v="1"/>
    <x v="0"/>
    <x v="73"/>
    <x v="0"/>
    <x v="6"/>
    <x v="0"/>
    <x v="1"/>
    <x v="0"/>
    <x v="2"/>
  </r>
  <r>
    <x v="809"/>
    <x v="8"/>
    <x v="297"/>
    <x v="0"/>
    <x v="8"/>
    <x v="4"/>
    <x v="0"/>
    <x v="129"/>
    <x v="9"/>
    <x v="0"/>
    <x v="0"/>
    <x v="0"/>
    <x v="6"/>
    <x v="20"/>
    <x v="798"/>
    <x v="375"/>
    <x v="377"/>
    <x v="1"/>
    <x v="21"/>
    <x v="72"/>
    <x v="0"/>
    <x v="6"/>
    <x v="0"/>
    <x v="1"/>
    <x v="1"/>
    <x v="2"/>
  </r>
  <r>
    <x v="93"/>
    <x v="0"/>
    <x v="753"/>
    <x v="0"/>
    <x v="5"/>
    <x v="4"/>
    <x v="0"/>
    <x v="0"/>
    <x v="9"/>
    <x v="0"/>
    <x v="0"/>
    <x v="0"/>
    <x v="7"/>
    <x v="237"/>
    <x v="671"/>
    <x v="724"/>
    <x v="498"/>
    <x v="6"/>
    <x v="56"/>
    <x v="71"/>
    <x v="0"/>
    <x v="7"/>
    <x v="0"/>
    <x v="1"/>
    <x v="0"/>
    <x v="2"/>
  </r>
  <r>
    <x v="351"/>
    <x v="2"/>
    <x v="723"/>
    <x v="0"/>
    <x v="6"/>
    <x v="4"/>
    <x v="0"/>
    <x v="31"/>
    <x v="9"/>
    <x v="0"/>
    <x v="0"/>
    <x v="0"/>
    <x v="6"/>
    <x v="2"/>
    <x v="637"/>
    <x v="307"/>
    <x v="419"/>
    <x v="6"/>
    <x v="48"/>
    <x v="70"/>
    <x v="0"/>
    <x v="6"/>
    <x v="0"/>
    <x v="1"/>
    <x v="0"/>
    <x v="2"/>
  </r>
  <r>
    <x v="902"/>
    <x v="12"/>
    <x v="691"/>
    <x v="0"/>
    <x v="5"/>
    <x v="4"/>
    <x v="0"/>
    <x v="183"/>
    <x v="9"/>
    <x v="0"/>
    <x v="0"/>
    <x v="0"/>
    <x v="7"/>
    <x v="130"/>
    <x v="261"/>
    <x v="902"/>
    <x v="433"/>
    <x v="6"/>
    <x v="56"/>
    <x v="69"/>
    <x v="0"/>
    <x v="7"/>
    <x v="0"/>
    <x v="1"/>
    <x v="2"/>
    <x v="2"/>
  </r>
  <r>
    <x v="95"/>
    <x v="0"/>
    <x v="138"/>
    <x v="0"/>
    <x v="5"/>
    <x v="4"/>
    <x v="0"/>
    <x v="0"/>
    <x v="9"/>
    <x v="0"/>
    <x v="0"/>
    <x v="0"/>
    <x v="7"/>
    <x v="213"/>
    <x v="371"/>
    <x v="741"/>
    <x v="126"/>
    <x v="6"/>
    <x v="35"/>
    <x v="68"/>
    <x v="0"/>
    <x v="7"/>
    <x v="0"/>
    <x v="1"/>
    <x v="0"/>
    <x v="2"/>
  </r>
  <r>
    <x v="534"/>
    <x v="4"/>
    <x v="331"/>
    <x v="0"/>
    <x v="4"/>
    <x v="4"/>
    <x v="0"/>
    <x v="67"/>
    <x v="9"/>
    <x v="0"/>
    <x v="0"/>
    <x v="0"/>
    <x v="6"/>
    <x v="20"/>
    <x v="614"/>
    <x v="600"/>
    <x v="198"/>
    <x v="6"/>
    <x v="56"/>
    <x v="67"/>
    <x v="0"/>
    <x v="6"/>
    <x v="0"/>
    <x v="1"/>
    <x v="0"/>
    <x v="2"/>
  </r>
  <r>
    <x v="708"/>
    <x v="6"/>
    <x v="873"/>
    <x v="0"/>
    <x v="5"/>
    <x v="4"/>
    <x v="0"/>
    <x v="101"/>
    <x v="9"/>
    <x v="0"/>
    <x v="0"/>
    <x v="0"/>
    <x v="7"/>
    <x v="130"/>
    <x v="778"/>
    <x v="381"/>
    <x v="139"/>
    <x v="1"/>
    <x v="33"/>
    <x v="66"/>
    <x v="0"/>
    <x v="7"/>
    <x v="0"/>
    <x v="1"/>
    <x v="1"/>
    <x v="2"/>
  </r>
  <r>
    <x v="160"/>
    <x v="0"/>
    <x v="102"/>
    <x v="0"/>
    <x v="7"/>
    <x v="4"/>
    <x v="0"/>
    <x v="0"/>
    <x v="9"/>
    <x v="0"/>
    <x v="0"/>
    <x v="0"/>
    <x v="7"/>
    <x v="20"/>
    <x v="852"/>
    <x v="371"/>
    <x v="478"/>
    <x v="1"/>
    <x v="21"/>
    <x v="65"/>
    <x v="1"/>
    <x v="7"/>
    <x v="0"/>
    <x v="1"/>
    <x v="0"/>
    <x v="2"/>
  </r>
  <r>
    <x v="762"/>
    <x v="7"/>
    <x v="322"/>
    <x v="0"/>
    <x v="6"/>
    <x v="4"/>
    <x v="0"/>
    <x v="115"/>
    <x v="9"/>
    <x v="0"/>
    <x v="0"/>
    <x v="0"/>
    <x v="6"/>
    <x v="130"/>
    <x v="706"/>
    <x v="120"/>
    <x v="121"/>
    <x v="3"/>
    <x v="26"/>
    <x v="64"/>
    <x v="0"/>
    <x v="6"/>
    <x v="0"/>
    <x v="1"/>
    <x v="1"/>
    <x v="2"/>
  </r>
  <r>
    <x v="27"/>
    <x v="0"/>
    <x v="746"/>
    <x v="0"/>
    <x v="3"/>
    <x v="4"/>
    <x v="0"/>
    <x v="0"/>
    <x v="9"/>
    <x v="0"/>
    <x v="0"/>
    <x v="0"/>
    <x v="7"/>
    <x v="337"/>
    <x v="911"/>
    <x v="661"/>
    <x v="165"/>
    <x v="6"/>
    <x v="56"/>
    <x v="63"/>
    <x v="0"/>
    <x v="7"/>
    <x v="0"/>
    <x v="1"/>
    <x v="0"/>
    <x v="1"/>
  </r>
  <r>
    <x v="349"/>
    <x v="2"/>
    <x v="59"/>
    <x v="0"/>
    <x v="5"/>
    <x v="4"/>
    <x v="0"/>
    <x v="31"/>
    <x v="9"/>
    <x v="0"/>
    <x v="0"/>
    <x v="0"/>
    <x v="7"/>
    <x v="176"/>
    <x v="786"/>
    <x v="627"/>
    <x v="275"/>
    <x v="1"/>
    <x v="23"/>
    <x v="62"/>
    <x v="0"/>
    <x v="7"/>
    <x v="0"/>
    <x v="1"/>
    <x v="0"/>
    <x v="1"/>
  </r>
  <r>
    <x v="538"/>
    <x v="4"/>
    <x v="646"/>
    <x v="0"/>
    <x v="6"/>
    <x v="4"/>
    <x v="0"/>
    <x v="67"/>
    <x v="9"/>
    <x v="0"/>
    <x v="0"/>
    <x v="0"/>
    <x v="7"/>
    <x v="130"/>
    <x v="810"/>
    <x v="398"/>
    <x v="461"/>
    <x v="1"/>
    <x v="36"/>
    <x v="61"/>
    <x v="0"/>
    <x v="7"/>
    <x v="0"/>
    <x v="1"/>
    <x v="0"/>
    <x v="1"/>
  </r>
  <r>
    <x v="911"/>
    <x v="12"/>
    <x v="395"/>
    <x v="0"/>
    <x v="6"/>
    <x v="4"/>
    <x v="0"/>
    <x v="183"/>
    <x v="9"/>
    <x v="0"/>
    <x v="0"/>
    <x v="0"/>
    <x v="7"/>
    <x v="130"/>
    <x v="228"/>
    <x v="212"/>
    <x v="88"/>
    <x v="6"/>
    <x v="37"/>
    <x v="60"/>
    <x v="0"/>
    <x v="7"/>
    <x v="0"/>
    <x v="1"/>
    <x v="2"/>
    <x v="1"/>
  </r>
  <r>
    <x v="388"/>
    <x v="2"/>
    <x v="641"/>
    <x v="0"/>
    <x v="6"/>
    <x v="4"/>
    <x v="0"/>
    <x v="31"/>
    <x v="9"/>
    <x v="0"/>
    <x v="0"/>
    <x v="0"/>
    <x v="7"/>
    <x v="82"/>
    <x v="787"/>
    <x v="628"/>
    <x v="275"/>
    <x v="1"/>
    <x v="23"/>
    <x v="59"/>
    <x v="0"/>
    <x v="7"/>
    <x v="0"/>
    <x v="1"/>
    <x v="0"/>
    <x v="1"/>
  </r>
  <r>
    <x v="209"/>
    <x v="1"/>
    <x v="609"/>
    <x v="0"/>
    <x v="6"/>
    <x v="4"/>
    <x v="0"/>
    <x v="14"/>
    <x v="9"/>
    <x v="0"/>
    <x v="0"/>
    <x v="0"/>
    <x v="7"/>
    <x v="20"/>
    <x v="782"/>
    <x v="625"/>
    <x v="308"/>
    <x v="1"/>
    <x v="23"/>
    <x v="58"/>
    <x v="0"/>
    <x v="7"/>
    <x v="0"/>
    <x v="1"/>
    <x v="0"/>
    <x v="1"/>
  </r>
  <r>
    <x v="515"/>
    <x v="3"/>
    <x v="464"/>
    <x v="0"/>
    <x v="5"/>
    <x v="4"/>
    <x v="0"/>
    <x v="49"/>
    <x v="9"/>
    <x v="0"/>
    <x v="0"/>
    <x v="0"/>
    <x v="7"/>
    <x v="94"/>
    <x v="348"/>
    <x v="825"/>
    <x v="341"/>
    <x v="6"/>
    <x v="42"/>
    <x v="57"/>
    <x v="0"/>
    <x v="7"/>
    <x v="0"/>
    <x v="1"/>
    <x v="0"/>
    <x v="1"/>
  </r>
  <r>
    <x v="478"/>
    <x v="3"/>
    <x v="269"/>
    <x v="0"/>
    <x v="5"/>
    <x v="4"/>
    <x v="0"/>
    <x v="49"/>
    <x v="9"/>
    <x v="0"/>
    <x v="0"/>
    <x v="0"/>
    <x v="7"/>
    <x v="130"/>
    <x v="804"/>
    <x v="356"/>
    <x v="342"/>
    <x v="1"/>
    <x v="56"/>
    <x v="56"/>
    <x v="0"/>
    <x v="7"/>
    <x v="0"/>
    <x v="1"/>
    <x v="0"/>
    <x v="1"/>
  </r>
  <r>
    <x v="225"/>
    <x v="1"/>
    <x v="674"/>
    <x v="0"/>
    <x v="5"/>
    <x v="4"/>
    <x v="0"/>
    <x v="14"/>
    <x v="9"/>
    <x v="0"/>
    <x v="0"/>
    <x v="0"/>
    <x v="7"/>
    <x v="130"/>
    <x v="623"/>
    <x v="573"/>
    <x v="104"/>
    <x v="6"/>
    <x v="38"/>
    <x v="55"/>
    <x v="0"/>
    <x v="7"/>
    <x v="0"/>
    <x v="1"/>
    <x v="0"/>
    <x v="1"/>
  </r>
  <r>
    <x v="217"/>
    <x v="1"/>
    <x v="673"/>
    <x v="0"/>
    <x v="5"/>
    <x v="4"/>
    <x v="0"/>
    <x v="14"/>
    <x v="9"/>
    <x v="0"/>
    <x v="0"/>
    <x v="0"/>
    <x v="7"/>
    <x v="130"/>
    <x v="624"/>
    <x v="572"/>
    <x v="104"/>
    <x v="6"/>
    <x v="38"/>
    <x v="54"/>
    <x v="0"/>
    <x v="7"/>
    <x v="0"/>
    <x v="1"/>
    <x v="0"/>
    <x v="1"/>
  </r>
  <r>
    <x v="507"/>
    <x v="3"/>
    <x v="146"/>
    <x v="0"/>
    <x v="5"/>
    <x v="4"/>
    <x v="0"/>
    <x v="49"/>
    <x v="9"/>
    <x v="0"/>
    <x v="0"/>
    <x v="0"/>
    <x v="7"/>
    <x v="72"/>
    <x v="729"/>
    <x v="527"/>
    <x v="144"/>
    <x v="6"/>
    <x v="44"/>
    <x v="53"/>
    <x v="0"/>
    <x v="7"/>
    <x v="0"/>
    <x v="1"/>
    <x v="0"/>
    <x v="1"/>
  </r>
  <r>
    <x v="585"/>
    <x v="4"/>
    <x v="49"/>
    <x v="0"/>
    <x v="5"/>
    <x v="4"/>
    <x v="0"/>
    <x v="67"/>
    <x v="9"/>
    <x v="0"/>
    <x v="0"/>
    <x v="0"/>
    <x v="7"/>
    <x v="130"/>
    <x v="286"/>
    <x v="860"/>
    <x v="199"/>
    <x v="6"/>
    <x v="42"/>
    <x v="52"/>
    <x v="0"/>
    <x v="7"/>
    <x v="0"/>
    <x v="1"/>
    <x v="0"/>
    <x v="1"/>
  </r>
  <r>
    <x v="640"/>
    <x v="5"/>
    <x v="732"/>
    <x v="0"/>
    <x v="5"/>
    <x v="4"/>
    <x v="0"/>
    <x v="84"/>
    <x v="9"/>
    <x v="0"/>
    <x v="0"/>
    <x v="0"/>
    <x v="7"/>
    <x v="130"/>
    <x v="552"/>
    <x v="515"/>
    <x v="337"/>
    <x v="6"/>
    <x v="20"/>
    <x v="51"/>
    <x v="0"/>
    <x v="7"/>
    <x v="0"/>
    <x v="1"/>
    <x v="1"/>
    <x v="1"/>
  </r>
  <r>
    <x v="215"/>
    <x v="1"/>
    <x v="522"/>
    <x v="0"/>
    <x v="5"/>
    <x v="4"/>
    <x v="0"/>
    <x v="14"/>
    <x v="9"/>
    <x v="0"/>
    <x v="0"/>
    <x v="0"/>
    <x v="6"/>
    <x v="130"/>
    <x v="553"/>
    <x v="512"/>
    <x v="337"/>
    <x v="6"/>
    <x v="20"/>
    <x v="50"/>
    <x v="0"/>
    <x v="6"/>
    <x v="0"/>
    <x v="1"/>
    <x v="0"/>
    <x v="1"/>
  </r>
  <r>
    <x v="467"/>
    <x v="3"/>
    <x v="485"/>
    <x v="0"/>
    <x v="5"/>
    <x v="4"/>
    <x v="0"/>
    <x v="49"/>
    <x v="9"/>
    <x v="0"/>
    <x v="0"/>
    <x v="0"/>
    <x v="6"/>
    <x v="61"/>
    <x v="703"/>
    <x v="125"/>
    <x v="106"/>
    <x v="3"/>
    <x v="26"/>
    <x v="49"/>
    <x v="0"/>
    <x v="6"/>
    <x v="0"/>
    <x v="1"/>
    <x v="0"/>
    <x v="1"/>
  </r>
  <r>
    <x v="940"/>
    <x v="14"/>
    <x v="562"/>
    <x v="0"/>
    <x v="3"/>
    <x v="4"/>
    <x v="0"/>
    <x v="208"/>
    <x v="9"/>
    <x v="0"/>
    <x v="0"/>
    <x v="0"/>
    <x v="7"/>
    <x v="374"/>
    <x v="347"/>
    <x v="537"/>
    <x v="262"/>
    <x v="6"/>
    <x v="20"/>
    <x v="48"/>
    <x v="0"/>
    <x v="7"/>
    <x v="0"/>
    <x v="1"/>
    <x v="2"/>
    <x v="1"/>
  </r>
  <r>
    <x v="728"/>
    <x v="6"/>
    <x v="348"/>
    <x v="0"/>
    <x v="5"/>
    <x v="4"/>
    <x v="0"/>
    <x v="101"/>
    <x v="9"/>
    <x v="0"/>
    <x v="0"/>
    <x v="0"/>
    <x v="7"/>
    <x v="130"/>
    <x v="652"/>
    <x v="560"/>
    <x v="334"/>
    <x v="6"/>
    <x v="38"/>
    <x v="47"/>
    <x v="0"/>
    <x v="7"/>
    <x v="0"/>
    <x v="1"/>
    <x v="1"/>
    <x v="1"/>
  </r>
  <r>
    <x v="807"/>
    <x v="8"/>
    <x v="305"/>
    <x v="0"/>
    <x v="6"/>
    <x v="4"/>
    <x v="0"/>
    <x v="129"/>
    <x v="9"/>
    <x v="0"/>
    <x v="0"/>
    <x v="0"/>
    <x v="7"/>
    <x v="104"/>
    <x v="936"/>
    <x v="36"/>
    <x v="12"/>
    <x v="3"/>
    <x v="53"/>
    <x v="46"/>
    <x v="0"/>
    <x v="7"/>
    <x v="0"/>
    <x v="1"/>
    <x v="1"/>
    <x v="1"/>
  </r>
  <r>
    <x v="948"/>
    <x v="14"/>
    <x v="304"/>
    <x v="0"/>
    <x v="6"/>
    <x v="4"/>
    <x v="0"/>
    <x v="208"/>
    <x v="9"/>
    <x v="0"/>
    <x v="0"/>
    <x v="0"/>
    <x v="7"/>
    <x v="130"/>
    <x v="939"/>
    <x v="28"/>
    <x v="12"/>
    <x v="3"/>
    <x v="53"/>
    <x v="45"/>
    <x v="0"/>
    <x v="7"/>
    <x v="0"/>
    <x v="1"/>
    <x v="2"/>
    <x v="1"/>
  </r>
  <r>
    <x v="399"/>
    <x v="2"/>
    <x v="303"/>
    <x v="0"/>
    <x v="3"/>
    <x v="4"/>
    <x v="0"/>
    <x v="31"/>
    <x v="9"/>
    <x v="0"/>
    <x v="0"/>
    <x v="0"/>
    <x v="7"/>
    <x v="321"/>
    <x v="251"/>
    <x v="911"/>
    <x v="433"/>
    <x v="6"/>
    <x v="54"/>
    <x v="44"/>
    <x v="0"/>
    <x v="7"/>
    <x v="0"/>
    <x v="1"/>
    <x v="0"/>
    <x v="1"/>
  </r>
  <r>
    <x v="768"/>
    <x v="7"/>
    <x v="927"/>
    <x v="0"/>
    <x v="5"/>
    <x v="4"/>
    <x v="0"/>
    <x v="115"/>
    <x v="9"/>
    <x v="0"/>
    <x v="0"/>
    <x v="0"/>
    <x v="7"/>
    <x v="163"/>
    <x v="369"/>
    <x v="819"/>
    <x v="341"/>
    <x v="6"/>
    <x v="35"/>
    <x v="43"/>
    <x v="0"/>
    <x v="7"/>
    <x v="0"/>
    <x v="1"/>
    <x v="1"/>
    <x v="1"/>
  </r>
  <r>
    <x v="250"/>
    <x v="1"/>
    <x v="624"/>
    <x v="0"/>
    <x v="6"/>
    <x v="4"/>
    <x v="0"/>
    <x v="14"/>
    <x v="9"/>
    <x v="0"/>
    <x v="0"/>
    <x v="0"/>
    <x v="6"/>
    <x v="177"/>
    <x v="103"/>
    <x v="288"/>
    <x v="25"/>
    <x v="5"/>
    <x v="9"/>
    <x v="42"/>
    <x v="0"/>
    <x v="6"/>
    <x v="0"/>
    <x v="1"/>
    <x v="0"/>
    <x v="1"/>
  </r>
  <r>
    <x v="386"/>
    <x v="2"/>
    <x v="557"/>
    <x v="0"/>
    <x v="4"/>
    <x v="4"/>
    <x v="0"/>
    <x v="31"/>
    <x v="9"/>
    <x v="0"/>
    <x v="0"/>
    <x v="0"/>
    <x v="7"/>
    <x v="294"/>
    <x v="236"/>
    <x v="921"/>
    <x v="359"/>
    <x v="6"/>
    <x v="54"/>
    <x v="41"/>
    <x v="0"/>
    <x v="7"/>
    <x v="0"/>
    <x v="1"/>
    <x v="0"/>
    <x v="1"/>
  </r>
  <r>
    <x v="373"/>
    <x v="2"/>
    <x v="76"/>
    <x v="0"/>
    <x v="5"/>
    <x v="4"/>
    <x v="0"/>
    <x v="31"/>
    <x v="9"/>
    <x v="0"/>
    <x v="0"/>
    <x v="0"/>
    <x v="7"/>
    <x v="130"/>
    <x v="645"/>
    <x v="166"/>
    <x v="491"/>
    <x v="6"/>
    <x v="32"/>
    <x v="40"/>
    <x v="0"/>
    <x v="7"/>
    <x v="0"/>
    <x v="1"/>
    <x v="0"/>
    <x v="1"/>
  </r>
  <r>
    <x v="244"/>
    <x v="1"/>
    <x v="75"/>
    <x v="0"/>
    <x v="5"/>
    <x v="4"/>
    <x v="0"/>
    <x v="14"/>
    <x v="9"/>
    <x v="0"/>
    <x v="0"/>
    <x v="0"/>
    <x v="7"/>
    <x v="130"/>
    <x v="643"/>
    <x v="165"/>
    <x v="256"/>
    <x v="6"/>
    <x v="56"/>
    <x v="39"/>
    <x v="0"/>
    <x v="7"/>
    <x v="0"/>
    <x v="1"/>
    <x v="0"/>
    <x v="1"/>
  </r>
  <r>
    <x v="704"/>
    <x v="6"/>
    <x v="809"/>
    <x v="0"/>
    <x v="6"/>
    <x v="4"/>
    <x v="0"/>
    <x v="101"/>
    <x v="9"/>
    <x v="0"/>
    <x v="0"/>
    <x v="0"/>
    <x v="5"/>
    <x v="80"/>
    <x v="688"/>
    <x v="133"/>
    <x v="412"/>
    <x v="3"/>
    <x v="26"/>
    <x v="38"/>
    <x v="0"/>
    <x v="5"/>
    <x v="0"/>
    <x v="1"/>
    <x v="1"/>
    <x v="1"/>
  </r>
  <r>
    <x v="843"/>
    <x v="10"/>
    <x v="687"/>
    <x v="0"/>
    <x v="5"/>
    <x v="4"/>
    <x v="0"/>
    <x v="157"/>
    <x v="9"/>
    <x v="0"/>
    <x v="0"/>
    <x v="0"/>
    <x v="5"/>
    <x v="20"/>
    <x v="303"/>
    <x v="189"/>
    <x v="371"/>
    <x v="6"/>
    <x v="37"/>
    <x v="37"/>
    <x v="0"/>
    <x v="5"/>
    <x v="0"/>
    <x v="1"/>
    <x v="2"/>
    <x v="1"/>
  </r>
  <r>
    <x v="69"/>
    <x v="0"/>
    <x v="556"/>
    <x v="0"/>
    <x v="5"/>
    <x v="4"/>
    <x v="0"/>
    <x v="0"/>
    <x v="9"/>
    <x v="0"/>
    <x v="0"/>
    <x v="0"/>
    <x v="5"/>
    <x v="126"/>
    <x v="524"/>
    <x v="646"/>
    <x v="60"/>
    <x v="6"/>
    <x v="20"/>
    <x v="36"/>
    <x v="0"/>
    <x v="5"/>
    <x v="0"/>
    <x v="1"/>
    <x v="0"/>
    <x v="1"/>
  </r>
  <r>
    <x v="114"/>
    <x v="0"/>
    <x v="555"/>
    <x v="0"/>
    <x v="5"/>
    <x v="4"/>
    <x v="0"/>
    <x v="0"/>
    <x v="9"/>
    <x v="0"/>
    <x v="0"/>
    <x v="0"/>
    <x v="5"/>
    <x v="67"/>
    <x v="534"/>
    <x v="645"/>
    <x v="158"/>
    <x v="6"/>
    <x v="20"/>
    <x v="35"/>
    <x v="0"/>
    <x v="5"/>
    <x v="0"/>
    <x v="1"/>
    <x v="0"/>
    <x v="1"/>
  </r>
  <r>
    <x v="960"/>
    <x v="16"/>
    <x v="554"/>
    <x v="0"/>
    <x v="7"/>
    <x v="4"/>
    <x v="0"/>
    <x v="227"/>
    <x v="7"/>
    <x v="0"/>
    <x v="0"/>
    <x v="0"/>
    <x v="8"/>
    <x v="130"/>
    <x v="525"/>
    <x v="651"/>
    <x v="60"/>
    <x v="6"/>
    <x v="56"/>
    <x v="34"/>
    <x v="0"/>
    <x v="8"/>
    <x v="0"/>
    <x v="1"/>
    <x v="3"/>
    <x v="1"/>
  </r>
  <r>
    <x v="329"/>
    <x v="2"/>
    <x v="504"/>
    <x v="0"/>
    <x v="3"/>
    <x v="4"/>
    <x v="0"/>
    <x v="31"/>
    <x v="9"/>
    <x v="0"/>
    <x v="0"/>
    <x v="0"/>
    <x v="5"/>
    <x v="151"/>
    <x v="844"/>
    <x v="692"/>
    <x v="291"/>
    <x v="6"/>
    <x v="56"/>
    <x v="33"/>
    <x v="0"/>
    <x v="5"/>
    <x v="0"/>
    <x v="1"/>
    <x v="0"/>
    <x v="1"/>
  </r>
  <r>
    <x v="750"/>
    <x v="7"/>
    <x v="192"/>
    <x v="0"/>
    <x v="5"/>
    <x v="4"/>
    <x v="0"/>
    <x v="115"/>
    <x v="9"/>
    <x v="0"/>
    <x v="0"/>
    <x v="0"/>
    <x v="5"/>
    <x v="155"/>
    <x v="914"/>
    <x v="755"/>
    <x v="212"/>
    <x v="6"/>
    <x v="56"/>
    <x v="32"/>
    <x v="0"/>
    <x v="5"/>
    <x v="0"/>
    <x v="1"/>
    <x v="1"/>
    <x v="1"/>
  </r>
  <r>
    <x v="254"/>
    <x v="1"/>
    <x v="72"/>
    <x v="0"/>
    <x v="9"/>
    <x v="4"/>
    <x v="0"/>
    <x v="14"/>
    <x v="9"/>
    <x v="0"/>
    <x v="0"/>
    <x v="0"/>
    <x v="5"/>
    <x v="23"/>
    <x v="754"/>
    <x v="468"/>
    <x v="233"/>
    <x v="1"/>
    <x v="36"/>
    <x v="31"/>
    <x v="0"/>
    <x v="5"/>
    <x v="0"/>
    <x v="1"/>
    <x v="0"/>
    <x v="1"/>
  </r>
  <r>
    <x v="168"/>
    <x v="1"/>
    <x v="1"/>
    <x v="0"/>
    <x v="6"/>
    <x v="4"/>
    <x v="0"/>
    <x v="14"/>
    <x v="9"/>
    <x v="0"/>
    <x v="0"/>
    <x v="0"/>
    <x v="4"/>
    <x v="130"/>
    <x v="958"/>
    <x v="848"/>
    <x v="497"/>
    <x v="1"/>
    <x v="39"/>
    <x v="30"/>
    <x v="0"/>
    <x v="4"/>
    <x v="0"/>
    <x v="1"/>
    <x v="0"/>
    <x v="1"/>
  </r>
  <r>
    <x v="941"/>
    <x v="14"/>
    <x v="0"/>
    <x v="0"/>
    <x v="7"/>
    <x v="4"/>
    <x v="0"/>
    <x v="208"/>
    <x v="9"/>
    <x v="0"/>
    <x v="0"/>
    <x v="0"/>
    <x v="5"/>
    <x v="94"/>
    <x v="547"/>
    <x v="511"/>
    <x v="337"/>
    <x v="6"/>
    <x v="20"/>
    <x v="29"/>
    <x v="0"/>
    <x v="5"/>
    <x v="0"/>
    <x v="1"/>
    <x v="2"/>
    <x v="1"/>
  </r>
  <r>
    <x v="711"/>
    <x v="6"/>
    <x v="840"/>
    <x v="0"/>
    <x v="5"/>
    <x v="4"/>
    <x v="0"/>
    <x v="101"/>
    <x v="9"/>
    <x v="0"/>
    <x v="0"/>
    <x v="0"/>
    <x v="5"/>
    <x v="280"/>
    <x v="354"/>
    <x v="612"/>
    <x v="239"/>
    <x v="6"/>
    <x v="20"/>
    <x v="28"/>
    <x v="0"/>
    <x v="5"/>
    <x v="0"/>
    <x v="1"/>
    <x v="1"/>
    <x v="0"/>
  </r>
  <r>
    <x v="26"/>
    <x v="0"/>
    <x v="651"/>
    <x v="0"/>
    <x v="5"/>
    <x v="4"/>
    <x v="0"/>
    <x v="0"/>
    <x v="9"/>
    <x v="0"/>
    <x v="0"/>
    <x v="0"/>
    <x v="6"/>
    <x v="206"/>
    <x v="475"/>
    <x v="664"/>
    <x v="8"/>
    <x v="6"/>
    <x v="20"/>
    <x v="27"/>
    <x v="0"/>
    <x v="6"/>
    <x v="0"/>
    <x v="1"/>
    <x v="0"/>
    <x v="0"/>
  </r>
  <r>
    <x v="938"/>
    <x v="14"/>
    <x v="100"/>
    <x v="0"/>
    <x v="5"/>
    <x v="4"/>
    <x v="0"/>
    <x v="208"/>
    <x v="9"/>
    <x v="0"/>
    <x v="0"/>
    <x v="0"/>
    <x v="5"/>
    <x v="130"/>
    <x v="913"/>
    <x v="751"/>
    <x v="212"/>
    <x v="6"/>
    <x v="56"/>
    <x v="26"/>
    <x v="0"/>
    <x v="5"/>
    <x v="0"/>
    <x v="1"/>
    <x v="2"/>
    <x v="0"/>
  </r>
  <r>
    <x v="755"/>
    <x v="7"/>
    <x v="742"/>
    <x v="0"/>
    <x v="8"/>
    <x v="4"/>
    <x v="0"/>
    <x v="115"/>
    <x v="9"/>
    <x v="0"/>
    <x v="0"/>
    <x v="0"/>
    <x v="5"/>
    <x v="20"/>
    <x v="771"/>
    <x v="358"/>
    <x v="316"/>
    <x v="1"/>
    <x v="41"/>
    <x v="25"/>
    <x v="0"/>
    <x v="5"/>
    <x v="0"/>
    <x v="1"/>
    <x v="1"/>
    <x v="0"/>
  </r>
  <r>
    <x v="406"/>
    <x v="2"/>
    <x v="30"/>
    <x v="0"/>
    <x v="6"/>
    <x v="4"/>
    <x v="0"/>
    <x v="31"/>
    <x v="9"/>
    <x v="0"/>
    <x v="0"/>
    <x v="0"/>
    <x v="5"/>
    <x v="71"/>
    <x v="89"/>
    <x v="256"/>
    <x v="484"/>
    <x v="6"/>
    <x v="9"/>
    <x v="24"/>
    <x v="0"/>
    <x v="5"/>
    <x v="0"/>
    <x v="1"/>
    <x v="0"/>
    <x v="0"/>
  </r>
  <r>
    <x v="747"/>
    <x v="7"/>
    <x v="709"/>
    <x v="0"/>
    <x v="5"/>
    <x v="4"/>
    <x v="0"/>
    <x v="115"/>
    <x v="9"/>
    <x v="0"/>
    <x v="0"/>
    <x v="0"/>
    <x v="5"/>
    <x v="292"/>
    <x v="696"/>
    <x v="142"/>
    <x v="319"/>
    <x v="6"/>
    <x v="26"/>
    <x v="23"/>
    <x v="0"/>
    <x v="5"/>
    <x v="0"/>
    <x v="1"/>
    <x v="1"/>
    <x v="0"/>
  </r>
  <r>
    <x v="503"/>
    <x v="3"/>
    <x v="640"/>
    <x v="0"/>
    <x v="5"/>
    <x v="4"/>
    <x v="0"/>
    <x v="49"/>
    <x v="9"/>
    <x v="0"/>
    <x v="0"/>
    <x v="0"/>
    <x v="5"/>
    <x v="69"/>
    <x v="763"/>
    <x v="621"/>
    <x v="294"/>
    <x v="6"/>
    <x v="56"/>
    <x v="22"/>
    <x v="0"/>
    <x v="5"/>
    <x v="0"/>
    <x v="1"/>
    <x v="0"/>
    <x v="0"/>
  </r>
  <r>
    <x v="729"/>
    <x v="6"/>
    <x v="608"/>
    <x v="0"/>
    <x v="5"/>
    <x v="4"/>
    <x v="0"/>
    <x v="101"/>
    <x v="9"/>
    <x v="0"/>
    <x v="0"/>
    <x v="0"/>
    <x v="5"/>
    <x v="113"/>
    <x v="761"/>
    <x v="622"/>
    <x v="294"/>
    <x v="6"/>
    <x v="56"/>
    <x v="21"/>
    <x v="0"/>
    <x v="5"/>
    <x v="0"/>
    <x v="1"/>
    <x v="1"/>
    <x v="0"/>
  </r>
  <r>
    <x v="956"/>
    <x v="15"/>
    <x v="268"/>
    <x v="0"/>
    <x v="7"/>
    <x v="4"/>
    <x v="0"/>
    <x v="218"/>
    <x v="9"/>
    <x v="0"/>
    <x v="0"/>
    <x v="0"/>
    <x v="5"/>
    <x v="130"/>
    <x v="720"/>
    <x v="116"/>
    <x v="120"/>
    <x v="3"/>
    <x v="26"/>
    <x v="20"/>
    <x v="0"/>
    <x v="5"/>
    <x v="0"/>
    <x v="1"/>
    <x v="3"/>
    <x v="0"/>
  </r>
  <r>
    <x v="486"/>
    <x v="3"/>
    <x v="181"/>
    <x v="0"/>
    <x v="6"/>
    <x v="4"/>
    <x v="0"/>
    <x v="49"/>
    <x v="9"/>
    <x v="0"/>
    <x v="0"/>
    <x v="0"/>
    <x v="5"/>
    <x v="130"/>
    <x v="510"/>
    <x v="479"/>
    <x v="445"/>
    <x v="6"/>
    <x v="20"/>
    <x v="19"/>
    <x v="0"/>
    <x v="5"/>
    <x v="0"/>
    <x v="1"/>
    <x v="0"/>
    <x v="0"/>
  </r>
  <r>
    <x v="99"/>
    <x v="0"/>
    <x v="98"/>
    <x v="0"/>
    <x v="6"/>
    <x v="4"/>
    <x v="0"/>
    <x v="0"/>
    <x v="9"/>
    <x v="0"/>
    <x v="0"/>
    <x v="0"/>
    <x v="5"/>
    <x v="55"/>
    <x v="492"/>
    <x v="195"/>
    <x v="440"/>
    <x v="5"/>
    <x v="12"/>
    <x v="18"/>
    <x v="0"/>
    <x v="5"/>
    <x v="0"/>
    <x v="1"/>
    <x v="0"/>
    <x v="0"/>
  </r>
  <r>
    <x v="657"/>
    <x v="5"/>
    <x v="97"/>
    <x v="0"/>
    <x v="6"/>
    <x v="4"/>
    <x v="0"/>
    <x v="84"/>
    <x v="9"/>
    <x v="0"/>
    <x v="0"/>
    <x v="0"/>
    <x v="5"/>
    <x v="96"/>
    <x v="493"/>
    <x v="194"/>
    <x v="440"/>
    <x v="5"/>
    <x v="12"/>
    <x v="17"/>
    <x v="0"/>
    <x v="5"/>
    <x v="0"/>
    <x v="1"/>
    <x v="1"/>
    <x v="0"/>
  </r>
  <r>
    <x v="129"/>
    <x v="0"/>
    <x v="769"/>
    <x v="0"/>
    <x v="4"/>
    <x v="4"/>
    <x v="0"/>
    <x v="0"/>
    <x v="9"/>
    <x v="0"/>
    <x v="0"/>
    <x v="0"/>
    <x v="6"/>
    <x v="195"/>
    <x v="289"/>
    <x v="191"/>
    <x v="344"/>
    <x v="6"/>
    <x v="37"/>
    <x v="16"/>
    <x v="0"/>
    <x v="6"/>
    <x v="0"/>
    <x v="1"/>
    <x v="0"/>
    <x v="0"/>
  </r>
  <r>
    <x v="831"/>
    <x v="9"/>
    <x v="462"/>
    <x v="0"/>
    <x v="6"/>
    <x v="4"/>
    <x v="0"/>
    <x v="144"/>
    <x v="9"/>
    <x v="0"/>
    <x v="0"/>
    <x v="0"/>
    <x v="6"/>
    <x v="92"/>
    <x v="695"/>
    <x v="129"/>
    <x v="35"/>
    <x v="3"/>
    <x v="26"/>
    <x v="15"/>
    <x v="0"/>
    <x v="6"/>
    <x v="0"/>
    <x v="1"/>
    <x v="1"/>
    <x v="0"/>
  </r>
  <r>
    <x v="297"/>
    <x v="1"/>
    <x v="911"/>
    <x v="0"/>
    <x v="4"/>
    <x v="4"/>
    <x v="0"/>
    <x v="14"/>
    <x v="9"/>
    <x v="0"/>
    <x v="0"/>
    <x v="0"/>
    <x v="6"/>
    <x v="28"/>
    <x v="751"/>
    <x v="112"/>
    <x v="123"/>
    <x v="6"/>
    <x v="56"/>
    <x v="14"/>
    <x v="0"/>
    <x v="6"/>
    <x v="0"/>
    <x v="1"/>
    <x v="0"/>
    <x v="0"/>
  </r>
  <r>
    <x v="277"/>
    <x v="1"/>
    <x v="635"/>
    <x v="0"/>
    <x v="5"/>
    <x v="4"/>
    <x v="0"/>
    <x v="14"/>
    <x v="9"/>
    <x v="0"/>
    <x v="0"/>
    <x v="0"/>
    <x v="5"/>
    <x v="259"/>
    <x v="590"/>
    <x v="213"/>
    <x v="298"/>
    <x v="5"/>
    <x v="10"/>
    <x v="13"/>
    <x v="0"/>
    <x v="5"/>
    <x v="0"/>
    <x v="1"/>
    <x v="0"/>
    <x v="0"/>
  </r>
  <r>
    <x v="748"/>
    <x v="7"/>
    <x v="531"/>
    <x v="0"/>
    <x v="5"/>
    <x v="4"/>
    <x v="0"/>
    <x v="115"/>
    <x v="9"/>
    <x v="0"/>
    <x v="0"/>
    <x v="0"/>
    <x v="5"/>
    <x v="130"/>
    <x v="399"/>
    <x v="812"/>
    <x v="341"/>
    <x v="6"/>
    <x v="56"/>
    <x v="12"/>
    <x v="0"/>
    <x v="5"/>
    <x v="0"/>
    <x v="1"/>
    <x v="1"/>
    <x v="0"/>
  </r>
  <r>
    <x v="213"/>
    <x v="1"/>
    <x v="530"/>
    <x v="0"/>
    <x v="3"/>
    <x v="4"/>
    <x v="0"/>
    <x v="14"/>
    <x v="9"/>
    <x v="0"/>
    <x v="0"/>
    <x v="0"/>
    <x v="5"/>
    <x v="63"/>
    <x v="417"/>
    <x v="807"/>
    <x v="204"/>
    <x v="6"/>
    <x v="56"/>
    <x v="11"/>
    <x v="0"/>
    <x v="5"/>
    <x v="0"/>
    <x v="1"/>
    <x v="0"/>
    <x v="0"/>
  </r>
  <r>
    <x v="899"/>
    <x v="12"/>
    <x v="529"/>
    <x v="0"/>
    <x v="5"/>
    <x v="4"/>
    <x v="0"/>
    <x v="183"/>
    <x v="9"/>
    <x v="0"/>
    <x v="0"/>
    <x v="0"/>
    <x v="5"/>
    <x v="123"/>
    <x v="398"/>
    <x v="811"/>
    <x v="341"/>
    <x v="6"/>
    <x v="56"/>
    <x v="10"/>
    <x v="0"/>
    <x v="5"/>
    <x v="0"/>
    <x v="1"/>
    <x v="2"/>
    <x v="0"/>
  </r>
  <r>
    <x v="421"/>
    <x v="2"/>
    <x v="456"/>
    <x v="0"/>
    <x v="5"/>
    <x v="4"/>
    <x v="0"/>
    <x v="31"/>
    <x v="9"/>
    <x v="0"/>
    <x v="0"/>
    <x v="0"/>
    <x v="5"/>
    <x v="269"/>
    <x v="436"/>
    <x v="773"/>
    <x v="204"/>
    <x v="6"/>
    <x v="35"/>
    <x v="9"/>
    <x v="0"/>
    <x v="5"/>
    <x v="0"/>
    <x v="1"/>
    <x v="0"/>
    <x v="0"/>
  </r>
  <r>
    <x v="953"/>
    <x v="15"/>
    <x v="963"/>
    <x v="0"/>
    <x v="7"/>
    <x v="4"/>
    <x v="0"/>
    <x v="218"/>
    <x v="9"/>
    <x v="0"/>
    <x v="0"/>
    <x v="0"/>
    <x v="5"/>
    <x v="166"/>
    <x v="109"/>
    <x v="283"/>
    <x v="25"/>
    <x v="5"/>
    <x v="9"/>
    <x v="8"/>
    <x v="0"/>
    <x v="5"/>
    <x v="0"/>
    <x v="1"/>
    <x v="3"/>
    <x v="0"/>
  </r>
  <r>
    <x v="454"/>
    <x v="3"/>
    <x v="349"/>
    <x v="0"/>
    <x v="7"/>
    <x v="4"/>
    <x v="0"/>
    <x v="49"/>
    <x v="9"/>
    <x v="0"/>
    <x v="0"/>
    <x v="0"/>
    <x v="5"/>
    <x v="30"/>
    <x v="730"/>
    <x v="452"/>
    <x v="170"/>
    <x v="1"/>
    <x v="29"/>
    <x v="7"/>
    <x v="0"/>
    <x v="5"/>
    <x v="0"/>
    <x v="1"/>
    <x v="0"/>
    <x v="0"/>
  </r>
  <r>
    <x v="162"/>
    <x v="1"/>
    <x v="931"/>
    <x v="0"/>
    <x v="4"/>
    <x v="4"/>
    <x v="0"/>
    <x v="14"/>
    <x v="9"/>
    <x v="0"/>
    <x v="0"/>
    <x v="0"/>
    <x v="5"/>
    <x v="279"/>
    <x v="171"/>
    <x v="950"/>
    <x v="161"/>
    <x v="6"/>
    <x v="54"/>
    <x v="6"/>
    <x v="0"/>
    <x v="5"/>
    <x v="0"/>
    <x v="1"/>
    <x v="0"/>
    <x v="0"/>
  </r>
  <r>
    <x v="122"/>
    <x v="0"/>
    <x v="479"/>
    <x v="0"/>
    <x v="6"/>
    <x v="4"/>
    <x v="0"/>
    <x v="0"/>
    <x v="9"/>
    <x v="0"/>
    <x v="0"/>
    <x v="0"/>
    <x v="5"/>
    <x v="39"/>
    <x v="869"/>
    <x v="341"/>
    <x v="129"/>
    <x v="2"/>
    <x v="15"/>
    <x v="5"/>
    <x v="0"/>
    <x v="5"/>
    <x v="0"/>
    <x v="1"/>
    <x v="0"/>
    <x v="0"/>
  </r>
  <r>
    <x v="730"/>
    <x v="6"/>
    <x v="877"/>
    <x v="0"/>
    <x v="8"/>
    <x v="4"/>
    <x v="0"/>
    <x v="101"/>
    <x v="9"/>
    <x v="0"/>
    <x v="0"/>
    <x v="0"/>
    <x v="6"/>
    <x v="22"/>
    <x v="951"/>
    <x v="704"/>
    <x v="477"/>
    <x v="1"/>
    <x v="39"/>
    <x v="4"/>
    <x v="0"/>
    <x v="6"/>
    <x v="0"/>
    <x v="1"/>
    <x v="1"/>
    <x v="0"/>
  </r>
  <r>
    <x v="905"/>
    <x v="12"/>
    <x v="516"/>
    <x v="0"/>
    <x v="3"/>
    <x v="4"/>
    <x v="0"/>
    <x v="183"/>
    <x v="9"/>
    <x v="0"/>
    <x v="0"/>
    <x v="0"/>
    <x v="5"/>
    <x v="74"/>
    <x v="118"/>
    <x v="957"/>
    <x v="489"/>
    <x v="6"/>
    <x v="56"/>
    <x v="3"/>
    <x v="0"/>
    <x v="5"/>
    <x v="0"/>
    <x v="1"/>
    <x v="2"/>
    <x v="0"/>
  </r>
  <r>
    <x v="566"/>
    <x v="4"/>
    <x v="447"/>
    <x v="0"/>
    <x v="5"/>
    <x v="4"/>
    <x v="0"/>
    <x v="67"/>
    <x v="9"/>
    <x v="0"/>
    <x v="0"/>
    <x v="0"/>
    <x v="5"/>
    <x v="25"/>
    <x v="316"/>
    <x v="559"/>
    <x v="261"/>
    <x v="6"/>
    <x v="20"/>
    <x v="2"/>
    <x v="0"/>
    <x v="5"/>
    <x v="0"/>
    <x v="1"/>
    <x v="0"/>
    <x v="0"/>
  </r>
  <r>
    <x v="165"/>
    <x v="1"/>
    <x v="414"/>
    <x v="0"/>
    <x v="8"/>
    <x v="4"/>
    <x v="0"/>
    <x v="14"/>
    <x v="9"/>
    <x v="0"/>
    <x v="0"/>
    <x v="0"/>
    <x v="5"/>
    <x v="37"/>
    <x v="888"/>
    <x v="339"/>
    <x v="15"/>
    <x v="2"/>
    <x v="15"/>
    <x v="1"/>
    <x v="0"/>
    <x v="5"/>
    <x v="0"/>
    <x v="1"/>
    <x v="0"/>
    <x v="0"/>
  </r>
  <r>
    <x v="693"/>
    <x v="6"/>
    <x v="141"/>
    <x v="0"/>
    <x v="6"/>
    <x v="4"/>
    <x v="0"/>
    <x v="101"/>
    <x v="9"/>
    <x v="0"/>
    <x v="0"/>
    <x v="0"/>
    <x v="5"/>
    <x v="49"/>
    <x v="653"/>
    <x v="563"/>
    <x v="77"/>
    <x v="6"/>
    <x v="38"/>
    <x v="0"/>
    <x v="0"/>
    <x v="5"/>
    <x v="0"/>
    <x v="1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5:B11" firstHeaderRow="1" firstDataRow="1" firstDataCol="1"/>
  <pivotFields count="26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 v="0"/>
    </i>
    <i>
      <x v="1"/>
    </i>
    <i>
      <x v="2"/>
    </i>
    <i>
      <x v="3"/>
    </i>
    <i>
      <x v="4"/>
    </i>
    <i t="grand">
      <x v="5"/>
    </i>
  </rowItems>
  <colItems count="1">
    <i t="grand">
      <x v="0"/>
    </i>
  </colItems>
  <dataFields count="1">
    <dataField name="Count - title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5:B15" firstHeaderRow="1" firstDataRow="1" firstDataCol="1"/>
  <pivotFields count="26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rowItems>
  <colItems count="1">
    <i t="grand">
      <x v="0"/>
    </i>
  </colItems>
  <dataFields count="1">
    <dataField name="Count - title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5:B8" firstHeaderRow="1" firstDataRow="1" firstDataCol="1"/>
  <pivotFields count="26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0"/>
  </rowFields>
  <rowItems count="3">
    <i>
      <x v="0"/>
    </i>
    <i>
      <x v="1"/>
    </i>
    <i t="grand">
      <x v="2"/>
    </i>
  </rowItems>
  <colItems count="1">
    <i t="grand">
      <x v="0"/>
    </i>
  </colItems>
  <dataFields count="1">
    <dataField name="Count - title" fld="0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OriginalData" displayName="OriginalData" ref="A1:S1001" headerRowCount="1" totalsRowCount="0" totalsRowShown="0">
  <autoFilter ref="A1:S1001"/>
  <tableColumns count="19">
    <tableColumn id="1" name="title"/>
    <tableColumn id="2" name="magnitude"/>
    <tableColumn id="3" name="date_time"/>
    <tableColumn id="4" name="cdi"/>
    <tableColumn id="5" name="mmi"/>
    <tableColumn id="6" name="alert"/>
    <tableColumn id="7" name="tsunami"/>
    <tableColumn id="8" name="sig"/>
    <tableColumn id="9" name="net"/>
    <tableColumn id="10" name="nst"/>
    <tableColumn id="11" name="dmin"/>
    <tableColumn id="12" name="gap"/>
    <tableColumn id="13" name="magType"/>
    <tableColumn id="14" name="depth"/>
    <tableColumn id="15" name="latitude"/>
    <tableColumn id="16" name="longitude"/>
    <tableColumn id="17" name="location"/>
    <tableColumn id="18" name="continent"/>
    <tableColumn id="19" name="country"/>
  </tableColumns>
</table>
</file>

<file path=xl/tables/table2.xml><?xml version="1.0" encoding="utf-8"?>
<table xmlns="http://schemas.openxmlformats.org/spreadsheetml/2006/main" id="2" name="WorkingData" displayName="WorkingData" ref="A1:Z1001" headerRowCount="1" totalsRowCount="0" totalsRowShown="0">
  <autoFilter ref="A1:Z1001"/>
  <tableColumns count="26">
    <tableColumn id="1" name="title"/>
    <tableColumn id="2" name="magnitude"/>
    <tableColumn id="3" name="date_time"/>
    <tableColumn id="4" name="cdi"/>
    <tableColumn id="5" name="mmi"/>
    <tableColumn id="6" name="alert"/>
    <tableColumn id="7" name="tsunami"/>
    <tableColumn id="8" name="sig"/>
    <tableColumn id="9" name="net"/>
    <tableColumn id="10" name="nst"/>
    <tableColumn id="11" name="dmin"/>
    <tableColumn id="12" name="gap"/>
    <tableColumn id="13" name="magType"/>
    <tableColumn id="14" name="depth"/>
    <tableColumn id="15" name="latitude"/>
    <tableColumn id="16" name="longitude"/>
    <tableColumn id="17" name="location"/>
    <tableColumn id="18" name="continent"/>
    <tableColumn id="19" name="country"/>
    <tableColumn id="20" name="Converted_DateTime"/>
    <tableColumn id="21" name="Title_Pattern"/>
    <tableColumn id="22" name="magType_Normalized"/>
    <tableColumn id="23" name="Duplicate_Count"/>
    <tableColumn id="24" name="Duplicate_Flag"/>
    <tableColumn id="25" name="Magnitude_Band"/>
    <tableColumn id="26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16" min="4" style="1" width="12"/>
    <col collapsed="false" customWidth="true" hidden="false" outlineLevel="0" max="17" min="17" style="1" width="35"/>
    <col collapsed="false" customWidth="true" hidden="false" outlineLevel="0" max="18" min="18" style="1" width="13"/>
    <col collapsed="false" customWidth="true" hidden="false" outlineLevel="0" max="19" min="19" style="1" width="3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3.8" hidden="false" customHeight="false" outlineLevel="0" collapsed="false">
      <c r="A2" s="3" t="s">
        <v>19</v>
      </c>
      <c r="B2" s="3" t="n">
        <v>6.5</v>
      </c>
      <c r="C2" s="3" t="s">
        <v>20</v>
      </c>
      <c r="D2" s="3" t="n">
        <v>7</v>
      </c>
      <c r="E2" s="3" t="n">
        <v>4</v>
      </c>
      <c r="F2" s="3" t="s">
        <v>21</v>
      </c>
      <c r="G2" s="3" t="n">
        <v>0</v>
      </c>
      <c r="H2" s="3" t="n">
        <v>657</v>
      </c>
      <c r="I2" s="3" t="s">
        <v>22</v>
      </c>
      <c r="J2" s="3" t="n">
        <v>114</v>
      </c>
      <c r="K2" s="3" t="n">
        <v>7.177</v>
      </c>
      <c r="L2" s="3" t="n">
        <v>25</v>
      </c>
      <c r="M2" s="3" t="s">
        <v>23</v>
      </c>
      <c r="N2" s="3" t="n">
        <v>192.955</v>
      </c>
      <c r="O2" s="3" t="n">
        <v>-13.8814</v>
      </c>
      <c r="P2" s="3" t="n">
        <v>167.158</v>
      </c>
      <c r="Q2" s="3" t="s">
        <v>24</v>
      </c>
      <c r="R2" s="3"/>
      <c r="S2" s="3" t="s">
        <v>25</v>
      </c>
    </row>
    <row r="3" customFormat="false" ht="13.8" hidden="false" customHeight="false" outlineLevel="0" collapsed="false">
      <c r="A3" s="3" t="s">
        <v>26</v>
      </c>
      <c r="B3" s="3" t="n">
        <v>6.5</v>
      </c>
      <c r="C3" s="3" t="s">
        <v>27</v>
      </c>
      <c r="D3" s="3" t="n">
        <v>8</v>
      </c>
      <c r="E3" s="3" t="n">
        <v>6</v>
      </c>
      <c r="F3" s="3" t="s">
        <v>28</v>
      </c>
      <c r="G3" s="3" t="n">
        <v>0</v>
      </c>
      <c r="H3" s="3" t="n">
        <v>775</v>
      </c>
      <c r="I3" s="3" t="s">
        <v>22</v>
      </c>
      <c r="J3" s="3" t="n">
        <v>92</v>
      </c>
      <c r="K3" s="3" t="n">
        <v>0.679</v>
      </c>
      <c r="L3" s="3" t="n">
        <v>40</v>
      </c>
      <c r="M3" s="3" t="s">
        <v>23</v>
      </c>
      <c r="N3" s="3" t="n">
        <v>69.727</v>
      </c>
      <c r="O3" s="3" t="n">
        <v>12.814</v>
      </c>
      <c r="P3" s="3" t="n">
        <v>-88.1265</v>
      </c>
      <c r="Q3" s="3" t="s">
        <v>29</v>
      </c>
      <c r="R3" s="3"/>
      <c r="S3" s="3"/>
    </row>
    <row r="4" customFormat="false" ht="13.8" hidden="false" customHeight="false" outlineLevel="0" collapsed="false">
      <c r="A4" s="3" t="s">
        <v>30</v>
      </c>
      <c r="B4" s="3" t="n">
        <v>6.6</v>
      </c>
      <c r="C4" s="3" t="s">
        <v>31</v>
      </c>
      <c r="D4" s="3" t="n">
        <v>7</v>
      </c>
      <c r="E4" s="3" t="n">
        <v>5</v>
      </c>
      <c r="F4" s="3" t="s">
        <v>21</v>
      </c>
      <c r="G4" s="3" t="n">
        <v>0</v>
      </c>
      <c r="H4" s="3" t="n">
        <v>899</v>
      </c>
      <c r="I4" s="3" t="s">
        <v>22</v>
      </c>
      <c r="J4" s="3" t="n">
        <v>70</v>
      </c>
      <c r="K4" s="3" t="n">
        <v>1.634</v>
      </c>
      <c r="L4" s="3" t="n">
        <v>28</v>
      </c>
      <c r="M4" s="3" t="s">
        <v>23</v>
      </c>
      <c r="N4" s="3" t="n">
        <v>171.371</v>
      </c>
      <c r="O4" s="3" t="n">
        <v>-38.1911</v>
      </c>
      <c r="P4" s="3" t="n">
        <v>-70.3731</v>
      </c>
      <c r="Q4" s="3" t="s">
        <v>32</v>
      </c>
      <c r="R4" s="3" t="s">
        <v>33</v>
      </c>
      <c r="S4" s="3" t="s">
        <v>34</v>
      </c>
    </row>
    <row r="5" customFormat="false" ht="13.8" hidden="false" customHeight="false" outlineLevel="0" collapsed="false">
      <c r="A5" s="3" t="s">
        <v>35</v>
      </c>
      <c r="B5" s="3" t="n">
        <v>7.2</v>
      </c>
      <c r="C5" s="3" t="s">
        <v>36</v>
      </c>
      <c r="D5" s="3" t="n">
        <v>6</v>
      </c>
      <c r="E5" s="3" t="n">
        <v>6</v>
      </c>
      <c r="F5" s="3" t="s">
        <v>21</v>
      </c>
      <c r="G5" s="3" t="n">
        <v>1</v>
      </c>
      <c r="H5" s="3" t="n">
        <v>860</v>
      </c>
      <c r="I5" s="3" t="s">
        <v>22</v>
      </c>
      <c r="J5" s="3" t="n">
        <v>173</v>
      </c>
      <c r="K5" s="3" t="n">
        <v>0.907</v>
      </c>
      <c r="L5" s="3" t="n">
        <v>36</v>
      </c>
      <c r="M5" s="3" t="s">
        <v>23</v>
      </c>
      <c r="N5" s="3" t="n">
        <v>32.571</v>
      </c>
      <c r="O5" s="3" t="n">
        <v>54.3844</v>
      </c>
      <c r="P5" s="3" t="n">
        <v>-160.699</v>
      </c>
      <c r="Q5" s="3" t="s">
        <v>37</v>
      </c>
      <c r="R5" s="3"/>
      <c r="S5" s="3"/>
    </row>
    <row r="6" customFormat="false" ht="13.8" hidden="false" customHeight="false" outlineLevel="0" collapsed="false">
      <c r="A6" s="3" t="s">
        <v>38</v>
      </c>
      <c r="B6" s="3" t="n">
        <v>7.3</v>
      </c>
      <c r="C6" s="3" t="s">
        <v>36</v>
      </c>
      <c r="D6" s="3" t="n">
        <v>0</v>
      </c>
      <c r="E6" s="3" t="n">
        <v>5</v>
      </c>
      <c r="F6" s="3"/>
      <c r="G6" s="3" t="n">
        <v>1</v>
      </c>
      <c r="H6" s="3" t="n">
        <v>820</v>
      </c>
      <c r="I6" s="3" t="s">
        <v>39</v>
      </c>
      <c r="J6" s="3" t="n">
        <v>79</v>
      </c>
      <c r="K6" s="3" t="n">
        <v>0.879451</v>
      </c>
      <c r="L6" s="3" t="n">
        <v>172.8</v>
      </c>
      <c r="M6" s="3" t="s">
        <v>40</v>
      </c>
      <c r="N6" s="3" t="n">
        <v>21</v>
      </c>
      <c r="O6" s="3" t="n">
        <v>54.49</v>
      </c>
      <c r="P6" s="3" t="n">
        <v>-160.796</v>
      </c>
      <c r="Q6" s="3" t="s">
        <v>41</v>
      </c>
      <c r="R6" s="3"/>
      <c r="S6" s="3"/>
    </row>
    <row r="7" customFormat="false" ht="13.8" hidden="false" customHeight="false" outlineLevel="0" collapsed="false">
      <c r="A7" s="3" t="s">
        <v>42</v>
      </c>
      <c r="B7" s="3" t="n">
        <v>6.6</v>
      </c>
      <c r="C7" s="3" t="s">
        <v>43</v>
      </c>
      <c r="D7" s="3" t="n">
        <v>5</v>
      </c>
      <c r="E7" s="3" t="n">
        <v>4</v>
      </c>
      <c r="F7" s="3" t="s">
        <v>21</v>
      </c>
      <c r="G7" s="3" t="n">
        <v>1</v>
      </c>
      <c r="H7" s="3" t="n">
        <v>802</v>
      </c>
      <c r="I7" s="3" t="s">
        <v>22</v>
      </c>
      <c r="J7" s="3" t="n">
        <v>95</v>
      </c>
      <c r="K7" s="3" t="n">
        <v>2.454</v>
      </c>
      <c r="L7" s="3" t="n">
        <v>37</v>
      </c>
      <c r="M7" s="3" t="s">
        <v>23</v>
      </c>
      <c r="N7" s="3" t="n">
        <v>10</v>
      </c>
      <c r="O7" s="3" t="n">
        <v>20.0196</v>
      </c>
      <c r="P7" s="3" t="n">
        <v>-61.0955</v>
      </c>
      <c r="Q7" s="3" t="s">
        <v>44</v>
      </c>
      <c r="R7" s="3"/>
      <c r="S7" s="3"/>
    </row>
    <row r="8" customFormat="false" ht="13.8" hidden="false" customHeight="false" outlineLevel="0" collapsed="false">
      <c r="A8" s="3" t="s">
        <v>45</v>
      </c>
      <c r="B8" s="3" t="n">
        <v>6.9</v>
      </c>
      <c r="C8" s="3" t="s">
        <v>46</v>
      </c>
      <c r="D8" s="3" t="n">
        <v>4</v>
      </c>
      <c r="E8" s="3" t="n">
        <v>4</v>
      </c>
      <c r="F8" s="3" t="s">
        <v>21</v>
      </c>
      <c r="G8" s="3" t="n">
        <v>1</v>
      </c>
      <c r="H8" s="3" t="n">
        <v>741</v>
      </c>
      <c r="I8" s="3" t="s">
        <v>22</v>
      </c>
      <c r="J8" s="3" t="n">
        <v>136</v>
      </c>
      <c r="K8" s="3" t="n">
        <v>1.179</v>
      </c>
      <c r="L8" s="3" t="n">
        <v>23</v>
      </c>
      <c r="M8" s="3" t="s">
        <v>23</v>
      </c>
      <c r="N8" s="3" t="n">
        <v>229</v>
      </c>
      <c r="O8" s="3" t="n">
        <v>-17.853</v>
      </c>
      <c r="P8" s="3" t="n">
        <v>-174.937</v>
      </c>
      <c r="Q8" s="3" t="s">
        <v>47</v>
      </c>
      <c r="R8" s="3"/>
      <c r="S8" s="3"/>
    </row>
    <row r="9" customFormat="false" ht="13.8" hidden="false" customHeight="false" outlineLevel="0" collapsed="false">
      <c r="A9" s="3" t="s">
        <v>48</v>
      </c>
      <c r="B9" s="3" t="n">
        <v>7.2</v>
      </c>
      <c r="C9" s="3" t="s">
        <v>49</v>
      </c>
      <c r="D9" s="3" t="n">
        <v>8</v>
      </c>
      <c r="E9" s="3" t="n">
        <v>6</v>
      </c>
      <c r="F9" s="3" t="s">
        <v>21</v>
      </c>
      <c r="G9" s="3" t="n">
        <v>1</v>
      </c>
      <c r="H9" s="3" t="n">
        <v>804</v>
      </c>
      <c r="I9" s="3" t="s">
        <v>22</v>
      </c>
      <c r="J9" s="3" t="n">
        <v>85</v>
      </c>
      <c r="K9" s="3" t="n">
        <v>2.59</v>
      </c>
      <c r="L9" s="3" t="n">
        <v>24</v>
      </c>
      <c r="M9" s="3" t="s">
        <v>23</v>
      </c>
      <c r="N9" s="3" t="n">
        <v>167.404</v>
      </c>
      <c r="O9" s="3" t="n">
        <v>-22.9824</v>
      </c>
      <c r="P9" s="3" t="n">
        <v>-177.208</v>
      </c>
      <c r="Q9" s="3" t="s">
        <v>50</v>
      </c>
      <c r="R9" s="3"/>
      <c r="S9" s="3"/>
    </row>
    <row r="10" customFormat="false" ht="13.8" hidden="false" customHeight="false" outlineLevel="0" collapsed="false">
      <c r="A10" s="3" t="s">
        <v>51</v>
      </c>
      <c r="B10" s="3" t="n">
        <v>6.6</v>
      </c>
      <c r="C10" s="3" t="s">
        <v>52</v>
      </c>
      <c r="D10" s="3" t="n">
        <v>6</v>
      </c>
      <c r="E10" s="3" t="n">
        <v>6</v>
      </c>
      <c r="F10" s="3" t="s">
        <v>21</v>
      </c>
      <c r="G10" s="3" t="n">
        <v>1</v>
      </c>
      <c r="H10" s="3" t="n">
        <v>733</v>
      </c>
      <c r="I10" s="3" t="s">
        <v>22</v>
      </c>
      <c r="J10" s="3" t="n">
        <v>50</v>
      </c>
      <c r="K10" s="3" t="n">
        <v>2.163</v>
      </c>
      <c r="L10" s="3" t="n">
        <v>129</v>
      </c>
      <c r="M10" s="3" t="s">
        <v>23</v>
      </c>
      <c r="N10" s="3" t="n">
        <v>10</v>
      </c>
      <c r="O10" s="3" t="n">
        <v>8.8894</v>
      </c>
      <c r="P10" s="3" t="n">
        <v>-77.1231</v>
      </c>
      <c r="Q10" s="3" t="s">
        <v>53</v>
      </c>
      <c r="R10" s="3"/>
      <c r="S10" s="3" t="s">
        <v>54</v>
      </c>
    </row>
    <row r="11" customFormat="false" ht="13.8" hidden="false" customHeight="false" outlineLevel="0" collapsed="false">
      <c r="A11" s="3" t="s">
        <v>55</v>
      </c>
      <c r="B11" s="3" t="n">
        <v>7.1</v>
      </c>
      <c r="C11" s="3" t="s">
        <v>56</v>
      </c>
      <c r="D11" s="3" t="n">
        <v>3</v>
      </c>
      <c r="E11" s="3" t="n">
        <v>4</v>
      </c>
      <c r="F11" s="3" t="s">
        <v>21</v>
      </c>
      <c r="G11" s="3" t="n">
        <v>1</v>
      </c>
      <c r="H11" s="3" t="n">
        <v>777</v>
      </c>
      <c r="I11" s="3" t="s">
        <v>22</v>
      </c>
      <c r="J11" s="3" t="n">
        <v>98</v>
      </c>
      <c r="K11" s="3" t="n">
        <v>2.812</v>
      </c>
      <c r="L11" s="3" t="n">
        <v>56</v>
      </c>
      <c r="M11" s="3" t="s">
        <v>23</v>
      </c>
      <c r="N11" s="3" t="n">
        <v>35.981</v>
      </c>
      <c r="O11" s="3" t="n">
        <v>-23.0622</v>
      </c>
      <c r="P11" s="3" t="n">
        <v>170.456</v>
      </c>
      <c r="Q11" s="3" t="s">
        <v>57</v>
      </c>
      <c r="R11" s="3"/>
      <c r="S11" s="3"/>
    </row>
    <row r="12" customFormat="false" ht="13.8" hidden="false" customHeight="false" outlineLevel="0" collapsed="false">
      <c r="A12" s="3" t="s">
        <v>58</v>
      </c>
      <c r="B12" s="3" t="n">
        <v>7.7</v>
      </c>
      <c r="C12" s="3" t="s">
        <v>59</v>
      </c>
      <c r="D12" s="3" t="n">
        <v>5</v>
      </c>
      <c r="E12" s="3" t="n">
        <v>4</v>
      </c>
      <c r="F12" s="3" t="s">
        <v>21</v>
      </c>
      <c r="G12" s="3" t="n">
        <v>1</v>
      </c>
      <c r="H12" s="3" t="n">
        <v>927</v>
      </c>
      <c r="I12" s="3" t="s">
        <v>22</v>
      </c>
      <c r="J12" s="3" t="n">
        <v>277</v>
      </c>
      <c r="K12" s="3" t="n">
        <v>3.111</v>
      </c>
      <c r="L12" s="3" t="n">
        <v>15</v>
      </c>
      <c r="M12" s="3" t="s">
        <v>23</v>
      </c>
      <c r="N12" s="3" t="n">
        <v>18.027</v>
      </c>
      <c r="O12" s="3" t="n">
        <v>-23.2286</v>
      </c>
      <c r="P12" s="3" t="n">
        <v>170.694</v>
      </c>
      <c r="Q12" s="3" t="s">
        <v>57</v>
      </c>
      <c r="R12" s="3"/>
      <c r="S12" s="3"/>
    </row>
    <row r="13" customFormat="false" ht="13.8" hidden="false" customHeight="false" outlineLevel="0" collapsed="false">
      <c r="A13" s="3" t="s">
        <v>60</v>
      </c>
      <c r="B13" s="3" t="n">
        <v>7.6</v>
      </c>
      <c r="C13" s="3" t="s">
        <v>61</v>
      </c>
      <c r="D13" s="3" t="n">
        <v>8</v>
      </c>
      <c r="E13" s="3" t="n">
        <v>6</v>
      </c>
      <c r="F13" s="3" t="s">
        <v>21</v>
      </c>
      <c r="G13" s="3" t="n">
        <v>1</v>
      </c>
      <c r="H13" s="3" t="n">
        <v>907</v>
      </c>
      <c r="I13" s="3" t="s">
        <v>22</v>
      </c>
      <c r="J13" s="3" t="n">
        <v>111</v>
      </c>
      <c r="K13" s="3" t="n">
        <v>3.631</v>
      </c>
      <c r="L13" s="3" t="n">
        <v>17</v>
      </c>
      <c r="M13" s="3" t="s">
        <v>23</v>
      </c>
      <c r="N13" s="3" t="n">
        <v>210.097</v>
      </c>
      <c r="O13" s="3" t="n">
        <v>-15.6002</v>
      </c>
      <c r="P13" s="3" t="n">
        <v>-174.608</v>
      </c>
      <c r="Q13" s="3" t="s">
        <v>62</v>
      </c>
      <c r="R13" s="3"/>
      <c r="S13" s="3"/>
    </row>
    <row r="14" customFormat="false" ht="13.8" hidden="false" customHeight="false" outlineLevel="0" collapsed="false">
      <c r="A14" s="3" t="s">
        <v>63</v>
      </c>
      <c r="B14" s="3" t="n">
        <v>6.6</v>
      </c>
      <c r="C14" s="3" t="s">
        <v>64</v>
      </c>
      <c r="D14" s="3" t="n">
        <v>0</v>
      </c>
      <c r="E14" s="3" t="n">
        <v>2</v>
      </c>
      <c r="F14" s="3" t="s">
        <v>21</v>
      </c>
      <c r="G14" s="3" t="n">
        <v>0</v>
      </c>
      <c r="H14" s="3" t="n">
        <v>670</v>
      </c>
      <c r="I14" s="3" t="s">
        <v>22</v>
      </c>
      <c r="J14" s="3" t="n">
        <v>52</v>
      </c>
      <c r="K14" s="3" t="n">
        <v>5.123</v>
      </c>
      <c r="L14" s="3" t="n">
        <v>50</v>
      </c>
      <c r="M14" s="3" t="s">
        <v>23</v>
      </c>
      <c r="N14" s="3" t="n">
        <v>598.467</v>
      </c>
      <c r="O14" s="3" t="n">
        <v>-25.2657</v>
      </c>
      <c r="P14" s="3" t="n">
        <v>178.424</v>
      </c>
      <c r="Q14" s="3" t="s">
        <v>50</v>
      </c>
      <c r="R14" s="3"/>
      <c r="S14" s="3"/>
    </row>
    <row r="15" customFormat="false" ht="13.8" hidden="false" customHeight="false" outlineLevel="0" collapsed="false">
      <c r="A15" s="3" t="s">
        <v>65</v>
      </c>
      <c r="B15" s="3" t="n">
        <v>7.1</v>
      </c>
      <c r="C15" s="3" t="s">
        <v>66</v>
      </c>
      <c r="D15" s="3" t="n">
        <v>9</v>
      </c>
      <c r="E15" s="3" t="n">
        <v>7</v>
      </c>
      <c r="F15" s="3" t="s">
        <v>21</v>
      </c>
      <c r="G15" s="3" t="n">
        <v>0</v>
      </c>
      <c r="H15" s="3" t="n">
        <v>838</v>
      </c>
      <c r="I15" s="3" t="s">
        <v>22</v>
      </c>
      <c r="J15" s="3" t="n">
        <v>70</v>
      </c>
      <c r="K15" s="3" t="n">
        <v>2.282</v>
      </c>
      <c r="L15" s="3" t="n">
        <v>58</v>
      </c>
      <c r="M15" s="3" t="s">
        <v>23</v>
      </c>
      <c r="N15" s="3" t="n">
        <v>15.462</v>
      </c>
      <c r="O15" s="3" t="n">
        <v>-0.781</v>
      </c>
      <c r="P15" s="3" t="n">
        <v>98.5339</v>
      </c>
      <c r="Q15" s="3" t="s">
        <v>67</v>
      </c>
      <c r="R15" s="3"/>
      <c r="S15" s="3" t="s">
        <v>68</v>
      </c>
    </row>
    <row r="16" customFormat="false" ht="13.8" hidden="false" customHeight="false" outlineLevel="0" collapsed="false">
      <c r="A16" s="3" t="s">
        <v>69</v>
      </c>
      <c r="B16" s="3" t="n">
        <v>7.1</v>
      </c>
      <c r="C16" s="3" t="s">
        <v>70</v>
      </c>
      <c r="D16" s="3" t="n">
        <v>8</v>
      </c>
      <c r="E16" s="3" t="n">
        <v>7</v>
      </c>
      <c r="F16" s="3" t="s">
        <v>21</v>
      </c>
      <c r="G16" s="3" t="n">
        <v>1</v>
      </c>
      <c r="H16" s="3" t="n">
        <v>777</v>
      </c>
      <c r="I16" s="3" t="s">
        <v>22</v>
      </c>
      <c r="J16" s="3" t="n">
        <v>126</v>
      </c>
      <c r="K16" s="3" t="n">
        <v>0.708</v>
      </c>
      <c r="L16" s="3" t="n">
        <v>23</v>
      </c>
      <c r="M16" s="3" t="s">
        <v>23</v>
      </c>
      <c r="N16" s="3" t="n">
        <v>43.063</v>
      </c>
      <c r="O16" s="3" t="n">
        <v>-30.0249</v>
      </c>
      <c r="P16" s="3" t="n">
        <v>-177.897</v>
      </c>
      <c r="Q16" s="3" t="s">
        <v>71</v>
      </c>
      <c r="R16" s="3"/>
      <c r="S16" s="3"/>
    </row>
    <row r="17" customFormat="false" ht="13.8" hidden="false" customHeight="false" outlineLevel="0" collapsed="false">
      <c r="A17" s="3" t="s">
        <v>72</v>
      </c>
      <c r="B17" s="3" t="n">
        <v>6.7</v>
      </c>
      <c r="C17" s="3" t="s">
        <v>73</v>
      </c>
      <c r="D17" s="3" t="n">
        <v>0</v>
      </c>
      <c r="E17" s="3" t="n">
        <v>3</v>
      </c>
      <c r="F17" s="3" t="s">
        <v>21</v>
      </c>
      <c r="G17" s="3" t="n">
        <v>1</v>
      </c>
      <c r="H17" s="3" t="n">
        <v>691</v>
      </c>
      <c r="I17" s="3" t="s">
        <v>22</v>
      </c>
      <c r="J17" s="3" t="n">
        <v>166</v>
      </c>
      <c r="K17" s="3" t="n">
        <v>4.719</v>
      </c>
      <c r="L17" s="3" t="n">
        <v>10</v>
      </c>
      <c r="M17" s="3" t="s">
        <v>23</v>
      </c>
      <c r="N17" s="3" t="n">
        <v>595.854</v>
      </c>
      <c r="O17" s="3" t="n">
        <v>-22.2844</v>
      </c>
      <c r="P17" s="3" t="n">
        <v>179.391</v>
      </c>
      <c r="Q17" s="3" t="s">
        <v>50</v>
      </c>
      <c r="R17" s="3"/>
      <c r="S17" s="3"/>
    </row>
    <row r="18" customFormat="false" ht="13.8" hidden="false" customHeight="false" outlineLevel="0" collapsed="false">
      <c r="A18" s="3" t="s">
        <v>74</v>
      </c>
      <c r="B18" s="3" t="n">
        <v>7</v>
      </c>
      <c r="C18" s="3" t="s">
        <v>75</v>
      </c>
      <c r="D18" s="3" t="n">
        <v>5</v>
      </c>
      <c r="E18" s="3" t="n">
        <v>3</v>
      </c>
      <c r="F18" s="3" t="s">
        <v>21</v>
      </c>
      <c r="G18" s="3" t="n">
        <v>0</v>
      </c>
      <c r="H18" s="3" t="n">
        <v>818</v>
      </c>
      <c r="I18" s="3" t="s">
        <v>22</v>
      </c>
      <c r="J18" s="3" t="n">
        <v>131</v>
      </c>
      <c r="K18" s="3" t="n">
        <v>1.881</v>
      </c>
      <c r="L18" s="3" t="n">
        <v>31</v>
      </c>
      <c r="M18" s="3" t="s">
        <v>23</v>
      </c>
      <c r="N18" s="3" t="n">
        <v>594.028</v>
      </c>
      <c r="O18" s="3" t="n">
        <v>-6.0255</v>
      </c>
      <c r="P18" s="3" t="n">
        <v>112.033</v>
      </c>
      <c r="Q18" s="3" t="s">
        <v>76</v>
      </c>
      <c r="R18" s="3"/>
      <c r="S18" s="3" t="s">
        <v>68</v>
      </c>
    </row>
    <row r="19" customFormat="false" ht="13.8" hidden="false" customHeight="false" outlineLevel="0" collapsed="false">
      <c r="A19" s="3" t="s">
        <v>77</v>
      </c>
      <c r="B19" s="3" t="n">
        <v>6.5</v>
      </c>
      <c r="C19" s="3" t="s">
        <v>78</v>
      </c>
      <c r="D19" s="3" t="n">
        <v>7</v>
      </c>
      <c r="E19" s="3" t="n">
        <v>6</v>
      </c>
      <c r="F19" s="3" t="s">
        <v>28</v>
      </c>
      <c r="G19" s="3" t="n">
        <v>1</v>
      </c>
      <c r="H19" s="3" t="n">
        <v>655</v>
      </c>
      <c r="I19" s="3" t="s">
        <v>22</v>
      </c>
      <c r="J19" s="3" t="n">
        <v>104</v>
      </c>
      <c r="K19" s="3" t="n">
        <v>0.266</v>
      </c>
      <c r="L19" s="3" t="n">
        <v>30</v>
      </c>
      <c r="M19" s="3" t="s">
        <v>23</v>
      </c>
      <c r="N19" s="3" t="n">
        <v>105.631</v>
      </c>
      <c r="O19" s="3" t="n">
        <v>52.7772</v>
      </c>
      <c r="P19" s="3" t="n">
        <v>158.484</v>
      </c>
      <c r="Q19" s="3" t="s">
        <v>79</v>
      </c>
      <c r="R19" s="3" t="s">
        <v>80</v>
      </c>
      <c r="S19" s="3" t="s">
        <v>81</v>
      </c>
    </row>
    <row r="20" customFormat="false" ht="13.8" hidden="false" customHeight="false" outlineLevel="0" collapsed="false">
      <c r="A20" s="3" t="s">
        <v>82</v>
      </c>
      <c r="B20" s="3" t="n">
        <v>7</v>
      </c>
      <c r="C20" s="3" t="s">
        <v>83</v>
      </c>
      <c r="D20" s="3" t="n">
        <v>7</v>
      </c>
      <c r="E20" s="3" t="n">
        <v>7</v>
      </c>
      <c r="F20" s="3" t="s">
        <v>21</v>
      </c>
      <c r="G20" s="3" t="n">
        <v>1</v>
      </c>
      <c r="H20" s="3" t="n">
        <v>781</v>
      </c>
      <c r="I20" s="3" t="s">
        <v>22</v>
      </c>
      <c r="J20" s="3" t="n">
        <v>105</v>
      </c>
      <c r="K20" s="3" t="n">
        <v>6.45</v>
      </c>
      <c r="L20" s="3" t="n">
        <v>31</v>
      </c>
      <c r="M20" s="3" t="s">
        <v>23</v>
      </c>
      <c r="N20" s="3" t="n">
        <v>62.603</v>
      </c>
      <c r="O20" s="3" t="n">
        <v>-4.2924</v>
      </c>
      <c r="P20" s="3" t="n">
        <v>143.155</v>
      </c>
      <c r="Q20" s="3" t="s">
        <v>84</v>
      </c>
      <c r="R20" s="3" t="s">
        <v>80</v>
      </c>
      <c r="S20" s="3" t="s">
        <v>85</v>
      </c>
    </row>
    <row r="21" customFormat="false" ht="13.8" hidden="false" customHeight="false" outlineLevel="0" collapsed="false">
      <c r="A21" s="3" t="s">
        <v>86</v>
      </c>
      <c r="B21" s="3" t="n">
        <v>6.5</v>
      </c>
      <c r="C21" s="3" t="s">
        <v>87</v>
      </c>
      <c r="D21" s="3" t="n">
        <v>4</v>
      </c>
      <c r="E21" s="3" t="n">
        <v>4</v>
      </c>
      <c r="F21" s="3" t="s">
        <v>21</v>
      </c>
      <c r="G21" s="3" t="n">
        <v>0</v>
      </c>
      <c r="H21" s="3" t="n">
        <v>656</v>
      </c>
      <c r="I21" s="3" t="s">
        <v>22</v>
      </c>
      <c r="J21" s="3" t="n">
        <v>97</v>
      </c>
      <c r="K21" s="3" t="n">
        <v>1.622</v>
      </c>
      <c r="L21" s="3" t="n">
        <v>33</v>
      </c>
      <c r="M21" s="3" t="s">
        <v>23</v>
      </c>
      <c r="N21" s="3" t="n">
        <v>209.976</v>
      </c>
      <c r="O21" s="3" t="n">
        <v>-23.4797</v>
      </c>
      <c r="P21" s="3" t="n">
        <v>-66.5108</v>
      </c>
      <c r="Q21" s="3" t="s">
        <v>88</v>
      </c>
      <c r="R21" s="3" t="s">
        <v>33</v>
      </c>
      <c r="S21" s="3" t="s">
        <v>34</v>
      </c>
    </row>
    <row r="22" customFormat="false" ht="13.8" hidden="false" customHeight="false" outlineLevel="0" collapsed="false">
      <c r="A22" s="3" t="s">
        <v>89</v>
      </c>
      <c r="B22" s="3" t="n">
        <v>6.5</v>
      </c>
      <c r="C22" s="3" t="s">
        <v>90</v>
      </c>
      <c r="D22" s="3" t="n">
        <v>7</v>
      </c>
      <c r="E22" s="3" t="n">
        <v>5</v>
      </c>
      <c r="F22" s="3" t="s">
        <v>21</v>
      </c>
      <c r="G22" s="3" t="n">
        <v>0</v>
      </c>
      <c r="H22" s="3" t="n">
        <v>1350</v>
      </c>
      <c r="I22" s="3" t="s">
        <v>22</v>
      </c>
      <c r="J22" s="3" t="n">
        <v>134</v>
      </c>
      <c r="K22" s="3" t="n">
        <v>2.53</v>
      </c>
      <c r="L22" s="3" t="n">
        <v>13</v>
      </c>
      <c r="M22" s="3" t="s">
        <v>23</v>
      </c>
      <c r="N22" s="3" t="n">
        <v>187.589</v>
      </c>
      <c r="O22" s="3" t="n">
        <v>36.5227</v>
      </c>
      <c r="P22" s="3" t="n">
        <v>70.9787</v>
      </c>
      <c r="Q22" s="3" t="s">
        <v>91</v>
      </c>
      <c r="R22" s="3" t="s">
        <v>80</v>
      </c>
      <c r="S22" s="3" t="s">
        <v>92</v>
      </c>
    </row>
    <row r="23" customFormat="false" ht="13.8" hidden="false" customHeight="false" outlineLevel="0" collapsed="false">
      <c r="A23" s="3" t="s">
        <v>93</v>
      </c>
      <c r="B23" s="3" t="n">
        <v>6.8</v>
      </c>
      <c r="C23" s="3" t="s">
        <v>94</v>
      </c>
      <c r="D23" s="3" t="n">
        <v>9</v>
      </c>
      <c r="E23" s="3" t="n">
        <v>7</v>
      </c>
      <c r="F23" s="3" t="s">
        <v>95</v>
      </c>
      <c r="G23" s="3" t="n">
        <v>1</v>
      </c>
      <c r="H23" s="3" t="n">
        <v>1159</v>
      </c>
      <c r="I23" s="3" t="s">
        <v>22</v>
      </c>
      <c r="J23" s="3" t="n">
        <v>152</v>
      </c>
      <c r="K23" s="3" t="n">
        <v>0.709</v>
      </c>
      <c r="L23" s="3" t="n">
        <v>28</v>
      </c>
      <c r="M23" s="3" t="s">
        <v>23</v>
      </c>
      <c r="N23" s="3" t="n">
        <v>65.842</v>
      </c>
      <c r="O23" s="3" t="n">
        <v>-2.851</v>
      </c>
      <c r="P23" s="3" t="n">
        <v>-79.8001</v>
      </c>
      <c r="Q23" s="3" t="s">
        <v>96</v>
      </c>
      <c r="R23" s="3" t="s">
        <v>33</v>
      </c>
      <c r="S23" s="3" t="s">
        <v>96</v>
      </c>
    </row>
    <row r="24" customFormat="false" ht="13.8" hidden="false" customHeight="false" outlineLevel="0" collapsed="false">
      <c r="A24" s="3" t="s">
        <v>97</v>
      </c>
      <c r="B24" s="3" t="n">
        <v>7</v>
      </c>
      <c r="C24" s="3" t="s">
        <v>98</v>
      </c>
      <c r="D24" s="3" t="n">
        <v>8</v>
      </c>
      <c r="E24" s="3" t="n">
        <v>5</v>
      </c>
      <c r="F24" s="3" t="s">
        <v>21</v>
      </c>
      <c r="G24" s="3" t="n">
        <v>1</v>
      </c>
      <c r="H24" s="3" t="n">
        <v>756</v>
      </c>
      <c r="I24" s="3" t="s">
        <v>22</v>
      </c>
      <c r="J24" s="3" t="n">
        <v>116</v>
      </c>
      <c r="K24" s="3" t="n">
        <v>1.789</v>
      </c>
      <c r="L24" s="3" t="n">
        <v>22</v>
      </c>
      <c r="M24" s="3" t="s">
        <v>23</v>
      </c>
      <c r="N24" s="3" t="n">
        <v>22.065</v>
      </c>
      <c r="O24" s="3" t="n">
        <v>-30.1147</v>
      </c>
      <c r="P24" s="3" t="n">
        <v>-176.112</v>
      </c>
      <c r="Q24" s="3" t="s">
        <v>99</v>
      </c>
      <c r="R24" s="3"/>
      <c r="S24" s="3"/>
    </row>
    <row r="25" customFormat="false" ht="13.8" hidden="false" customHeight="false" outlineLevel="0" collapsed="false">
      <c r="A25" s="3" t="s">
        <v>100</v>
      </c>
      <c r="B25" s="3" t="n">
        <v>6.9</v>
      </c>
      <c r="C25" s="3" t="s">
        <v>101</v>
      </c>
      <c r="D25" s="3" t="n">
        <v>5</v>
      </c>
      <c r="E25" s="3" t="n">
        <v>5</v>
      </c>
      <c r="F25" s="3" t="s">
        <v>21</v>
      </c>
      <c r="G25" s="3" t="n">
        <v>1</v>
      </c>
      <c r="H25" s="3" t="n">
        <v>735</v>
      </c>
      <c r="I25" s="3" t="s">
        <v>22</v>
      </c>
      <c r="J25" s="3" t="n">
        <v>108</v>
      </c>
      <c r="K25" s="3" t="n">
        <v>0.784</v>
      </c>
      <c r="L25" s="3" t="n">
        <v>18</v>
      </c>
      <c r="M25" s="3" t="s">
        <v>23</v>
      </c>
      <c r="N25" s="3" t="n">
        <v>205.681</v>
      </c>
      <c r="O25" s="3" t="n">
        <v>-29.4748</v>
      </c>
      <c r="P25" s="3" t="n">
        <v>-178.787</v>
      </c>
      <c r="Q25" s="3" t="s">
        <v>71</v>
      </c>
      <c r="R25" s="3"/>
      <c r="S25" s="3"/>
    </row>
    <row r="26" customFormat="false" ht="13.8" hidden="false" customHeight="false" outlineLevel="0" collapsed="false">
      <c r="A26" s="3" t="s">
        <v>102</v>
      </c>
      <c r="B26" s="3" t="n">
        <v>6.5</v>
      </c>
      <c r="C26" s="3" t="s">
        <v>103</v>
      </c>
      <c r="D26" s="3" t="n">
        <v>7</v>
      </c>
      <c r="E26" s="3" t="n">
        <v>6</v>
      </c>
      <c r="F26" s="3" t="s">
        <v>21</v>
      </c>
      <c r="G26" s="3" t="n">
        <v>1</v>
      </c>
      <c r="H26" s="3" t="n">
        <v>653</v>
      </c>
      <c r="I26" s="3" t="s">
        <v>22</v>
      </c>
      <c r="J26" s="3" t="n">
        <v>66</v>
      </c>
      <c r="K26" s="3" t="n">
        <v>5.483</v>
      </c>
      <c r="L26" s="3" t="n">
        <v>45</v>
      </c>
      <c r="M26" s="3" t="s">
        <v>23</v>
      </c>
      <c r="N26" s="3" t="n">
        <v>10</v>
      </c>
      <c r="O26" s="3" t="n">
        <v>-15.3597</v>
      </c>
      <c r="P26" s="3" t="n">
        <v>166.385</v>
      </c>
      <c r="Q26" s="3" t="s">
        <v>104</v>
      </c>
      <c r="R26" s="3"/>
      <c r="S26" s="3"/>
    </row>
    <row r="27" customFormat="false" ht="13.8" hidden="false" customHeight="false" outlineLevel="0" collapsed="false">
      <c r="A27" s="3" t="s">
        <v>105</v>
      </c>
      <c r="B27" s="3" t="n">
        <v>6.5</v>
      </c>
      <c r="C27" s="3" t="s">
        <v>106</v>
      </c>
      <c r="D27" s="3" t="n">
        <v>4</v>
      </c>
      <c r="E27" s="3" t="n">
        <v>2</v>
      </c>
      <c r="F27" s="3" t="s">
        <v>21</v>
      </c>
      <c r="G27" s="3" t="n">
        <v>1</v>
      </c>
      <c r="H27" s="3" t="n">
        <v>652</v>
      </c>
      <c r="I27" s="3" t="s">
        <v>22</v>
      </c>
      <c r="J27" s="3" t="n">
        <v>115</v>
      </c>
      <c r="K27" s="3" t="n">
        <v>2.739</v>
      </c>
      <c r="L27" s="3" t="n">
        <v>20</v>
      </c>
      <c r="M27" s="3" t="s">
        <v>23</v>
      </c>
      <c r="N27" s="3" t="n">
        <v>598.925</v>
      </c>
      <c r="O27" s="3" t="n">
        <v>-4.8138</v>
      </c>
      <c r="P27" s="3" t="n">
        <v>149.487</v>
      </c>
      <c r="Q27" s="3" t="s">
        <v>107</v>
      </c>
      <c r="R27" s="3"/>
      <c r="S27" s="3" t="s">
        <v>85</v>
      </c>
    </row>
    <row r="28" customFormat="false" ht="13.8" hidden="false" customHeight="false" outlineLevel="0" collapsed="false">
      <c r="A28" s="3" t="s">
        <v>108</v>
      </c>
      <c r="B28" s="3" t="n">
        <v>6.8</v>
      </c>
      <c r="C28" s="3" t="s">
        <v>109</v>
      </c>
      <c r="D28" s="3" t="n">
        <v>9</v>
      </c>
      <c r="E28" s="3" t="n">
        <v>7</v>
      </c>
      <c r="F28" s="3" t="s">
        <v>21</v>
      </c>
      <c r="G28" s="3" t="n">
        <v>0</v>
      </c>
      <c r="H28" s="3" t="n">
        <v>737</v>
      </c>
      <c r="I28" s="3" t="s">
        <v>22</v>
      </c>
      <c r="J28" s="3" t="n">
        <v>128</v>
      </c>
      <c r="K28" s="3" t="n">
        <v>1.783</v>
      </c>
      <c r="L28" s="3" t="n">
        <v>20</v>
      </c>
      <c r="M28" s="3" t="s">
        <v>23</v>
      </c>
      <c r="N28" s="3" t="n">
        <v>20.522</v>
      </c>
      <c r="O28" s="3" t="n">
        <v>38.0726</v>
      </c>
      <c r="P28" s="3" t="n">
        <v>73.2077</v>
      </c>
      <c r="Q28" s="3" t="s">
        <v>110</v>
      </c>
      <c r="R28" s="3" t="s">
        <v>80</v>
      </c>
      <c r="S28" s="3" t="s">
        <v>111</v>
      </c>
    </row>
    <row r="29" customFormat="false" ht="13.8" hidden="false" customHeight="false" outlineLevel="0" collapsed="false">
      <c r="A29" s="3" t="s">
        <v>112</v>
      </c>
      <c r="B29" s="3" t="n">
        <v>7.5</v>
      </c>
      <c r="C29" s="3" t="s">
        <v>113</v>
      </c>
      <c r="D29" s="3" t="n">
        <v>9</v>
      </c>
      <c r="E29" s="3" t="n">
        <v>9</v>
      </c>
      <c r="F29" s="3" t="s">
        <v>95</v>
      </c>
      <c r="G29" s="3" t="n">
        <v>0</v>
      </c>
      <c r="H29" s="3" t="n">
        <v>1411</v>
      </c>
      <c r="I29" s="3" t="s">
        <v>22</v>
      </c>
      <c r="J29" s="3" t="n">
        <v>135</v>
      </c>
      <c r="K29" s="3" t="n">
        <v>0.85</v>
      </c>
      <c r="L29" s="3" t="n">
        <v>17</v>
      </c>
      <c r="M29" s="3" t="s">
        <v>23</v>
      </c>
      <c r="N29" s="3" t="n">
        <v>10</v>
      </c>
      <c r="O29" s="3" t="n">
        <v>38.0235</v>
      </c>
      <c r="P29" s="3" t="n">
        <v>37.203</v>
      </c>
      <c r="Q29" s="3" t="s">
        <v>114</v>
      </c>
      <c r="R29" s="3" t="s">
        <v>80</v>
      </c>
      <c r="S29" s="3" t="s">
        <v>115</v>
      </c>
    </row>
    <row r="30" customFormat="false" ht="13.8" hidden="false" customHeight="false" outlineLevel="0" collapsed="false">
      <c r="A30" s="3" t="s">
        <v>116</v>
      </c>
      <c r="B30" s="3" t="n">
        <v>6.7</v>
      </c>
      <c r="C30" s="3" t="s">
        <v>117</v>
      </c>
      <c r="D30" s="3" t="n">
        <v>9</v>
      </c>
      <c r="E30" s="3" t="n">
        <v>8</v>
      </c>
      <c r="F30" s="3" t="s">
        <v>28</v>
      </c>
      <c r="G30" s="3" t="n">
        <v>0</v>
      </c>
      <c r="H30" s="3" t="n">
        <v>800</v>
      </c>
      <c r="I30" s="3" t="s">
        <v>22</v>
      </c>
      <c r="J30" s="3" t="n">
        <v>108</v>
      </c>
      <c r="K30" s="3" t="n">
        <v>0.218</v>
      </c>
      <c r="L30" s="3" t="n">
        <v>44</v>
      </c>
      <c r="M30" s="3" t="s">
        <v>23</v>
      </c>
      <c r="N30" s="3" t="n">
        <v>14.497</v>
      </c>
      <c r="O30" s="3" t="n">
        <v>37.4135</v>
      </c>
      <c r="P30" s="3" t="n">
        <v>36.8306</v>
      </c>
      <c r="Q30" s="3" t="s">
        <v>118</v>
      </c>
      <c r="R30" s="3" t="s">
        <v>80</v>
      </c>
      <c r="S30" s="3" t="s">
        <v>115</v>
      </c>
    </row>
    <row r="31" customFormat="false" ht="13.8" hidden="false" customHeight="false" outlineLevel="0" collapsed="false">
      <c r="A31" s="3" t="s">
        <v>119</v>
      </c>
      <c r="B31" s="3" t="n">
        <v>7.8</v>
      </c>
      <c r="C31" s="3" t="s">
        <v>120</v>
      </c>
      <c r="D31" s="3" t="n">
        <v>9</v>
      </c>
      <c r="E31" s="3" t="n">
        <v>9</v>
      </c>
      <c r="F31" s="3" t="s">
        <v>121</v>
      </c>
      <c r="G31" s="3" t="n">
        <v>0</v>
      </c>
      <c r="H31" s="3" t="n">
        <v>2910</v>
      </c>
      <c r="I31" s="3" t="s">
        <v>22</v>
      </c>
      <c r="J31" s="3" t="n">
        <v>118</v>
      </c>
      <c r="K31" s="3" t="n">
        <v>1.919</v>
      </c>
      <c r="L31" s="3" t="n">
        <v>32</v>
      </c>
      <c r="M31" s="3" t="s">
        <v>23</v>
      </c>
      <c r="N31" s="3" t="n">
        <v>17.925</v>
      </c>
      <c r="O31" s="3" t="n">
        <v>37.2012</v>
      </c>
      <c r="P31" s="3" t="n">
        <v>36.9997</v>
      </c>
      <c r="Q31" s="3" t="s">
        <v>122</v>
      </c>
      <c r="R31" s="3" t="s">
        <v>80</v>
      </c>
      <c r="S31" s="3" t="s">
        <v>115</v>
      </c>
    </row>
    <row r="32" customFormat="false" ht="13.8" hidden="false" customHeight="false" outlineLevel="0" collapsed="false">
      <c r="A32" s="3" t="s">
        <v>123</v>
      </c>
      <c r="B32" s="3" t="n">
        <v>6.8</v>
      </c>
      <c r="C32" s="3" t="s">
        <v>124</v>
      </c>
      <c r="D32" s="3" t="n">
        <v>4</v>
      </c>
      <c r="E32" s="3" t="n">
        <v>3</v>
      </c>
      <c r="F32" s="3" t="s">
        <v>21</v>
      </c>
      <c r="G32" s="3" t="n">
        <v>0</v>
      </c>
      <c r="H32" s="3" t="n">
        <v>718</v>
      </c>
      <c r="I32" s="3" t="s">
        <v>22</v>
      </c>
      <c r="J32" s="3" t="n">
        <v>60</v>
      </c>
      <c r="K32" s="3" t="n">
        <v>5.129</v>
      </c>
      <c r="L32" s="3" t="n">
        <v>61</v>
      </c>
      <c r="M32" s="3" t="s">
        <v>23</v>
      </c>
      <c r="N32" s="3" t="n">
        <v>610.671</v>
      </c>
      <c r="O32" s="3" t="n">
        <v>-26.7209</v>
      </c>
      <c r="P32" s="3" t="n">
        <v>-63.0394</v>
      </c>
      <c r="Q32" s="3"/>
      <c r="R32" s="3" t="s">
        <v>33</v>
      </c>
      <c r="S32" s="3" t="s">
        <v>34</v>
      </c>
    </row>
    <row r="33" customFormat="false" ht="13.8" hidden="false" customHeight="false" outlineLevel="0" collapsed="false">
      <c r="A33" s="3" t="s">
        <v>125</v>
      </c>
      <c r="B33" s="3" t="n">
        <v>7</v>
      </c>
      <c r="C33" s="3" t="s">
        <v>126</v>
      </c>
      <c r="D33" s="3" t="n">
        <v>3</v>
      </c>
      <c r="E33" s="3" t="n">
        <v>5</v>
      </c>
      <c r="F33" s="3" t="s">
        <v>21</v>
      </c>
      <c r="G33" s="3" t="n">
        <v>1</v>
      </c>
      <c r="H33" s="3" t="n">
        <v>756</v>
      </c>
      <c r="I33" s="3" t="s">
        <v>22</v>
      </c>
      <c r="J33" s="3" t="n">
        <v>130</v>
      </c>
      <c r="K33" s="3" t="n">
        <v>1.974</v>
      </c>
      <c r="L33" s="3" t="n">
        <v>17</v>
      </c>
      <c r="M33" s="3" t="s">
        <v>127</v>
      </c>
      <c r="N33" s="3" t="n">
        <v>28.566</v>
      </c>
      <c r="O33" s="3" t="n">
        <v>2.7401</v>
      </c>
      <c r="P33" s="3" t="n">
        <v>127.051</v>
      </c>
      <c r="Q33" s="3" t="s">
        <v>128</v>
      </c>
      <c r="R33" s="3"/>
      <c r="S33" s="3" t="s">
        <v>68</v>
      </c>
    </row>
    <row r="34" customFormat="false" ht="13.8" hidden="false" customHeight="false" outlineLevel="0" collapsed="false">
      <c r="A34" s="3" t="s">
        <v>129</v>
      </c>
      <c r="B34" s="3" t="n">
        <v>7.6</v>
      </c>
      <c r="C34" s="3" t="s">
        <v>130</v>
      </c>
      <c r="D34" s="3" t="n">
        <v>5</v>
      </c>
      <c r="E34" s="3" t="n">
        <v>7</v>
      </c>
      <c r="F34" s="3" t="s">
        <v>21</v>
      </c>
      <c r="G34" s="3" t="n">
        <v>0</v>
      </c>
      <c r="H34" s="3" t="n">
        <v>957</v>
      </c>
      <c r="I34" s="3" t="s">
        <v>22</v>
      </c>
      <c r="J34" s="3" t="n">
        <v>114</v>
      </c>
      <c r="K34" s="3" t="n">
        <v>1.575</v>
      </c>
      <c r="L34" s="3" t="n">
        <v>21</v>
      </c>
      <c r="M34" s="3" t="s">
        <v>23</v>
      </c>
      <c r="N34" s="3" t="n">
        <v>105.249</v>
      </c>
      <c r="O34" s="3" t="n">
        <v>-7.0852</v>
      </c>
      <c r="P34" s="3" t="n">
        <v>130.039</v>
      </c>
      <c r="Q34" s="3" t="s">
        <v>131</v>
      </c>
      <c r="R34" s="3"/>
      <c r="S34" s="3" t="s">
        <v>68</v>
      </c>
    </row>
    <row r="35" customFormat="false" ht="13.8" hidden="false" customHeight="false" outlineLevel="0" collapsed="false">
      <c r="A35" s="3" t="s">
        <v>132</v>
      </c>
      <c r="B35" s="3" t="n">
        <v>7</v>
      </c>
      <c r="C35" s="3" t="s">
        <v>133</v>
      </c>
      <c r="D35" s="3" t="n">
        <v>8</v>
      </c>
      <c r="E35" s="3" t="n">
        <v>7</v>
      </c>
      <c r="F35" s="3" t="s">
        <v>21</v>
      </c>
      <c r="G35" s="3" t="n">
        <v>1</v>
      </c>
      <c r="H35" s="3" t="n">
        <v>768</v>
      </c>
      <c r="I35" s="3" t="s">
        <v>22</v>
      </c>
      <c r="J35" s="3" t="n">
        <v>116</v>
      </c>
      <c r="K35" s="3" t="n">
        <v>6.096</v>
      </c>
      <c r="L35" s="3" t="n">
        <v>36</v>
      </c>
      <c r="M35" s="3" t="s">
        <v>23</v>
      </c>
      <c r="N35" s="3" t="n">
        <v>29</v>
      </c>
      <c r="O35" s="3" t="n">
        <v>-14.9383</v>
      </c>
      <c r="P35" s="3" t="n">
        <v>166.878</v>
      </c>
      <c r="Q35" s="3" t="s">
        <v>25</v>
      </c>
      <c r="R35" s="3"/>
      <c r="S35" s="3" t="s">
        <v>25</v>
      </c>
    </row>
    <row r="36" customFormat="false" ht="13.8" hidden="false" customHeight="false" outlineLevel="0" collapsed="false">
      <c r="A36" s="3" t="s">
        <v>134</v>
      </c>
      <c r="B36" s="3" t="n">
        <v>6.8</v>
      </c>
      <c r="C36" s="3" t="s">
        <v>135</v>
      </c>
      <c r="D36" s="3" t="n">
        <v>5</v>
      </c>
      <c r="E36" s="3" t="n">
        <v>5</v>
      </c>
      <c r="F36" s="3" t="s">
        <v>21</v>
      </c>
      <c r="G36" s="3" t="n">
        <v>1</v>
      </c>
      <c r="H36" s="3" t="n">
        <v>720</v>
      </c>
      <c r="I36" s="3" t="s">
        <v>22</v>
      </c>
      <c r="J36" s="3" t="n">
        <v>152</v>
      </c>
      <c r="K36" s="3" t="n">
        <v>2.587</v>
      </c>
      <c r="L36" s="3" t="n">
        <v>26</v>
      </c>
      <c r="M36" s="3" t="s">
        <v>23</v>
      </c>
      <c r="N36" s="3" t="n">
        <v>38</v>
      </c>
      <c r="O36" s="3" t="n">
        <v>-15.3983</v>
      </c>
      <c r="P36" s="3" t="n">
        <v>-172.968</v>
      </c>
      <c r="Q36" s="3" t="s">
        <v>62</v>
      </c>
      <c r="R36" s="3"/>
      <c r="S36" s="3"/>
    </row>
    <row r="37" customFormat="false" ht="13.8" hidden="false" customHeight="false" outlineLevel="0" collapsed="false">
      <c r="A37" s="3" t="s">
        <v>136</v>
      </c>
      <c r="B37" s="3" t="n">
        <v>7</v>
      </c>
      <c r="C37" s="3" t="s">
        <v>137</v>
      </c>
      <c r="D37" s="3" t="n">
        <v>8</v>
      </c>
      <c r="E37" s="3" t="n">
        <v>7</v>
      </c>
      <c r="F37" s="3" t="s">
        <v>21</v>
      </c>
      <c r="G37" s="3" t="n">
        <v>1</v>
      </c>
      <c r="H37" s="3" t="n">
        <v>768</v>
      </c>
      <c r="I37" s="3" t="s">
        <v>22</v>
      </c>
      <c r="J37" s="3" t="n">
        <v>117</v>
      </c>
      <c r="K37" s="3" t="n">
        <v>0.509</v>
      </c>
      <c r="L37" s="3" t="n">
        <v>17</v>
      </c>
      <c r="M37" s="3" t="s">
        <v>23</v>
      </c>
      <c r="N37" s="3" t="n">
        <v>14</v>
      </c>
      <c r="O37" s="3" t="n">
        <v>-9.7963</v>
      </c>
      <c r="P37" s="3" t="n">
        <v>159.596</v>
      </c>
      <c r="Q37" s="3" t="s">
        <v>138</v>
      </c>
      <c r="R37" s="3" t="s">
        <v>139</v>
      </c>
      <c r="S37" s="3" t="s">
        <v>140</v>
      </c>
    </row>
    <row r="38" customFormat="false" ht="13.8" hidden="false" customHeight="false" outlineLevel="0" collapsed="false">
      <c r="A38" s="3" t="s">
        <v>141</v>
      </c>
      <c r="B38" s="3" t="n">
        <v>6.9</v>
      </c>
      <c r="C38" s="3" t="s">
        <v>142</v>
      </c>
      <c r="D38" s="3" t="n">
        <v>4</v>
      </c>
      <c r="E38" s="3" t="n">
        <v>4</v>
      </c>
      <c r="F38" s="3" t="s">
        <v>21</v>
      </c>
      <c r="G38" s="3" t="n">
        <v>0</v>
      </c>
      <c r="H38" s="3" t="n">
        <v>735</v>
      </c>
      <c r="I38" s="3" t="s">
        <v>22</v>
      </c>
      <c r="J38" s="3" t="n">
        <v>99</v>
      </c>
      <c r="K38" s="3" t="n">
        <v>2.229</v>
      </c>
      <c r="L38" s="3" t="n">
        <v>34</v>
      </c>
      <c r="M38" s="3" t="s">
        <v>23</v>
      </c>
      <c r="N38" s="3" t="n">
        <v>25</v>
      </c>
      <c r="O38" s="3" t="n">
        <v>-4.9559</v>
      </c>
      <c r="P38" s="3" t="n">
        <v>100.738</v>
      </c>
      <c r="Q38" s="3" t="s">
        <v>143</v>
      </c>
      <c r="R38" s="3"/>
      <c r="S38" s="3"/>
    </row>
    <row r="39" customFormat="false" ht="13.8" hidden="false" customHeight="false" outlineLevel="0" collapsed="false">
      <c r="A39" s="3" t="s">
        <v>144</v>
      </c>
      <c r="B39" s="3" t="n">
        <v>7</v>
      </c>
      <c r="C39" s="3" t="s">
        <v>145</v>
      </c>
      <c r="D39" s="3" t="n">
        <v>3</v>
      </c>
      <c r="E39" s="3" t="n">
        <v>3</v>
      </c>
      <c r="F39" s="3" t="s">
        <v>21</v>
      </c>
      <c r="G39" s="3" t="n">
        <v>1</v>
      </c>
      <c r="H39" s="3" t="n">
        <v>755</v>
      </c>
      <c r="I39" s="3" t="s">
        <v>22</v>
      </c>
      <c r="J39" s="3" t="n">
        <v>147</v>
      </c>
      <c r="K39" s="3" t="n">
        <v>3.125</v>
      </c>
      <c r="L39" s="3" t="n">
        <v>18</v>
      </c>
      <c r="M39" s="3" t="s">
        <v>23</v>
      </c>
      <c r="N39" s="3" t="n">
        <v>579</v>
      </c>
      <c r="O39" s="3" t="n">
        <v>-20.0508</v>
      </c>
      <c r="P39" s="3" t="n">
        <v>-178.346</v>
      </c>
      <c r="Q39" s="3"/>
      <c r="R39" s="3" t="s">
        <v>139</v>
      </c>
      <c r="S39" s="3" t="s">
        <v>146</v>
      </c>
    </row>
    <row r="40" customFormat="false" ht="13.8" hidden="false" customHeight="false" outlineLevel="0" collapsed="false">
      <c r="A40" s="3" t="s">
        <v>147</v>
      </c>
      <c r="B40" s="3" t="n">
        <v>7.3</v>
      </c>
      <c r="C40" s="3" t="s">
        <v>148</v>
      </c>
      <c r="D40" s="3" t="n">
        <v>5</v>
      </c>
      <c r="E40" s="3" t="n">
        <v>5</v>
      </c>
      <c r="F40" s="3" t="s">
        <v>21</v>
      </c>
      <c r="G40" s="3" t="n">
        <v>1</v>
      </c>
      <c r="H40" s="3" t="n">
        <v>833</v>
      </c>
      <c r="I40" s="3" t="s">
        <v>22</v>
      </c>
      <c r="J40" s="3" t="n">
        <v>149</v>
      </c>
      <c r="K40" s="3" t="n">
        <v>1.865</v>
      </c>
      <c r="L40" s="3" t="n">
        <v>21</v>
      </c>
      <c r="M40" s="3" t="s">
        <v>23</v>
      </c>
      <c r="N40" s="3" t="n">
        <v>37</v>
      </c>
      <c r="O40" s="3" t="n">
        <v>-19.2918</v>
      </c>
      <c r="P40" s="3" t="n">
        <v>-172.129</v>
      </c>
      <c r="Q40" s="3" t="s">
        <v>149</v>
      </c>
      <c r="R40" s="3"/>
      <c r="S40" s="3"/>
    </row>
    <row r="41" customFormat="false" ht="13.8" hidden="false" customHeight="false" outlineLevel="0" collapsed="false">
      <c r="A41" s="3" t="s">
        <v>150</v>
      </c>
      <c r="B41" s="3" t="n">
        <v>6.6</v>
      </c>
      <c r="C41" s="3" t="s">
        <v>151</v>
      </c>
      <c r="D41" s="3" t="n">
        <v>0</v>
      </c>
      <c r="E41" s="3" t="n">
        <v>2</v>
      </c>
      <c r="F41" s="3" t="s">
        <v>21</v>
      </c>
      <c r="G41" s="3" t="n">
        <v>1</v>
      </c>
      <c r="H41" s="3" t="n">
        <v>670</v>
      </c>
      <c r="I41" s="3" t="s">
        <v>22</v>
      </c>
      <c r="J41" s="3" t="n">
        <v>131</v>
      </c>
      <c r="K41" s="3" t="n">
        <v>4.998</v>
      </c>
      <c r="L41" s="3" t="n">
        <v>27</v>
      </c>
      <c r="M41" s="3" t="s">
        <v>23</v>
      </c>
      <c r="N41" s="3" t="n">
        <v>624.464</v>
      </c>
      <c r="O41" s="3" t="n">
        <v>-25.5948</v>
      </c>
      <c r="P41" s="3" t="n">
        <v>178.278</v>
      </c>
      <c r="Q41" s="3"/>
      <c r="R41" s="3"/>
      <c r="S41" s="3"/>
    </row>
    <row r="42" customFormat="false" ht="13.8" hidden="false" customHeight="false" outlineLevel="0" collapsed="false">
      <c r="A42" s="3" t="s">
        <v>152</v>
      </c>
      <c r="B42" s="3" t="n">
        <v>7</v>
      </c>
      <c r="C42" s="3" t="s">
        <v>153</v>
      </c>
      <c r="D42" s="3" t="n">
        <v>4</v>
      </c>
      <c r="E42" s="3" t="n">
        <v>3</v>
      </c>
      <c r="F42" s="3" t="s">
        <v>21</v>
      </c>
      <c r="G42" s="3" t="n">
        <v>1</v>
      </c>
      <c r="H42" s="3" t="n">
        <v>755</v>
      </c>
      <c r="I42" s="3" t="s">
        <v>22</v>
      </c>
      <c r="J42" s="3" t="n">
        <v>142</v>
      </c>
      <c r="K42" s="3" t="n">
        <v>4.578</v>
      </c>
      <c r="L42" s="3" t="n">
        <v>26</v>
      </c>
      <c r="M42" s="3" t="s">
        <v>154</v>
      </c>
      <c r="N42" s="3" t="n">
        <v>660</v>
      </c>
      <c r="O42" s="3" t="n">
        <v>-26.0442</v>
      </c>
      <c r="P42" s="3" t="n">
        <v>178.381</v>
      </c>
      <c r="Q42" s="3" t="s">
        <v>50</v>
      </c>
      <c r="R42" s="3"/>
      <c r="S42" s="3"/>
    </row>
    <row r="43" customFormat="false" ht="13.8" hidden="false" customHeight="false" outlineLevel="0" collapsed="false">
      <c r="A43" s="3" t="s">
        <v>155</v>
      </c>
      <c r="B43" s="3" t="n">
        <v>6.8</v>
      </c>
      <c r="C43" s="3" t="s">
        <v>156</v>
      </c>
      <c r="D43" s="3" t="n">
        <v>1</v>
      </c>
      <c r="E43" s="3" t="n">
        <v>3</v>
      </c>
      <c r="F43" s="3" t="s">
        <v>21</v>
      </c>
      <c r="G43" s="3" t="n">
        <v>1</v>
      </c>
      <c r="H43" s="3" t="n">
        <v>711</v>
      </c>
      <c r="I43" s="3" t="s">
        <v>22</v>
      </c>
      <c r="J43" s="3" t="n">
        <v>136</v>
      </c>
      <c r="K43" s="3" t="n">
        <v>4.678</v>
      </c>
      <c r="L43" s="3" t="n">
        <v>22</v>
      </c>
      <c r="M43" s="3" t="s">
        <v>23</v>
      </c>
      <c r="N43" s="3" t="n">
        <v>630.379</v>
      </c>
      <c r="O43" s="3" t="n">
        <v>-25.9678</v>
      </c>
      <c r="P43" s="3" t="n">
        <v>178.363</v>
      </c>
      <c r="Q43" s="3" t="s">
        <v>50</v>
      </c>
      <c r="R43" s="3"/>
      <c r="S43" s="3"/>
    </row>
    <row r="44" customFormat="false" ht="13.8" hidden="false" customHeight="false" outlineLevel="0" collapsed="false">
      <c r="A44" s="3" t="s">
        <v>157</v>
      </c>
      <c r="B44" s="3" t="n">
        <v>6.7</v>
      </c>
      <c r="C44" s="3" t="s">
        <v>158</v>
      </c>
      <c r="D44" s="3" t="n">
        <v>7</v>
      </c>
      <c r="E44" s="3" t="n">
        <v>6</v>
      </c>
      <c r="F44" s="3" t="s">
        <v>21</v>
      </c>
      <c r="G44" s="3" t="n">
        <v>1</v>
      </c>
      <c r="H44" s="3" t="n">
        <v>797</v>
      </c>
      <c r="I44" s="3" t="s">
        <v>22</v>
      </c>
      <c r="J44" s="3" t="n">
        <v>145</v>
      </c>
      <c r="K44" s="3" t="n">
        <v>1.151</v>
      </c>
      <c r="L44" s="3" t="n">
        <v>37</v>
      </c>
      <c r="M44" s="3" t="s">
        <v>23</v>
      </c>
      <c r="N44" s="3" t="n">
        <v>20</v>
      </c>
      <c r="O44" s="3" t="n">
        <v>7.6712</v>
      </c>
      <c r="P44" s="3" t="n">
        <v>-82.3396</v>
      </c>
      <c r="Q44" s="3" t="s">
        <v>159</v>
      </c>
      <c r="R44" s="3"/>
      <c r="S44" s="3" t="s">
        <v>160</v>
      </c>
    </row>
    <row r="45" customFormat="false" ht="13.8" hidden="false" customHeight="false" outlineLevel="0" collapsed="false">
      <c r="A45" s="3" t="s">
        <v>161</v>
      </c>
      <c r="B45" s="3" t="n">
        <v>6.8</v>
      </c>
      <c r="C45" s="3" t="s">
        <v>162</v>
      </c>
      <c r="D45" s="3" t="n">
        <v>8</v>
      </c>
      <c r="E45" s="3" t="n">
        <v>7</v>
      </c>
      <c r="F45" s="3" t="s">
        <v>28</v>
      </c>
      <c r="G45" s="3" t="n">
        <v>1</v>
      </c>
      <c r="H45" s="3" t="n">
        <v>1179</v>
      </c>
      <c r="I45" s="3" t="s">
        <v>22</v>
      </c>
      <c r="J45" s="3" t="n">
        <v>175</v>
      </c>
      <c r="K45" s="3" t="n">
        <v>2.137</v>
      </c>
      <c r="L45" s="3" t="n">
        <v>92</v>
      </c>
      <c r="M45" s="3" t="s">
        <v>23</v>
      </c>
      <c r="N45" s="3" t="n">
        <v>20</v>
      </c>
      <c r="O45" s="3" t="n">
        <v>18.33</v>
      </c>
      <c r="P45" s="3" t="n">
        <v>-102.913</v>
      </c>
      <c r="Q45" s="3" t="s">
        <v>163</v>
      </c>
      <c r="R45" s="3" t="s">
        <v>164</v>
      </c>
      <c r="S45" s="3" t="s">
        <v>165</v>
      </c>
    </row>
    <row r="46" customFormat="false" ht="13.8" hidden="false" customHeight="false" outlineLevel="0" collapsed="false">
      <c r="A46" s="3" t="s">
        <v>166</v>
      </c>
      <c r="B46" s="3" t="n">
        <v>7.6</v>
      </c>
      <c r="C46" s="3" t="s">
        <v>167</v>
      </c>
      <c r="D46" s="3" t="n">
        <v>9</v>
      </c>
      <c r="E46" s="3" t="n">
        <v>8</v>
      </c>
      <c r="F46" s="3" t="s">
        <v>28</v>
      </c>
      <c r="G46" s="3" t="n">
        <v>1</v>
      </c>
      <c r="H46" s="3" t="n">
        <v>1799</v>
      </c>
      <c r="I46" s="3" t="s">
        <v>22</v>
      </c>
      <c r="J46" s="3" t="n">
        <v>271</v>
      </c>
      <c r="K46" s="3" t="n">
        <v>1.153</v>
      </c>
      <c r="L46" s="3" t="n">
        <v>69</v>
      </c>
      <c r="M46" s="3" t="s">
        <v>23</v>
      </c>
      <c r="N46" s="3" t="n">
        <v>26.943</v>
      </c>
      <c r="O46" s="3" t="n">
        <v>18.3667</v>
      </c>
      <c r="P46" s="3" t="n">
        <v>-103.252</v>
      </c>
      <c r="Q46" s="3" t="s">
        <v>163</v>
      </c>
      <c r="R46" s="3" t="s">
        <v>164</v>
      </c>
      <c r="S46" s="3" t="s">
        <v>165</v>
      </c>
    </row>
    <row r="47" customFormat="false" ht="13.8" hidden="false" customHeight="false" outlineLevel="0" collapsed="false">
      <c r="A47" s="3" t="s">
        <v>168</v>
      </c>
      <c r="B47" s="3" t="n">
        <v>6.9</v>
      </c>
      <c r="C47" s="3" t="s">
        <v>169</v>
      </c>
      <c r="D47" s="3" t="n">
        <v>9</v>
      </c>
      <c r="E47" s="3" t="n">
        <v>9</v>
      </c>
      <c r="F47" s="3" t="s">
        <v>28</v>
      </c>
      <c r="G47" s="3" t="n">
        <v>1</v>
      </c>
      <c r="H47" s="3" t="n">
        <v>887</v>
      </c>
      <c r="I47" s="3" t="s">
        <v>22</v>
      </c>
      <c r="J47" s="3" t="n">
        <v>215</v>
      </c>
      <c r="K47" s="3" t="n">
        <v>0.401</v>
      </c>
      <c r="L47" s="3" t="n">
        <v>34</v>
      </c>
      <c r="M47" s="3" t="s">
        <v>23</v>
      </c>
      <c r="N47" s="3" t="n">
        <v>10</v>
      </c>
      <c r="O47" s="3" t="n">
        <v>23.1444</v>
      </c>
      <c r="P47" s="3" t="n">
        <v>121.307</v>
      </c>
      <c r="Q47" s="3" t="s">
        <v>170</v>
      </c>
      <c r="R47" s="3" t="s">
        <v>80</v>
      </c>
      <c r="S47" s="3" t="s">
        <v>171</v>
      </c>
    </row>
    <row r="48" customFormat="false" ht="13.8" hidden="false" customHeight="false" outlineLevel="0" collapsed="false">
      <c r="A48" s="3" t="s">
        <v>172</v>
      </c>
      <c r="B48" s="3" t="n">
        <v>6.5</v>
      </c>
      <c r="C48" s="3" t="s">
        <v>173</v>
      </c>
      <c r="D48" s="3" t="n">
        <v>7</v>
      </c>
      <c r="E48" s="3" t="n">
        <v>7</v>
      </c>
      <c r="F48" s="3" t="s">
        <v>21</v>
      </c>
      <c r="G48" s="3" t="n">
        <v>1</v>
      </c>
      <c r="H48" s="3" t="n">
        <v>756</v>
      </c>
      <c r="I48" s="3" t="s">
        <v>22</v>
      </c>
      <c r="J48" s="3" t="n">
        <v>178</v>
      </c>
      <c r="K48" s="3" t="n">
        <v>0.43</v>
      </c>
      <c r="L48" s="3" t="n">
        <v>54</v>
      </c>
      <c r="M48" s="3" t="s">
        <v>23</v>
      </c>
      <c r="N48" s="3" t="n">
        <v>10</v>
      </c>
      <c r="O48" s="3" t="n">
        <v>23.029</v>
      </c>
      <c r="P48" s="3" t="n">
        <v>121.348</v>
      </c>
      <c r="Q48" s="3" t="s">
        <v>174</v>
      </c>
      <c r="R48" s="3" t="s">
        <v>80</v>
      </c>
      <c r="S48" s="3" t="s">
        <v>171</v>
      </c>
    </row>
    <row r="49" customFormat="false" ht="13.8" hidden="false" customHeight="false" outlineLevel="0" collapsed="false">
      <c r="A49" s="3" t="s">
        <v>175</v>
      </c>
      <c r="B49" s="3" t="n">
        <v>7</v>
      </c>
      <c r="C49" s="3" t="s">
        <v>176</v>
      </c>
      <c r="D49" s="3" t="n">
        <v>7</v>
      </c>
      <c r="E49" s="3" t="n">
        <v>5</v>
      </c>
      <c r="F49" s="3" t="s">
        <v>21</v>
      </c>
      <c r="G49" s="3" t="n">
        <v>1</v>
      </c>
      <c r="H49" s="3" t="n">
        <v>761</v>
      </c>
      <c r="I49" s="3" t="s">
        <v>22</v>
      </c>
      <c r="J49" s="3" t="n">
        <v>192</v>
      </c>
      <c r="K49" s="3" t="n">
        <v>2.977</v>
      </c>
      <c r="L49" s="3" t="n">
        <v>45</v>
      </c>
      <c r="M49" s="3" t="s">
        <v>23</v>
      </c>
      <c r="N49" s="3" t="n">
        <v>137</v>
      </c>
      <c r="O49" s="3" t="n">
        <v>-21.2077</v>
      </c>
      <c r="P49" s="3" t="n">
        <v>170.239</v>
      </c>
      <c r="Q49" s="3" t="s">
        <v>177</v>
      </c>
      <c r="R49" s="3"/>
      <c r="S49" s="3"/>
    </row>
    <row r="50" customFormat="false" ht="13.8" hidden="false" customHeight="false" outlineLevel="0" collapsed="false">
      <c r="A50" s="3" t="s">
        <v>178</v>
      </c>
      <c r="B50" s="3" t="n">
        <v>7.6</v>
      </c>
      <c r="C50" s="3" t="s">
        <v>179</v>
      </c>
      <c r="D50" s="3" t="n">
        <v>8</v>
      </c>
      <c r="E50" s="3" t="n">
        <v>8</v>
      </c>
      <c r="F50" s="3" t="s">
        <v>28</v>
      </c>
      <c r="G50" s="3" t="n">
        <v>1</v>
      </c>
      <c r="H50" s="3" t="n">
        <v>965</v>
      </c>
      <c r="I50" s="3" t="s">
        <v>22</v>
      </c>
      <c r="J50" s="3" t="n">
        <v>272</v>
      </c>
      <c r="K50" s="3" t="n">
        <v>3.158</v>
      </c>
      <c r="L50" s="3" t="n">
        <v>12</v>
      </c>
      <c r="M50" s="3" t="s">
        <v>23</v>
      </c>
      <c r="N50" s="3" t="n">
        <v>116</v>
      </c>
      <c r="O50" s="3" t="n">
        <v>-6.2237</v>
      </c>
      <c r="P50" s="3" t="n">
        <v>146.471</v>
      </c>
      <c r="Q50" s="3" t="s">
        <v>180</v>
      </c>
      <c r="R50" s="3" t="s">
        <v>139</v>
      </c>
      <c r="S50" s="3" t="s">
        <v>85</v>
      </c>
    </row>
    <row r="51" customFormat="false" ht="13.8" hidden="false" customHeight="false" outlineLevel="0" collapsed="false">
      <c r="A51" s="3" t="s">
        <v>181</v>
      </c>
      <c r="B51" s="3" t="n">
        <v>6.6</v>
      </c>
      <c r="C51" s="3" t="s">
        <v>182</v>
      </c>
      <c r="D51" s="3" t="n">
        <v>9</v>
      </c>
      <c r="E51" s="3" t="n">
        <v>8</v>
      </c>
      <c r="F51" s="3" t="s">
        <v>95</v>
      </c>
      <c r="G51" s="3" t="n">
        <v>0</v>
      </c>
      <c r="H51" s="3" t="n">
        <v>1043</v>
      </c>
      <c r="I51" s="3" t="s">
        <v>22</v>
      </c>
      <c r="J51" s="3" t="n">
        <v>141</v>
      </c>
      <c r="K51" s="3" t="n">
        <v>8.454</v>
      </c>
      <c r="L51" s="3" t="n">
        <v>34</v>
      </c>
      <c r="M51" s="3" t="s">
        <v>23</v>
      </c>
      <c r="N51" s="3" t="n">
        <v>12</v>
      </c>
      <c r="O51" s="3" t="n">
        <v>29.7263</v>
      </c>
      <c r="P51" s="3" t="n">
        <v>102.279</v>
      </c>
      <c r="Q51" s="3" t="s">
        <v>183</v>
      </c>
      <c r="R51" s="3" t="s">
        <v>80</v>
      </c>
      <c r="S51" s="3" t="s">
        <v>184</v>
      </c>
    </row>
    <row r="52" customFormat="false" ht="13.8" hidden="false" customHeight="false" outlineLevel="0" collapsed="false">
      <c r="A52" s="3" t="s">
        <v>185</v>
      </c>
      <c r="B52" s="3" t="n">
        <v>6.6</v>
      </c>
      <c r="C52" s="3" t="s">
        <v>186</v>
      </c>
      <c r="D52" s="3" t="n">
        <v>7</v>
      </c>
      <c r="E52" s="3" t="n">
        <v>6</v>
      </c>
      <c r="F52" s="3" t="s">
        <v>21</v>
      </c>
      <c r="G52" s="3" t="n">
        <v>1</v>
      </c>
      <c r="H52" s="3" t="n">
        <v>672</v>
      </c>
      <c r="I52" s="3" t="s">
        <v>22</v>
      </c>
      <c r="J52" s="3" t="n">
        <v>68</v>
      </c>
      <c r="K52" s="3" t="n">
        <v>5.293</v>
      </c>
      <c r="L52" s="3" t="n">
        <v>34</v>
      </c>
      <c r="M52" s="3" t="s">
        <v>23</v>
      </c>
      <c r="N52" s="3" t="n">
        <v>30</v>
      </c>
      <c r="O52" s="3" t="n">
        <v>-32.6922</v>
      </c>
      <c r="P52" s="3" t="n">
        <v>-178.959</v>
      </c>
      <c r="Q52" s="3" t="s">
        <v>187</v>
      </c>
      <c r="R52" s="3"/>
      <c r="S52" s="3"/>
    </row>
    <row r="53" customFormat="false" ht="13.8" hidden="false" customHeight="false" outlineLevel="0" collapsed="false">
      <c r="A53" s="3" t="s">
        <v>188</v>
      </c>
      <c r="B53" s="3" t="n">
        <v>7</v>
      </c>
      <c r="C53" s="3" t="s">
        <v>189</v>
      </c>
      <c r="D53" s="3" t="n">
        <v>9</v>
      </c>
      <c r="E53" s="3" t="n">
        <v>8</v>
      </c>
      <c r="F53" s="3" t="s">
        <v>28</v>
      </c>
      <c r="G53" s="3" t="n">
        <v>1</v>
      </c>
      <c r="H53" s="3" t="n">
        <v>1351</v>
      </c>
      <c r="I53" s="3" t="s">
        <v>22</v>
      </c>
      <c r="J53" s="3" t="n">
        <v>152</v>
      </c>
      <c r="K53" s="3" t="n">
        <v>5.276</v>
      </c>
      <c r="L53" s="3" t="n">
        <v>22</v>
      </c>
      <c r="M53" s="3" t="s">
        <v>23</v>
      </c>
      <c r="N53" s="3" t="n">
        <v>33.729</v>
      </c>
      <c r="O53" s="3" t="n">
        <v>17.5978</v>
      </c>
      <c r="P53" s="3" t="n">
        <v>120.809</v>
      </c>
      <c r="Q53" s="3" t="s">
        <v>190</v>
      </c>
      <c r="R53" s="3" t="s">
        <v>80</v>
      </c>
      <c r="S53" s="3" t="s">
        <v>191</v>
      </c>
    </row>
    <row r="54" customFormat="false" ht="13.8" hidden="false" customHeight="false" outlineLevel="0" collapsed="false">
      <c r="A54" s="3" t="s">
        <v>192</v>
      </c>
      <c r="B54" s="3" t="n">
        <v>6.5</v>
      </c>
      <c r="C54" s="3" t="s">
        <v>193</v>
      </c>
      <c r="D54" s="3" t="n">
        <v>3</v>
      </c>
      <c r="E54" s="3" t="n">
        <v>2</v>
      </c>
      <c r="F54" s="3" t="s">
        <v>21</v>
      </c>
      <c r="G54" s="3" t="n">
        <v>0</v>
      </c>
      <c r="H54" s="3" t="n">
        <v>653</v>
      </c>
      <c r="I54" s="3" t="s">
        <v>22</v>
      </c>
      <c r="J54" s="3" t="n">
        <v>236</v>
      </c>
      <c r="K54" s="3" t="n">
        <v>1.999</v>
      </c>
      <c r="L54" s="3" t="n">
        <v>31</v>
      </c>
      <c r="M54" s="3" t="s">
        <v>23</v>
      </c>
      <c r="N54" s="3" t="n">
        <v>622.73</v>
      </c>
      <c r="O54" s="3" t="n">
        <v>-9.0618</v>
      </c>
      <c r="P54" s="3" t="n">
        <v>-71.1647</v>
      </c>
      <c r="Q54" s="3" t="s">
        <v>194</v>
      </c>
      <c r="R54" s="3" t="s">
        <v>33</v>
      </c>
      <c r="S54" s="3" t="s">
        <v>195</v>
      </c>
    </row>
    <row r="55" customFormat="false" ht="13.8" hidden="false" customHeight="false" outlineLevel="0" collapsed="false">
      <c r="A55" s="3" t="s">
        <v>196</v>
      </c>
      <c r="B55" s="3" t="n">
        <v>7.2</v>
      </c>
      <c r="C55" s="3" t="s">
        <v>197</v>
      </c>
      <c r="D55" s="3" t="n">
        <v>7</v>
      </c>
      <c r="E55" s="3" t="n">
        <v>5</v>
      </c>
      <c r="F55" s="3" t="s">
        <v>21</v>
      </c>
      <c r="G55" s="3" t="n">
        <v>1</v>
      </c>
      <c r="H55" s="3" t="n">
        <v>876</v>
      </c>
      <c r="I55" s="3" t="s">
        <v>22</v>
      </c>
      <c r="J55" s="3" t="n">
        <v>144</v>
      </c>
      <c r="K55" s="3" t="n">
        <v>2.494</v>
      </c>
      <c r="L55" s="3" t="n">
        <v>40</v>
      </c>
      <c r="M55" s="3" t="s">
        <v>23</v>
      </c>
      <c r="N55" s="3" t="n">
        <v>236</v>
      </c>
      <c r="O55" s="3" t="n">
        <v>-14.8628</v>
      </c>
      <c r="P55" s="3" t="n">
        <v>-70.3081</v>
      </c>
      <c r="Q55" s="3" t="s">
        <v>198</v>
      </c>
      <c r="R55" s="3" t="s">
        <v>33</v>
      </c>
      <c r="S55" s="3" t="s">
        <v>199</v>
      </c>
    </row>
    <row r="56" customFormat="false" ht="13.8" hidden="false" customHeight="false" outlineLevel="0" collapsed="false">
      <c r="A56" s="3" t="s">
        <v>200</v>
      </c>
      <c r="B56" s="3" t="n">
        <v>6.9</v>
      </c>
      <c r="C56" s="3" t="s">
        <v>201</v>
      </c>
      <c r="D56" s="3" t="n">
        <v>2</v>
      </c>
      <c r="E56" s="3" t="n">
        <v>5</v>
      </c>
      <c r="F56" s="3" t="s">
        <v>21</v>
      </c>
      <c r="G56" s="3" t="n">
        <v>1</v>
      </c>
      <c r="H56" s="3" t="n">
        <v>733</v>
      </c>
      <c r="I56" s="3" t="s">
        <v>22</v>
      </c>
      <c r="J56" s="3" t="n">
        <v>127</v>
      </c>
      <c r="K56" s="3" t="n">
        <v>0.371</v>
      </c>
      <c r="L56" s="3" t="n">
        <v>45</v>
      </c>
      <c r="M56" s="3" t="s">
        <v>23</v>
      </c>
      <c r="N56" s="3" t="n">
        <v>10</v>
      </c>
      <c r="O56" s="3" t="n">
        <v>-54.1325</v>
      </c>
      <c r="P56" s="3" t="n">
        <v>159.027</v>
      </c>
      <c r="Q56" s="3"/>
      <c r="R56" s="3"/>
      <c r="S56" s="3"/>
    </row>
    <row r="57" customFormat="false" ht="13.8" hidden="false" customHeight="false" outlineLevel="0" collapsed="false">
      <c r="A57" s="3" t="s">
        <v>202</v>
      </c>
      <c r="B57" s="3" t="n">
        <v>6.8</v>
      </c>
      <c r="C57" s="3" t="s">
        <v>203</v>
      </c>
      <c r="D57" s="3" t="n">
        <v>6</v>
      </c>
      <c r="E57" s="3" t="n">
        <v>5</v>
      </c>
      <c r="F57" s="3" t="s">
        <v>21</v>
      </c>
      <c r="G57" s="3" t="n">
        <v>1</v>
      </c>
      <c r="H57" s="3" t="n">
        <v>762</v>
      </c>
      <c r="I57" s="3" t="s">
        <v>22</v>
      </c>
      <c r="J57" s="3" t="n">
        <v>162</v>
      </c>
      <c r="K57" s="3" t="n">
        <v>1.505</v>
      </c>
      <c r="L57" s="3" t="n">
        <v>30</v>
      </c>
      <c r="M57" s="3" t="s">
        <v>23</v>
      </c>
      <c r="N57" s="3" t="n">
        <v>220</v>
      </c>
      <c r="O57" s="3" t="n">
        <v>-23.6141</v>
      </c>
      <c r="P57" s="3" t="n">
        <v>-66.7236</v>
      </c>
      <c r="Q57" s="3" t="s">
        <v>88</v>
      </c>
      <c r="R57" s="3" t="s">
        <v>33</v>
      </c>
      <c r="S57" s="3" t="s">
        <v>34</v>
      </c>
    </row>
    <row r="58" customFormat="false" ht="13.8" hidden="false" customHeight="false" outlineLevel="0" collapsed="false">
      <c r="A58" s="3" t="s">
        <v>204</v>
      </c>
      <c r="B58" s="3" t="n">
        <v>6.6</v>
      </c>
      <c r="C58" s="3" t="s">
        <v>205</v>
      </c>
      <c r="D58" s="3" t="n">
        <v>6</v>
      </c>
      <c r="E58" s="3" t="n">
        <v>5</v>
      </c>
      <c r="F58" s="3" t="s">
        <v>21</v>
      </c>
      <c r="G58" s="3" t="n">
        <v>1</v>
      </c>
      <c r="H58" s="3" t="n">
        <v>762</v>
      </c>
      <c r="I58" s="3" t="s">
        <v>22</v>
      </c>
      <c r="J58" s="3" t="n">
        <v>0</v>
      </c>
      <c r="K58" s="3" t="n">
        <v>0.914</v>
      </c>
      <c r="L58" s="3" t="n">
        <v>94</v>
      </c>
      <c r="M58" s="3" t="s">
        <v>23</v>
      </c>
      <c r="N58" s="3" t="n">
        <v>27</v>
      </c>
      <c r="O58" s="3" t="n">
        <v>11.5538</v>
      </c>
      <c r="P58" s="3" t="n">
        <v>-86.9919</v>
      </c>
      <c r="Q58" s="3" t="s">
        <v>206</v>
      </c>
      <c r="R58" s="3"/>
      <c r="S58" s="3"/>
    </row>
    <row r="59" customFormat="false" ht="13.8" hidden="false" customHeight="false" outlineLevel="0" collapsed="false">
      <c r="A59" s="3" t="s">
        <v>207</v>
      </c>
      <c r="B59" s="3" t="n">
        <v>7</v>
      </c>
      <c r="C59" s="3" t="s">
        <v>208</v>
      </c>
      <c r="D59" s="3" t="n">
        <v>6</v>
      </c>
      <c r="E59" s="3" t="n">
        <v>4</v>
      </c>
      <c r="F59" s="3" t="s">
        <v>21</v>
      </c>
      <c r="G59" s="3" t="n">
        <v>1</v>
      </c>
      <c r="H59" s="3" t="n">
        <v>763</v>
      </c>
      <c r="I59" s="3" t="s">
        <v>22</v>
      </c>
      <c r="J59" s="3" t="n">
        <v>0</v>
      </c>
      <c r="K59" s="3" t="n">
        <v>2.705</v>
      </c>
      <c r="L59" s="3" t="n">
        <v>26</v>
      </c>
      <c r="M59" s="3" t="s">
        <v>23</v>
      </c>
      <c r="N59" s="3" t="n">
        <v>10</v>
      </c>
      <c r="O59" s="3" t="n">
        <v>-22.5732</v>
      </c>
      <c r="P59" s="3" t="n">
        <v>170.349</v>
      </c>
      <c r="Q59" s="3" t="s">
        <v>57</v>
      </c>
      <c r="R59" s="3"/>
      <c r="S59" s="3"/>
    </row>
    <row r="60" customFormat="false" ht="13.8" hidden="false" customHeight="false" outlineLevel="0" collapsed="false">
      <c r="A60" s="3" t="s">
        <v>209</v>
      </c>
      <c r="B60" s="3" t="n">
        <v>6.9</v>
      </c>
      <c r="C60" s="3" t="s">
        <v>210</v>
      </c>
      <c r="D60" s="3" t="n">
        <v>6</v>
      </c>
      <c r="E60" s="3" t="n">
        <v>4</v>
      </c>
      <c r="F60" s="3" t="s">
        <v>21</v>
      </c>
      <c r="G60" s="3" t="n">
        <v>1</v>
      </c>
      <c r="H60" s="3" t="n">
        <v>738</v>
      </c>
      <c r="I60" s="3" t="s">
        <v>22</v>
      </c>
      <c r="J60" s="3" t="n">
        <v>0</v>
      </c>
      <c r="K60" s="3" t="n">
        <v>2.697</v>
      </c>
      <c r="L60" s="3" t="n">
        <v>42</v>
      </c>
      <c r="M60" s="3" t="s">
        <v>23</v>
      </c>
      <c r="N60" s="3" t="n">
        <v>10</v>
      </c>
      <c r="O60" s="3" t="n">
        <v>-22.72</v>
      </c>
      <c r="P60" s="3" t="n">
        <v>170.277</v>
      </c>
      <c r="Q60" s="3" t="s">
        <v>211</v>
      </c>
      <c r="R60" s="3"/>
      <c r="S60" s="3"/>
    </row>
    <row r="61" customFormat="false" ht="13.8" hidden="false" customHeight="false" outlineLevel="0" collapsed="false">
      <c r="A61" s="3" t="s">
        <v>212</v>
      </c>
      <c r="B61" s="3" t="n">
        <v>6.7</v>
      </c>
      <c r="C61" s="3" t="s">
        <v>213</v>
      </c>
      <c r="D61" s="3" t="n">
        <v>8</v>
      </c>
      <c r="E61" s="3" t="n">
        <v>7</v>
      </c>
      <c r="F61" s="3" t="s">
        <v>21</v>
      </c>
      <c r="G61" s="3" t="n">
        <v>1</v>
      </c>
      <c r="H61" s="3" t="n">
        <v>806</v>
      </c>
      <c r="I61" s="3" t="s">
        <v>22</v>
      </c>
      <c r="J61" s="3" t="n">
        <v>0</v>
      </c>
      <c r="K61" s="3" t="n">
        <v>0.289</v>
      </c>
      <c r="L61" s="3" t="n">
        <v>32</v>
      </c>
      <c r="M61" s="3" t="s">
        <v>23</v>
      </c>
      <c r="N61" s="3" t="n">
        <v>24</v>
      </c>
      <c r="O61" s="3" t="n">
        <v>23.3421</v>
      </c>
      <c r="P61" s="3" t="n">
        <v>121.636</v>
      </c>
      <c r="Q61" s="3" t="s">
        <v>214</v>
      </c>
      <c r="R61" s="3" t="s">
        <v>80</v>
      </c>
      <c r="S61" s="3" t="s">
        <v>171</v>
      </c>
    </row>
    <row r="62" customFormat="false" ht="13.8" hidden="false" customHeight="false" outlineLevel="0" collapsed="false">
      <c r="A62" s="3" t="s">
        <v>215</v>
      </c>
      <c r="B62" s="3" t="n">
        <v>7.3</v>
      </c>
      <c r="C62" s="3" t="s">
        <v>216</v>
      </c>
      <c r="D62" s="3" t="n">
        <v>9</v>
      </c>
      <c r="E62" s="3" t="n">
        <v>8</v>
      </c>
      <c r="F62" s="3" t="s">
        <v>121</v>
      </c>
      <c r="G62" s="3" t="n">
        <v>1</v>
      </c>
      <c r="H62" s="3" t="n">
        <v>2397</v>
      </c>
      <c r="I62" s="3" t="s">
        <v>22</v>
      </c>
      <c r="J62" s="3" t="n">
        <v>0</v>
      </c>
      <c r="K62" s="3" t="n">
        <v>2.936</v>
      </c>
      <c r="L62" s="3" t="n">
        <v>29</v>
      </c>
      <c r="M62" s="3" t="s">
        <v>23</v>
      </c>
      <c r="N62" s="3" t="n">
        <v>41</v>
      </c>
      <c r="O62" s="3" t="n">
        <v>37.7015</v>
      </c>
      <c r="P62" s="3" t="n">
        <v>141.587</v>
      </c>
      <c r="Q62" s="3" t="s">
        <v>217</v>
      </c>
      <c r="R62" s="3"/>
      <c r="S62" s="3"/>
    </row>
    <row r="63" customFormat="false" ht="13.8" hidden="false" customHeight="false" outlineLevel="0" collapsed="false">
      <c r="A63" s="3" t="s">
        <v>218</v>
      </c>
      <c r="B63" s="3" t="n">
        <v>6.7</v>
      </c>
      <c r="C63" s="3" t="s">
        <v>219</v>
      </c>
      <c r="D63" s="3" t="n">
        <v>9</v>
      </c>
      <c r="E63" s="3" t="n">
        <v>6</v>
      </c>
      <c r="F63" s="3" t="s">
        <v>21</v>
      </c>
      <c r="G63" s="3" t="n">
        <v>0</v>
      </c>
      <c r="H63" s="3" t="n">
        <v>708</v>
      </c>
      <c r="I63" s="3" t="s">
        <v>22</v>
      </c>
      <c r="J63" s="3" t="n">
        <v>0</v>
      </c>
      <c r="K63" s="3" t="n">
        <v>2.188</v>
      </c>
      <c r="L63" s="3" t="n">
        <v>43</v>
      </c>
      <c r="M63" s="3" t="s">
        <v>23</v>
      </c>
      <c r="N63" s="3" t="n">
        <v>28</v>
      </c>
      <c r="O63" s="3" t="n">
        <v>-0.6831</v>
      </c>
      <c r="P63" s="3" t="n">
        <v>98.6034</v>
      </c>
      <c r="Q63" s="3" t="s">
        <v>220</v>
      </c>
      <c r="R63" s="3" t="s">
        <v>80</v>
      </c>
      <c r="S63" s="3" t="s">
        <v>68</v>
      </c>
    </row>
    <row r="64" customFormat="false" ht="13.8" hidden="false" customHeight="false" outlineLevel="0" collapsed="false">
      <c r="A64" s="3" t="s">
        <v>221</v>
      </c>
      <c r="B64" s="3" t="n">
        <v>6.6</v>
      </c>
      <c r="C64" s="3" t="s">
        <v>222</v>
      </c>
      <c r="D64" s="3" t="n">
        <v>2</v>
      </c>
      <c r="E64" s="3" t="n">
        <v>7</v>
      </c>
      <c r="F64" s="3" t="s">
        <v>21</v>
      </c>
      <c r="G64" s="3" t="n">
        <v>1</v>
      </c>
      <c r="H64" s="3" t="n">
        <v>670</v>
      </c>
      <c r="I64" s="3" t="s">
        <v>22</v>
      </c>
      <c r="J64" s="3" t="n">
        <v>0</v>
      </c>
      <c r="K64" s="3" t="n">
        <v>0.827</v>
      </c>
      <c r="L64" s="3" t="n">
        <v>46</v>
      </c>
      <c r="M64" s="3" t="s">
        <v>23</v>
      </c>
      <c r="N64" s="3" t="n">
        <v>24</v>
      </c>
      <c r="O64" s="3" t="n">
        <v>-30.0528</v>
      </c>
      <c r="P64" s="3" t="n">
        <v>-177.74</v>
      </c>
      <c r="Q64" s="3" t="s">
        <v>71</v>
      </c>
      <c r="R64" s="3"/>
      <c r="S64" s="3"/>
    </row>
    <row r="65" customFormat="false" ht="13.8" hidden="false" customHeight="false" outlineLevel="0" collapsed="false">
      <c r="A65" s="3" t="s">
        <v>155</v>
      </c>
      <c r="B65" s="3" t="n">
        <v>6.8</v>
      </c>
      <c r="C65" s="3" t="s">
        <v>223</v>
      </c>
      <c r="D65" s="3" t="n">
        <v>2</v>
      </c>
      <c r="E65" s="3" t="n">
        <v>3</v>
      </c>
      <c r="F65" s="3" t="s">
        <v>21</v>
      </c>
      <c r="G65" s="3" t="n">
        <v>1</v>
      </c>
      <c r="H65" s="3" t="n">
        <v>712</v>
      </c>
      <c r="I65" s="3" t="s">
        <v>22</v>
      </c>
      <c r="J65" s="3" t="n">
        <v>0</v>
      </c>
      <c r="K65" s="3" t="n">
        <v>5.78</v>
      </c>
      <c r="L65" s="3" t="n">
        <v>12</v>
      </c>
      <c r="M65" s="3" t="s">
        <v>23</v>
      </c>
      <c r="N65" s="3" t="n">
        <v>535</v>
      </c>
      <c r="O65" s="3" t="n">
        <v>-23.7852</v>
      </c>
      <c r="P65" s="3" t="n">
        <v>-179.968</v>
      </c>
      <c r="Q65" s="3" t="s">
        <v>50</v>
      </c>
      <c r="R65" s="3"/>
      <c r="S65" s="3"/>
    </row>
    <row r="66" customFormat="false" ht="13.8" hidden="false" customHeight="false" outlineLevel="0" collapsed="false">
      <c r="A66" s="3" t="s">
        <v>224</v>
      </c>
      <c r="B66" s="3" t="n">
        <v>6.5</v>
      </c>
      <c r="C66" s="3" t="s">
        <v>225</v>
      </c>
      <c r="D66" s="3" t="n">
        <v>8</v>
      </c>
      <c r="E66" s="3" t="n">
        <v>6</v>
      </c>
      <c r="F66" s="3" t="s">
        <v>21</v>
      </c>
      <c r="G66" s="3" t="n">
        <v>0</v>
      </c>
      <c r="H66" s="3" t="n">
        <v>690</v>
      </c>
      <c r="I66" s="3" t="s">
        <v>22</v>
      </c>
      <c r="J66" s="3" t="n">
        <v>0</v>
      </c>
      <c r="K66" s="3" t="n">
        <v>3.026</v>
      </c>
      <c r="L66" s="3" t="n">
        <v>22</v>
      </c>
      <c r="M66" s="3" t="s">
        <v>23</v>
      </c>
      <c r="N66" s="3" t="n">
        <v>110</v>
      </c>
      <c r="O66" s="3" t="n">
        <v>-4.455</v>
      </c>
      <c r="P66" s="3" t="n">
        <v>-76.9395</v>
      </c>
      <c r="Q66" s="3" t="s">
        <v>226</v>
      </c>
      <c r="R66" s="3" t="s">
        <v>33</v>
      </c>
      <c r="S66" s="3" t="s">
        <v>199</v>
      </c>
    </row>
    <row r="67" customFormat="false" ht="13.8" hidden="false" customHeight="false" outlineLevel="0" collapsed="false">
      <c r="A67" s="3" t="s">
        <v>227</v>
      </c>
      <c r="B67" s="3" t="n">
        <v>6.5</v>
      </c>
      <c r="C67" s="3" t="s">
        <v>228</v>
      </c>
      <c r="D67" s="3" t="n">
        <v>7</v>
      </c>
      <c r="E67" s="3" t="n">
        <v>4</v>
      </c>
      <c r="F67" s="3" t="s">
        <v>21</v>
      </c>
      <c r="G67" s="3" t="n">
        <v>1</v>
      </c>
      <c r="H67" s="3" t="n">
        <v>651</v>
      </c>
      <c r="I67" s="3" t="s">
        <v>22</v>
      </c>
      <c r="J67" s="3" t="n">
        <v>0</v>
      </c>
      <c r="K67" s="3" t="n">
        <v>1.088</v>
      </c>
      <c r="L67" s="3" t="n">
        <v>57</v>
      </c>
      <c r="M67" s="3" t="s">
        <v>23</v>
      </c>
      <c r="N67" s="3" t="n">
        <v>8</v>
      </c>
      <c r="O67" s="3" t="n">
        <v>-29.535</v>
      </c>
      <c r="P67" s="3" t="n">
        <v>-176.729</v>
      </c>
      <c r="Q67" s="3" t="s">
        <v>99</v>
      </c>
      <c r="R67" s="3"/>
      <c r="S67" s="3"/>
    </row>
    <row r="68" customFormat="false" ht="13.8" hidden="false" customHeight="false" outlineLevel="0" collapsed="false">
      <c r="A68" s="3" t="s">
        <v>229</v>
      </c>
      <c r="B68" s="3" t="n">
        <v>6.6</v>
      </c>
      <c r="C68" s="3" t="s">
        <v>230</v>
      </c>
      <c r="D68" s="3" t="n">
        <v>8</v>
      </c>
      <c r="E68" s="3" t="n">
        <v>6</v>
      </c>
      <c r="F68" s="3" t="s">
        <v>21</v>
      </c>
      <c r="G68" s="3" t="n">
        <v>0</v>
      </c>
      <c r="H68" s="3" t="n">
        <v>785</v>
      </c>
      <c r="I68" s="3" t="s">
        <v>22</v>
      </c>
      <c r="J68" s="3" t="n">
        <v>0</v>
      </c>
      <c r="K68" s="3" t="n">
        <v>2.418</v>
      </c>
      <c r="L68" s="3" t="n">
        <v>22</v>
      </c>
      <c r="M68" s="3" t="s">
        <v>23</v>
      </c>
      <c r="N68" s="3" t="n">
        <v>33</v>
      </c>
      <c r="O68" s="3" t="n">
        <v>-6.9291</v>
      </c>
      <c r="P68" s="3" t="n">
        <v>105.251</v>
      </c>
      <c r="Q68" s="3" t="s">
        <v>231</v>
      </c>
      <c r="R68" s="3"/>
      <c r="S68" s="3" t="s">
        <v>68</v>
      </c>
    </row>
    <row r="69" customFormat="false" ht="13.8" hidden="false" customHeight="false" outlineLevel="0" collapsed="false">
      <c r="A69" s="3" t="s">
        <v>232</v>
      </c>
      <c r="B69" s="3" t="n">
        <v>6.5</v>
      </c>
      <c r="C69" s="3" t="s">
        <v>233</v>
      </c>
      <c r="D69" s="3" t="n">
        <v>0</v>
      </c>
      <c r="E69" s="3" t="n">
        <v>3</v>
      </c>
      <c r="F69" s="3"/>
      <c r="G69" s="3" t="n">
        <v>1</v>
      </c>
      <c r="H69" s="3" t="n">
        <v>650</v>
      </c>
      <c r="I69" s="3" t="s">
        <v>39</v>
      </c>
      <c r="J69" s="3" t="n">
        <v>97</v>
      </c>
      <c r="K69" s="3" t="n">
        <v>1.61607</v>
      </c>
      <c r="L69" s="3" t="n">
        <v>108</v>
      </c>
      <c r="M69" s="3" t="s">
        <v>40</v>
      </c>
      <c r="N69" s="3" t="n">
        <v>37</v>
      </c>
      <c r="O69" s="3" t="n">
        <v>52.502</v>
      </c>
      <c r="P69" s="3" t="n">
        <v>-168.08</v>
      </c>
      <c r="Q69" s="3" t="s">
        <v>234</v>
      </c>
      <c r="R69" s="3"/>
      <c r="S69" s="3"/>
    </row>
    <row r="70" customFormat="false" ht="13.8" hidden="false" customHeight="false" outlineLevel="0" collapsed="false">
      <c r="A70" s="3" t="s">
        <v>232</v>
      </c>
      <c r="B70" s="3" t="n">
        <v>6.5</v>
      </c>
      <c r="C70" s="3" t="s">
        <v>233</v>
      </c>
      <c r="D70" s="3" t="n">
        <v>0</v>
      </c>
      <c r="E70" s="3" t="n">
        <v>3</v>
      </c>
      <c r="F70" s="3"/>
      <c r="G70" s="3" t="n">
        <v>1</v>
      </c>
      <c r="H70" s="3" t="n">
        <v>650</v>
      </c>
      <c r="I70" s="3" t="s">
        <v>235</v>
      </c>
      <c r="J70" s="3" t="n">
        <v>23</v>
      </c>
      <c r="K70" s="3" t="n">
        <v>0</v>
      </c>
      <c r="L70" s="3" t="n">
        <v>208.8</v>
      </c>
      <c r="M70" s="3" t="s">
        <v>40</v>
      </c>
      <c r="N70" s="3" t="n">
        <v>37</v>
      </c>
      <c r="O70" s="3" t="n">
        <v>52.502</v>
      </c>
      <c r="P70" s="3" t="n">
        <v>-168.08</v>
      </c>
      <c r="Q70" s="3" t="s">
        <v>234</v>
      </c>
      <c r="R70" s="3"/>
      <c r="S70" s="3"/>
    </row>
    <row r="71" customFormat="false" ht="13.8" hidden="false" customHeight="false" outlineLevel="0" collapsed="false">
      <c r="A71" s="3" t="s">
        <v>236</v>
      </c>
      <c r="B71" s="3" t="n">
        <v>6.6</v>
      </c>
      <c r="C71" s="3" t="s">
        <v>233</v>
      </c>
      <c r="D71" s="3" t="n">
        <v>8</v>
      </c>
      <c r="E71" s="3" t="n">
        <v>5</v>
      </c>
      <c r="F71" s="3" t="s">
        <v>21</v>
      </c>
      <c r="G71" s="3" t="n">
        <v>1</v>
      </c>
      <c r="H71" s="3" t="n">
        <v>674</v>
      </c>
      <c r="I71" s="3" t="s">
        <v>22</v>
      </c>
      <c r="J71" s="3" t="n">
        <v>0</v>
      </c>
      <c r="K71" s="3" t="n">
        <v>0.507</v>
      </c>
      <c r="L71" s="3" t="n">
        <v>49</v>
      </c>
      <c r="M71" s="3" t="s">
        <v>23</v>
      </c>
      <c r="N71" s="3" t="n">
        <v>19</v>
      </c>
      <c r="O71" s="3" t="n">
        <v>52.6252</v>
      </c>
      <c r="P71" s="3" t="n">
        <v>-168.15</v>
      </c>
      <c r="Q71" s="3" t="s">
        <v>234</v>
      </c>
      <c r="R71" s="3"/>
      <c r="S71" s="3"/>
    </row>
    <row r="72" customFormat="false" ht="13.8" hidden="false" customHeight="false" outlineLevel="0" collapsed="false">
      <c r="A72" s="3" t="s">
        <v>237</v>
      </c>
      <c r="B72" s="3" t="n">
        <v>6.7</v>
      </c>
      <c r="C72" s="3" t="s">
        <v>238</v>
      </c>
      <c r="D72" s="3" t="n">
        <v>0</v>
      </c>
      <c r="E72" s="3" t="n">
        <v>4</v>
      </c>
      <c r="F72" s="3"/>
      <c r="G72" s="3" t="n">
        <v>1</v>
      </c>
      <c r="H72" s="3" t="n">
        <v>691</v>
      </c>
      <c r="I72" s="3" t="s">
        <v>39</v>
      </c>
      <c r="J72" s="3" t="n">
        <v>50</v>
      </c>
      <c r="K72" s="3" t="n">
        <v>0.936943</v>
      </c>
      <c r="L72" s="3" t="n">
        <v>126</v>
      </c>
      <c r="M72" s="3" t="s">
        <v>40</v>
      </c>
      <c r="N72" s="3" t="n">
        <v>33</v>
      </c>
      <c r="O72" s="3" t="n">
        <v>52.48</v>
      </c>
      <c r="P72" s="3" t="n">
        <v>-167.736</v>
      </c>
      <c r="Q72" s="3" t="s">
        <v>234</v>
      </c>
      <c r="R72" s="3"/>
      <c r="S72" s="3"/>
    </row>
    <row r="73" customFormat="false" ht="13.8" hidden="false" customHeight="false" outlineLevel="0" collapsed="false">
      <c r="A73" s="3" t="s">
        <v>237</v>
      </c>
      <c r="B73" s="3" t="n">
        <v>6.7</v>
      </c>
      <c r="C73" s="3" t="s">
        <v>238</v>
      </c>
      <c r="D73" s="3" t="n">
        <v>0</v>
      </c>
      <c r="E73" s="3" t="n">
        <v>4</v>
      </c>
      <c r="F73" s="3"/>
      <c r="G73" s="3" t="n">
        <v>1</v>
      </c>
      <c r="H73" s="3" t="n">
        <v>691</v>
      </c>
      <c r="I73" s="3" t="s">
        <v>235</v>
      </c>
      <c r="J73" s="3" t="n">
        <v>20</v>
      </c>
      <c r="K73" s="3" t="n">
        <v>0</v>
      </c>
      <c r="L73" s="3" t="n">
        <v>205.2</v>
      </c>
      <c r="M73" s="3" t="s">
        <v>40</v>
      </c>
      <c r="N73" s="3" t="n">
        <v>33</v>
      </c>
      <c r="O73" s="3" t="n">
        <v>52.48</v>
      </c>
      <c r="P73" s="3" t="n">
        <v>-167.736</v>
      </c>
      <c r="Q73" s="3" t="s">
        <v>234</v>
      </c>
      <c r="R73" s="3"/>
      <c r="S73" s="3"/>
    </row>
    <row r="74" customFormat="false" ht="13.8" hidden="false" customHeight="false" outlineLevel="0" collapsed="false">
      <c r="A74" s="3" t="s">
        <v>239</v>
      </c>
      <c r="B74" s="3" t="n">
        <v>6.8</v>
      </c>
      <c r="C74" s="3" t="s">
        <v>238</v>
      </c>
      <c r="D74" s="3" t="n">
        <v>7</v>
      </c>
      <c r="E74" s="3" t="n">
        <v>6</v>
      </c>
      <c r="F74" s="3" t="s">
        <v>21</v>
      </c>
      <c r="G74" s="3" t="n">
        <v>1</v>
      </c>
      <c r="H74" s="3" t="n">
        <v>730</v>
      </c>
      <c r="I74" s="3" t="s">
        <v>22</v>
      </c>
      <c r="J74" s="3" t="n">
        <v>0</v>
      </c>
      <c r="K74" s="3" t="n">
        <v>0.92</v>
      </c>
      <c r="L74" s="3" t="n">
        <v>61</v>
      </c>
      <c r="M74" s="3" t="s">
        <v>23</v>
      </c>
      <c r="N74" s="3" t="n">
        <v>20</v>
      </c>
      <c r="O74" s="3" t="n">
        <v>52.6563</v>
      </c>
      <c r="P74" s="3" t="n">
        <v>-167.917</v>
      </c>
      <c r="Q74" s="3" t="s">
        <v>234</v>
      </c>
      <c r="R74" s="3"/>
      <c r="S74" s="3"/>
    </row>
    <row r="75" customFormat="false" ht="13.8" hidden="false" customHeight="false" outlineLevel="0" collapsed="false">
      <c r="A75" s="3" t="s">
        <v>240</v>
      </c>
      <c r="B75" s="3" t="n">
        <v>6.6</v>
      </c>
      <c r="C75" s="3" t="s">
        <v>241</v>
      </c>
      <c r="D75" s="3" t="n">
        <v>6</v>
      </c>
      <c r="E75" s="3" t="n">
        <v>6</v>
      </c>
      <c r="F75" s="3" t="s">
        <v>21</v>
      </c>
      <c r="G75" s="3" t="n">
        <v>0</v>
      </c>
      <c r="H75" s="3" t="n">
        <v>976</v>
      </c>
      <c r="I75" s="3" t="s">
        <v>22</v>
      </c>
      <c r="J75" s="3" t="n">
        <v>0</v>
      </c>
      <c r="K75" s="3" t="n">
        <v>1.168</v>
      </c>
      <c r="L75" s="3" t="n">
        <v>21</v>
      </c>
      <c r="M75" s="3" t="s">
        <v>23</v>
      </c>
      <c r="N75" s="3" t="n">
        <v>21</v>
      </c>
      <c r="O75" s="3" t="n">
        <v>35.1456</v>
      </c>
      <c r="P75" s="3" t="n">
        <v>31.9095</v>
      </c>
      <c r="Q75" s="3" t="s">
        <v>242</v>
      </c>
      <c r="R75" s="3" t="s">
        <v>80</v>
      </c>
      <c r="S75" s="3"/>
    </row>
    <row r="76" customFormat="false" ht="13.8" hidden="false" customHeight="false" outlineLevel="0" collapsed="false">
      <c r="A76" s="3" t="s">
        <v>243</v>
      </c>
      <c r="B76" s="3" t="n">
        <v>6.6</v>
      </c>
      <c r="C76" s="3" t="s">
        <v>244</v>
      </c>
      <c r="D76" s="3" t="n">
        <v>9</v>
      </c>
      <c r="E76" s="3" t="n">
        <v>8</v>
      </c>
      <c r="F76" s="3" t="s">
        <v>95</v>
      </c>
      <c r="G76" s="3" t="n">
        <v>0</v>
      </c>
      <c r="H76" s="3" t="n">
        <v>1012</v>
      </c>
      <c r="I76" s="3" t="s">
        <v>22</v>
      </c>
      <c r="J76" s="3" t="n">
        <v>0</v>
      </c>
      <c r="K76" s="3" t="n">
        <v>2.685</v>
      </c>
      <c r="L76" s="3" t="n">
        <v>13</v>
      </c>
      <c r="M76" s="3" t="s">
        <v>23</v>
      </c>
      <c r="N76" s="3" t="n">
        <v>13</v>
      </c>
      <c r="O76" s="3" t="n">
        <v>37.8167</v>
      </c>
      <c r="P76" s="3" t="n">
        <v>101.299</v>
      </c>
      <c r="Q76" s="3" t="s">
        <v>245</v>
      </c>
      <c r="R76" s="3" t="s">
        <v>80</v>
      </c>
      <c r="S76" s="3" t="s">
        <v>184</v>
      </c>
    </row>
    <row r="77" customFormat="false" ht="13.8" hidden="false" customHeight="false" outlineLevel="0" collapsed="false">
      <c r="A77" s="3" t="s">
        <v>246</v>
      </c>
      <c r="B77" s="3" t="n">
        <v>7.3</v>
      </c>
      <c r="C77" s="3" t="s">
        <v>247</v>
      </c>
      <c r="D77" s="3" t="n">
        <v>8</v>
      </c>
      <c r="E77" s="3" t="n">
        <v>7</v>
      </c>
      <c r="F77" s="3" t="s">
        <v>21</v>
      </c>
      <c r="G77" s="3" t="n">
        <v>0</v>
      </c>
      <c r="H77" s="3" t="n">
        <v>921</v>
      </c>
      <c r="I77" s="3" t="s">
        <v>22</v>
      </c>
      <c r="J77" s="3" t="n">
        <v>0</v>
      </c>
      <c r="K77" s="3" t="n">
        <v>3.713</v>
      </c>
      <c r="L77" s="3" t="n">
        <v>19</v>
      </c>
      <c r="M77" s="3" t="s">
        <v>23</v>
      </c>
      <c r="N77" s="3" t="n">
        <v>165.49</v>
      </c>
      <c r="O77" s="3" t="n">
        <v>-7.5924</v>
      </c>
      <c r="P77" s="3" t="n">
        <v>127.581</v>
      </c>
      <c r="Q77" s="3" t="s">
        <v>248</v>
      </c>
      <c r="R77" s="3"/>
      <c r="S77" s="3" t="s">
        <v>68</v>
      </c>
    </row>
    <row r="78" customFormat="false" ht="13.8" hidden="false" customHeight="false" outlineLevel="0" collapsed="false">
      <c r="A78" s="3" t="s">
        <v>249</v>
      </c>
      <c r="B78" s="3" t="n">
        <v>7.3</v>
      </c>
      <c r="C78" s="3" t="s">
        <v>250</v>
      </c>
      <c r="D78" s="3" t="n">
        <v>9</v>
      </c>
      <c r="E78" s="3" t="n">
        <v>5</v>
      </c>
      <c r="F78" s="3" t="s">
        <v>21</v>
      </c>
      <c r="G78" s="3" t="n">
        <v>1</v>
      </c>
      <c r="H78" s="3" t="n">
        <v>854</v>
      </c>
      <c r="I78" s="3" t="s">
        <v>22</v>
      </c>
      <c r="J78" s="3" t="n">
        <v>0</v>
      </c>
      <c r="K78" s="3" t="n">
        <v>1.025</v>
      </c>
      <c r="L78" s="3" t="n">
        <v>32</v>
      </c>
      <c r="M78" s="3" t="s">
        <v>23</v>
      </c>
      <c r="N78" s="3" t="n">
        <v>14.27</v>
      </c>
      <c r="O78" s="3" t="n">
        <v>-7.6033</v>
      </c>
      <c r="P78" s="3" t="n">
        <v>122.2</v>
      </c>
      <c r="Q78" s="3" t="s">
        <v>251</v>
      </c>
      <c r="R78" s="3" t="s">
        <v>80</v>
      </c>
      <c r="S78" s="3" t="s">
        <v>68</v>
      </c>
    </row>
    <row r="79" customFormat="false" ht="13.8" hidden="false" customHeight="false" outlineLevel="0" collapsed="false">
      <c r="A79" s="3" t="s">
        <v>252</v>
      </c>
      <c r="B79" s="3" t="n">
        <v>7.5</v>
      </c>
      <c r="C79" s="3" t="s">
        <v>253</v>
      </c>
      <c r="D79" s="3" t="n">
        <v>8</v>
      </c>
      <c r="E79" s="3" t="n">
        <v>8</v>
      </c>
      <c r="F79" s="3" t="s">
        <v>28</v>
      </c>
      <c r="G79" s="3" t="n">
        <v>1</v>
      </c>
      <c r="H79" s="3" t="n">
        <v>1094</v>
      </c>
      <c r="I79" s="3" t="s">
        <v>22</v>
      </c>
      <c r="J79" s="3" t="n">
        <v>0</v>
      </c>
      <c r="K79" s="3" t="n">
        <v>4.951</v>
      </c>
      <c r="L79" s="3" t="n">
        <v>40</v>
      </c>
      <c r="M79" s="3" t="s">
        <v>23</v>
      </c>
      <c r="N79" s="3" t="n">
        <v>126</v>
      </c>
      <c r="O79" s="3" t="n">
        <v>-4.4898</v>
      </c>
      <c r="P79" s="3" t="n">
        <v>-76.8461</v>
      </c>
      <c r="Q79" s="3" t="s">
        <v>226</v>
      </c>
      <c r="R79" s="3" t="s">
        <v>33</v>
      </c>
      <c r="S79" s="3" t="s">
        <v>199</v>
      </c>
    </row>
    <row r="80" customFormat="false" ht="13.8" hidden="false" customHeight="false" outlineLevel="0" collapsed="false">
      <c r="A80" s="3" t="s">
        <v>254</v>
      </c>
      <c r="B80" s="3" t="n">
        <v>6.6</v>
      </c>
      <c r="C80" s="3" t="s">
        <v>255</v>
      </c>
      <c r="D80" s="3" t="n">
        <v>7</v>
      </c>
      <c r="E80" s="3" t="n">
        <v>4</v>
      </c>
      <c r="F80" s="3" t="s">
        <v>21</v>
      </c>
      <c r="G80" s="3" t="n">
        <v>1</v>
      </c>
      <c r="H80" s="3" t="n">
        <v>688</v>
      </c>
      <c r="I80" s="3" t="s">
        <v>22</v>
      </c>
      <c r="J80" s="3" t="n">
        <v>0</v>
      </c>
      <c r="K80" s="3" t="n">
        <v>3.259</v>
      </c>
      <c r="L80" s="3" t="n">
        <v>15</v>
      </c>
      <c r="M80" s="3" t="s">
        <v>23</v>
      </c>
      <c r="N80" s="3" t="n">
        <v>12</v>
      </c>
      <c r="O80" s="3" t="n">
        <v>23.5414</v>
      </c>
      <c r="P80" s="3" t="n">
        <v>126.48</v>
      </c>
      <c r="Q80" s="3" t="s">
        <v>256</v>
      </c>
      <c r="R80" s="3"/>
      <c r="S80" s="3"/>
    </row>
    <row r="81" customFormat="false" ht="13.8" hidden="false" customHeight="false" outlineLevel="0" collapsed="false">
      <c r="A81" s="3" t="s">
        <v>257</v>
      </c>
      <c r="B81" s="3" t="n">
        <v>6.9</v>
      </c>
      <c r="C81" s="3" t="s">
        <v>258</v>
      </c>
      <c r="D81" s="3" t="n">
        <v>8</v>
      </c>
      <c r="E81" s="3" t="n">
        <v>6</v>
      </c>
      <c r="F81" s="3" t="s">
        <v>21</v>
      </c>
      <c r="G81" s="3" t="n">
        <v>1</v>
      </c>
      <c r="H81" s="3" t="n">
        <v>995</v>
      </c>
      <c r="I81" s="3" t="s">
        <v>259</v>
      </c>
      <c r="J81" s="3" t="n">
        <v>0</v>
      </c>
      <c r="K81" s="3" t="n">
        <v>0</v>
      </c>
      <c r="L81" s="3" t="n">
        <v>0</v>
      </c>
      <c r="M81" s="3" t="s">
        <v>23</v>
      </c>
      <c r="N81" s="3" t="n">
        <v>51.6</v>
      </c>
      <c r="O81" s="3" t="n">
        <v>56.2581</v>
      </c>
      <c r="P81" s="3" t="n">
        <v>-156.492</v>
      </c>
      <c r="Q81" s="3" t="s">
        <v>260</v>
      </c>
      <c r="R81" s="3" t="s">
        <v>164</v>
      </c>
      <c r="S81" s="3" t="s">
        <v>261</v>
      </c>
    </row>
    <row r="82" customFormat="false" ht="13.8" hidden="false" customHeight="false" outlineLevel="0" collapsed="false">
      <c r="A82" s="3" t="s">
        <v>262</v>
      </c>
      <c r="B82" s="3" t="n">
        <v>6.9</v>
      </c>
      <c r="C82" s="3" t="s">
        <v>263</v>
      </c>
      <c r="D82" s="3" t="n">
        <v>4</v>
      </c>
      <c r="E82" s="3" t="n">
        <v>3</v>
      </c>
      <c r="F82" s="3" t="s">
        <v>21</v>
      </c>
      <c r="G82" s="3" t="n">
        <v>1</v>
      </c>
      <c r="H82" s="3" t="n">
        <v>740</v>
      </c>
      <c r="I82" s="3" t="s">
        <v>22</v>
      </c>
      <c r="J82" s="3" t="n">
        <v>0</v>
      </c>
      <c r="K82" s="3" t="n">
        <v>4.778</v>
      </c>
      <c r="L82" s="3" t="n">
        <v>31</v>
      </c>
      <c r="M82" s="3" t="s">
        <v>23</v>
      </c>
      <c r="N82" s="3" t="n">
        <v>535</v>
      </c>
      <c r="O82" s="3" t="n">
        <v>-21.1704</v>
      </c>
      <c r="P82" s="3" t="n">
        <v>174.54</v>
      </c>
      <c r="Q82" s="3" t="s">
        <v>264</v>
      </c>
      <c r="R82" s="3"/>
      <c r="S82" s="3"/>
    </row>
    <row r="83" customFormat="false" ht="13.8" hidden="false" customHeight="false" outlineLevel="0" collapsed="false">
      <c r="A83" s="3" t="s">
        <v>265</v>
      </c>
      <c r="B83" s="3" t="n">
        <v>7.3</v>
      </c>
      <c r="C83" s="3" t="s">
        <v>266</v>
      </c>
      <c r="D83" s="3" t="n">
        <v>4</v>
      </c>
      <c r="E83" s="3" t="n">
        <v>4</v>
      </c>
      <c r="F83" s="3" t="s">
        <v>21</v>
      </c>
      <c r="G83" s="3" t="n">
        <v>1</v>
      </c>
      <c r="H83" s="3" t="n">
        <v>826</v>
      </c>
      <c r="I83" s="3" t="s">
        <v>22</v>
      </c>
      <c r="J83" s="3" t="n">
        <v>0</v>
      </c>
      <c r="K83" s="3" t="n">
        <v>4.493</v>
      </c>
      <c r="L83" s="3" t="n">
        <v>32</v>
      </c>
      <c r="M83" s="3" t="s">
        <v>23</v>
      </c>
      <c r="N83" s="3" t="n">
        <v>527</v>
      </c>
      <c r="O83" s="3" t="n">
        <v>-21.1036</v>
      </c>
      <c r="P83" s="3" t="n">
        <v>174.895</v>
      </c>
      <c r="Q83" s="3" t="s">
        <v>264</v>
      </c>
      <c r="R83" s="3"/>
      <c r="S83" s="3"/>
    </row>
    <row r="84" customFormat="false" ht="13.8" hidden="false" customHeight="false" outlineLevel="0" collapsed="false">
      <c r="A84" s="3" t="s">
        <v>267</v>
      </c>
      <c r="B84" s="3" t="n">
        <v>6.5</v>
      </c>
      <c r="C84" s="3" t="s">
        <v>268</v>
      </c>
      <c r="D84" s="3" t="n">
        <v>7</v>
      </c>
      <c r="E84" s="3" t="n">
        <v>5</v>
      </c>
      <c r="F84" s="3" t="s">
        <v>21</v>
      </c>
      <c r="G84" s="3" t="n">
        <v>1</v>
      </c>
      <c r="H84" s="3" t="n">
        <v>684</v>
      </c>
      <c r="I84" s="3" t="s">
        <v>22</v>
      </c>
      <c r="J84" s="3" t="n">
        <v>0</v>
      </c>
      <c r="K84" s="3" t="n">
        <v>0.993</v>
      </c>
      <c r="L84" s="3" t="n">
        <v>114</v>
      </c>
      <c r="M84" s="3" t="s">
        <v>23</v>
      </c>
      <c r="N84" s="3" t="n">
        <v>21</v>
      </c>
      <c r="O84" s="3" t="n">
        <v>12.1598</v>
      </c>
      <c r="P84" s="3" t="n">
        <v>-87.8542</v>
      </c>
      <c r="Q84" s="3" t="s">
        <v>269</v>
      </c>
      <c r="R84" s="3"/>
      <c r="S84" s="3"/>
    </row>
    <row r="85" customFormat="false" ht="13.8" hidden="false" customHeight="false" outlineLevel="0" collapsed="false">
      <c r="A85" s="3" t="s">
        <v>270</v>
      </c>
      <c r="B85" s="3" t="n">
        <v>7</v>
      </c>
      <c r="C85" s="3" t="s">
        <v>271</v>
      </c>
      <c r="D85" s="3" t="n">
        <v>8</v>
      </c>
      <c r="E85" s="3" t="n">
        <v>8</v>
      </c>
      <c r="F85" s="3" t="s">
        <v>121</v>
      </c>
      <c r="G85" s="3" t="n">
        <v>1</v>
      </c>
      <c r="H85" s="3" t="n">
        <v>2504</v>
      </c>
      <c r="I85" s="3" t="s">
        <v>22</v>
      </c>
      <c r="J85" s="3" t="n">
        <v>0</v>
      </c>
      <c r="K85" s="3" t="n">
        <v>0.07</v>
      </c>
      <c r="L85" s="3" t="n">
        <v>43</v>
      </c>
      <c r="M85" s="3" t="s">
        <v>23</v>
      </c>
      <c r="N85" s="3" t="n">
        <v>20</v>
      </c>
      <c r="O85" s="3" t="n">
        <v>16.9502</v>
      </c>
      <c r="P85" s="3" t="n">
        <v>-99.7877</v>
      </c>
      <c r="Q85" s="3" t="s">
        <v>272</v>
      </c>
      <c r="R85" s="3" t="s">
        <v>164</v>
      </c>
      <c r="S85" s="3" t="s">
        <v>165</v>
      </c>
    </row>
    <row r="86" customFormat="false" ht="13.8" hidden="false" customHeight="false" outlineLevel="0" collapsed="false">
      <c r="A86" s="3" t="s">
        <v>273</v>
      </c>
      <c r="B86" s="3" t="n">
        <v>7.1</v>
      </c>
      <c r="C86" s="3" t="s">
        <v>274</v>
      </c>
      <c r="D86" s="3" t="n">
        <v>1</v>
      </c>
      <c r="E86" s="3" t="n">
        <v>4</v>
      </c>
      <c r="F86" s="3" t="s">
        <v>21</v>
      </c>
      <c r="G86" s="3" t="n">
        <v>1</v>
      </c>
      <c r="H86" s="3" t="n">
        <v>776</v>
      </c>
      <c r="I86" s="3" t="s">
        <v>22</v>
      </c>
      <c r="J86" s="3" t="n">
        <v>0</v>
      </c>
      <c r="K86" s="3" t="n">
        <v>9.799</v>
      </c>
      <c r="L86" s="3" t="n">
        <v>32</v>
      </c>
      <c r="M86" s="3" t="s">
        <v>23</v>
      </c>
      <c r="N86" s="3" t="n">
        <v>6</v>
      </c>
      <c r="O86" s="3" t="n">
        <v>-60.3026</v>
      </c>
      <c r="P86" s="3" t="n">
        <v>-24.9992</v>
      </c>
      <c r="Q86" s="3" t="s">
        <v>275</v>
      </c>
      <c r="R86" s="3"/>
      <c r="S86" s="3" t="s">
        <v>276</v>
      </c>
    </row>
    <row r="87" customFormat="false" ht="13.8" hidden="false" customHeight="false" outlineLevel="0" collapsed="false">
      <c r="A87" s="3" t="s">
        <v>277</v>
      </c>
      <c r="B87" s="3" t="n">
        <v>6.6</v>
      </c>
      <c r="C87" s="3" t="s">
        <v>278</v>
      </c>
      <c r="D87" s="3" t="n">
        <v>1</v>
      </c>
      <c r="E87" s="3" t="n">
        <v>3</v>
      </c>
      <c r="F87" s="3" t="s">
        <v>21</v>
      </c>
      <c r="G87" s="3" t="n">
        <v>1</v>
      </c>
      <c r="H87" s="3" t="n">
        <v>670</v>
      </c>
      <c r="I87" s="3" t="s">
        <v>22</v>
      </c>
      <c r="J87" s="3" t="n">
        <v>0</v>
      </c>
      <c r="K87" s="3" t="n">
        <v>8.865</v>
      </c>
      <c r="L87" s="3" t="n">
        <v>19</v>
      </c>
      <c r="M87" s="3" t="s">
        <v>23</v>
      </c>
      <c r="N87" s="3" t="n">
        <v>7</v>
      </c>
      <c r="O87" s="3" t="n">
        <v>-60.1023</v>
      </c>
      <c r="P87" s="3" t="n">
        <v>-24.4608</v>
      </c>
      <c r="Q87" s="3" t="s">
        <v>275</v>
      </c>
      <c r="R87" s="3"/>
      <c r="S87" s="3" t="s">
        <v>276</v>
      </c>
    </row>
    <row r="88" customFormat="false" ht="13.8" hidden="false" customHeight="false" outlineLevel="0" collapsed="false">
      <c r="A88" s="3" t="s">
        <v>279</v>
      </c>
      <c r="B88" s="3" t="n">
        <v>6.9</v>
      </c>
      <c r="C88" s="3" t="s">
        <v>280</v>
      </c>
      <c r="D88" s="3" t="n">
        <v>8</v>
      </c>
      <c r="E88" s="3" t="n">
        <v>7</v>
      </c>
      <c r="F88" s="3" t="s">
        <v>21</v>
      </c>
      <c r="G88" s="3" t="n">
        <v>1</v>
      </c>
      <c r="H88" s="3" t="n">
        <v>741</v>
      </c>
      <c r="I88" s="3" t="s">
        <v>22</v>
      </c>
      <c r="J88" s="3" t="n">
        <v>0</v>
      </c>
      <c r="K88" s="3" t="n">
        <v>0.579</v>
      </c>
      <c r="L88" s="3" t="n">
        <v>54</v>
      </c>
      <c r="M88" s="3" t="s">
        <v>23</v>
      </c>
      <c r="N88" s="3" t="n">
        <v>93</v>
      </c>
      <c r="O88" s="3" t="n">
        <v>-14.892</v>
      </c>
      <c r="P88" s="3" t="n">
        <v>167.085</v>
      </c>
      <c r="Q88" s="3" t="s">
        <v>104</v>
      </c>
      <c r="R88" s="3" t="s">
        <v>139</v>
      </c>
      <c r="S88" s="3" t="s">
        <v>25</v>
      </c>
    </row>
    <row r="89" customFormat="false" ht="13.8" hidden="false" customHeight="false" outlineLevel="0" collapsed="false">
      <c r="A89" s="3" t="s">
        <v>281</v>
      </c>
      <c r="B89" s="3" t="n">
        <v>6.9</v>
      </c>
      <c r="C89" s="3" t="s">
        <v>282</v>
      </c>
      <c r="D89" s="3" t="n">
        <v>6</v>
      </c>
      <c r="E89" s="3" t="n">
        <v>4</v>
      </c>
      <c r="F89" s="3" t="s">
        <v>21</v>
      </c>
      <c r="G89" s="3" t="n">
        <v>1</v>
      </c>
      <c r="H89" s="3" t="n">
        <v>734</v>
      </c>
      <c r="I89" s="3" t="s">
        <v>22</v>
      </c>
      <c r="J89" s="3" t="n">
        <v>0</v>
      </c>
      <c r="K89" s="3" t="n">
        <v>8.363</v>
      </c>
      <c r="L89" s="3" t="n">
        <v>48</v>
      </c>
      <c r="M89" s="3" t="s">
        <v>23</v>
      </c>
      <c r="N89" s="3" t="n">
        <v>16.7</v>
      </c>
      <c r="O89" s="3" t="n">
        <v>-58.3814</v>
      </c>
      <c r="P89" s="3" t="n">
        <v>-23.3318</v>
      </c>
      <c r="Q89" s="3" t="s">
        <v>275</v>
      </c>
      <c r="R89" s="3"/>
      <c r="S89" s="3"/>
    </row>
    <row r="90" customFormat="false" ht="13.8" hidden="false" customHeight="false" outlineLevel="0" collapsed="false">
      <c r="A90" s="3" t="s">
        <v>283</v>
      </c>
      <c r="B90" s="3" t="n">
        <v>7.2</v>
      </c>
      <c r="C90" s="3" t="s">
        <v>284</v>
      </c>
      <c r="D90" s="3" t="n">
        <v>9</v>
      </c>
      <c r="E90" s="3" t="n">
        <v>8</v>
      </c>
      <c r="F90" s="3" t="s">
        <v>121</v>
      </c>
      <c r="G90" s="3" t="n">
        <v>1</v>
      </c>
      <c r="H90" s="3" t="n">
        <v>2331</v>
      </c>
      <c r="I90" s="3" t="s">
        <v>22</v>
      </c>
      <c r="J90" s="3" t="n">
        <v>0</v>
      </c>
      <c r="K90" s="3" t="n">
        <v>1.178</v>
      </c>
      <c r="L90" s="3" t="n">
        <v>23</v>
      </c>
      <c r="M90" s="3" t="s">
        <v>23</v>
      </c>
      <c r="N90" s="3" t="n">
        <v>10</v>
      </c>
      <c r="O90" s="3" t="n">
        <v>18.3521</v>
      </c>
      <c r="P90" s="3" t="n">
        <v>-73.4804</v>
      </c>
      <c r="Q90" s="3" t="s">
        <v>285</v>
      </c>
      <c r="R90" s="3" t="s">
        <v>164</v>
      </c>
      <c r="S90" s="3" t="s">
        <v>286</v>
      </c>
    </row>
    <row r="91" customFormat="false" ht="13.8" hidden="false" customHeight="false" outlineLevel="0" collapsed="false">
      <c r="A91" s="3" t="s">
        <v>287</v>
      </c>
      <c r="B91" s="3" t="n">
        <v>6.9</v>
      </c>
      <c r="C91" s="3" t="s">
        <v>288</v>
      </c>
      <c r="D91" s="3" t="n">
        <v>5</v>
      </c>
      <c r="E91" s="3" t="n">
        <v>4</v>
      </c>
      <c r="F91" s="3" t="s">
        <v>21</v>
      </c>
      <c r="G91" s="3" t="n">
        <v>1</v>
      </c>
      <c r="H91" s="3" t="n">
        <v>738</v>
      </c>
      <c r="I91" s="3" t="s">
        <v>259</v>
      </c>
      <c r="J91" s="3" t="n">
        <v>0</v>
      </c>
      <c r="K91" s="3" t="n">
        <v>0</v>
      </c>
      <c r="L91" s="3" t="n">
        <v>0</v>
      </c>
      <c r="M91" s="3" t="s">
        <v>23</v>
      </c>
      <c r="N91" s="3" t="n">
        <v>33.3</v>
      </c>
      <c r="O91" s="3" t="n">
        <v>55.2364</v>
      </c>
      <c r="P91" s="3" t="n">
        <v>-157.707</v>
      </c>
      <c r="Q91" s="3" t="s">
        <v>289</v>
      </c>
      <c r="R91" s="3"/>
      <c r="S91" s="3"/>
    </row>
    <row r="92" customFormat="false" ht="13.8" hidden="false" customHeight="false" outlineLevel="0" collapsed="false">
      <c r="A92" s="3" t="s">
        <v>290</v>
      </c>
      <c r="B92" s="3" t="n">
        <v>6.9</v>
      </c>
      <c r="C92" s="3" t="s">
        <v>288</v>
      </c>
      <c r="D92" s="3" t="n">
        <v>5</v>
      </c>
      <c r="E92" s="3" t="n">
        <v>4</v>
      </c>
      <c r="F92" s="3" t="s">
        <v>21</v>
      </c>
      <c r="G92" s="3" t="n">
        <v>1</v>
      </c>
      <c r="H92" s="3" t="n">
        <v>738</v>
      </c>
      <c r="I92" s="3" t="s">
        <v>22</v>
      </c>
      <c r="J92" s="3" t="n">
        <v>0</v>
      </c>
      <c r="K92" s="3" t="n">
        <v>1.173</v>
      </c>
      <c r="L92" s="3" t="n">
        <v>36</v>
      </c>
      <c r="M92" s="3" t="s">
        <v>23</v>
      </c>
      <c r="N92" s="3" t="n">
        <v>20.74</v>
      </c>
      <c r="O92" s="3" t="n">
        <v>55.2657</v>
      </c>
      <c r="P92" s="3" t="n">
        <v>-157.68</v>
      </c>
      <c r="Q92" s="3" t="s">
        <v>289</v>
      </c>
      <c r="R92" s="3"/>
      <c r="S92" s="3"/>
    </row>
    <row r="93" customFormat="false" ht="13.8" hidden="false" customHeight="false" outlineLevel="0" collapsed="false">
      <c r="A93" s="3" t="s">
        <v>291</v>
      </c>
      <c r="B93" s="3" t="n">
        <v>8.1</v>
      </c>
      <c r="C93" s="3" t="s">
        <v>292</v>
      </c>
      <c r="D93" s="3" t="n">
        <v>0</v>
      </c>
      <c r="E93" s="3" t="n">
        <v>7</v>
      </c>
      <c r="F93" s="3" t="s">
        <v>21</v>
      </c>
      <c r="G93" s="3" t="n">
        <v>0</v>
      </c>
      <c r="H93" s="3" t="n">
        <v>1009</v>
      </c>
      <c r="I93" s="3" t="s">
        <v>22</v>
      </c>
      <c r="J93" s="3" t="n">
        <v>0</v>
      </c>
      <c r="K93" s="3" t="n">
        <v>7.463</v>
      </c>
      <c r="L93" s="3" t="n">
        <v>78</v>
      </c>
      <c r="M93" s="3" t="s">
        <v>23</v>
      </c>
      <c r="N93" s="3" t="n">
        <v>22.79</v>
      </c>
      <c r="O93" s="3" t="n">
        <v>-58.4157</v>
      </c>
      <c r="P93" s="3" t="n">
        <v>-25.3206</v>
      </c>
      <c r="Q93" s="3" t="s">
        <v>275</v>
      </c>
      <c r="R93" s="3"/>
      <c r="S93" s="3"/>
    </row>
    <row r="94" customFormat="false" ht="13.8" hidden="false" customHeight="false" outlineLevel="0" collapsed="false">
      <c r="A94" s="3" t="s">
        <v>293</v>
      </c>
      <c r="B94" s="3" t="n">
        <v>7.5</v>
      </c>
      <c r="C94" s="3" t="s">
        <v>294</v>
      </c>
      <c r="D94" s="3" t="n">
        <v>9</v>
      </c>
      <c r="E94" s="3" t="n">
        <v>6</v>
      </c>
      <c r="F94" s="3" t="s">
        <v>21</v>
      </c>
      <c r="G94" s="3" t="n">
        <v>1</v>
      </c>
      <c r="H94" s="3" t="n">
        <v>868</v>
      </c>
      <c r="I94" s="3" t="s">
        <v>22</v>
      </c>
      <c r="J94" s="3" t="n">
        <v>0</v>
      </c>
      <c r="K94" s="3" t="n">
        <v>7.227</v>
      </c>
      <c r="L94" s="3" t="n">
        <v>38</v>
      </c>
      <c r="M94" s="3" t="s">
        <v>23</v>
      </c>
      <c r="N94" s="3" t="n">
        <v>47.23</v>
      </c>
      <c r="O94" s="3" t="n">
        <v>-57.5959</v>
      </c>
      <c r="P94" s="3" t="n">
        <v>-25.1874</v>
      </c>
      <c r="Q94" s="3" t="s">
        <v>275</v>
      </c>
      <c r="R94" s="3"/>
      <c r="S94" s="3"/>
    </row>
    <row r="95" customFormat="false" ht="13.8" hidden="false" customHeight="false" outlineLevel="0" collapsed="false">
      <c r="A95" s="3" t="s">
        <v>295</v>
      </c>
      <c r="B95" s="3" t="n">
        <v>7.1</v>
      </c>
      <c r="C95" s="3" t="s">
        <v>296</v>
      </c>
      <c r="D95" s="3" t="n">
        <v>9</v>
      </c>
      <c r="E95" s="3" t="n">
        <v>7</v>
      </c>
      <c r="F95" s="3" t="s">
        <v>21</v>
      </c>
      <c r="G95" s="3" t="n">
        <v>1</v>
      </c>
      <c r="H95" s="3" t="n">
        <v>846</v>
      </c>
      <c r="I95" s="3" t="s">
        <v>22</v>
      </c>
      <c r="J95" s="3" t="n">
        <v>0</v>
      </c>
      <c r="K95" s="3" t="n">
        <v>1.273</v>
      </c>
      <c r="L95" s="3" t="n">
        <v>25</v>
      </c>
      <c r="M95" s="3" t="s">
        <v>23</v>
      </c>
      <c r="N95" s="3" t="n">
        <v>55.14</v>
      </c>
      <c r="O95" s="3" t="n">
        <v>6.4547</v>
      </c>
      <c r="P95" s="3" t="n">
        <v>126.742</v>
      </c>
      <c r="Q95" s="3" t="s">
        <v>297</v>
      </c>
      <c r="R95" s="3"/>
      <c r="S95" s="3"/>
    </row>
    <row r="96" customFormat="false" ht="13.8" hidden="false" customHeight="false" outlineLevel="0" collapsed="false">
      <c r="A96" s="3" t="s">
        <v>298</v>
      </c>
      <c r="B96" s="3" t="n">
        <v>8.2</v>
      </c>
      <c r="C96" s="3" t="s">
        <v>299</v>
      </c>
      <c r="D96" s="3" t="n">
        <v>8</v>
      </c>
      <c r="E96" s="3" t="n">
        <v>6</v>
      </c>
      <c r="F96" s="3" t="s">
        <v>21</v>
      </c>
      <c r="G96" s="3" t="n">
        <v>1</v>
      </c>
      <c r="H96" s="3" t="n">
        <v>1237</v>
      </c>
      <c r="I96" s="3" t="s">
        <v>22</v>
      </c>
      <c r="J96" s="3" t="n">
        <v>0</v>
      </c>
      <c r="K96" s="3" t="n">
        <v>0.875</v>
      </c>
      <c r="L96" s="3" t="n">
        <v>66</v>
      </c>
      <c r="M96" s="3" t="s">
        <v>23</v>
      </c>
      <c r="N96" s="3" t="n">
        <v>46.66</v>
      </c>
      <c r="O96" s="3" t="n">
        <v>55.4742</v>
      </c>
      <c r="P96" s="3" t="n">
        <v>-157.917</v>
      </c>
      <c r="Q96" s="3" t="s">
        <v>289</v>
      </c>
      <c r="R96" s="3"/>
      <c r="S96" s="3"/>
    </row>
    <row r="97" customFormat="false" ht="13.8" hidden="false" customHeight="false" outlineLevel="0" collapsed="false">
      <c r="A97" s="3" t="s">
        <v>300</v>
      </c>
      <c r="B97" s="3" t="n">
        <v>8.2</v>
      </c>
      <c r="C97" s="3" t="s">
        <v>299</v>
      </c>
      <c r="D97" s="3" t="n">
        <v>8</v>
      </c>
      <c r="E97" s="3" t="n">
        <v>7</v>
      </c>
      <c r="F97" s="3" t="s">
        <v>28</v>
      </c>
      <c r="G97" s="3" t="n">
        <v>1</v>
      </c>
      <c r="H97" s="3" t="n">
        <v>1252</v>
      </c>
      <c r="I97" s="3" t="s">
        <v>259</v>
      </c>
      <c r="J97" s="3" t="n">
        <v>0</v>
      </c>
      <c r="K97" s="3" t="n">
        <v>0</v>
      </c>
      <c r="L97" s="3" t="n">
        <v>0</v>
      </c>
      <c r="M97" s="3" t="s">
        <v>23</v>
      </c>
      <c r="N97" s="3" t="n">
        <v>35</v>
      </c>
      <c r="O97" s="3" t="n">
        <v>55.3154</v>
      </c>
      <c r="P97" s="3" t="n">
        <v>-157.829</v>
      </c>
      <c r="Q97" s="3" t="s">
        <v>289</v>
      </c>
      <c r="R97" s="3"/>
      <c r="S97" s="3"/>
    </row>
    <row r="98" customFormat="false" ht="13.8" hidden="false" customHeight="false" outlineLevel="0" collapsed="false">
      <c r="A98" s="3" t="s">
        <v>301</v>
      </c>
      <c r="B98" s="3" t="n">
        <v>6.7</v>
      </c>
      <c r="C98" s="3" t="s">
        <v>302</v>
      </c>
      <c r="D98" s="3" t="n">
        <v>8</v>
      </c>
      <c r="E98" s="3" t="n">
        <v>5</v>
      </c>
      <c r="F98" s="3" t="s">
        <v>21</v>
      </c>
      <c r="G98" s="3" t="n">
        <v>1</v>
      </c>
      <c r="H98" s="3" t="n">
        <v>935</v>
      </c>
      <c r="I98" s="3" t="s">
        <v>22</v>
      </c>
      <c r="J98" s="3" t="n">
        <v>0</v>
      </c>
      <c r="K98" s="3" t="n">
        <v>8.139</v>
      </c>
      <c r="L98" s="3" t="n">
        <v>12</v>
      </c>
      <c r="M98" s="3" t="s">
        <v>23</v>
      </c>
      <c r="N98" s="3" t="n">
        <v>110</v>
      </c>
      <c r="O98" s="3" t="n">
        <v>13.6989</v>
      </c>
      <c r="P98" s="3" t="n">
        <v>120.713</v>
      </c>
      <c r="Q98" s="3" t="s">
        <v>303</v>
      </c>
      <c r="R98" s="3" t="s">
        <v>80</v>
      </c>
      <c r="S98" s="3" t="s">
        <v>191</v>
      </c>
    </row>
    <row r="99" customFormat="false" ht="13.8" hidden="false" customHeight="false" outlineLevel="0" collapsed="false">
      <c r="A99" s="3" t="s">
        <v>304</v>
      </c>
      <c r="B99" s="3" t="n">
        <v>6.7</v>
      </c>
      <c r="C99" s="3" t="s">
        <v>305</v>
      </c>
      <c r="D99" s="3" t="n">
        <v>6</v>
      </c>
      <c r="E99" s="3" t="n">
        <v>6</v>
      </c>
      <c r="F99" s="3" t="s">
        <v>21</v>
      </c>
      <c r="G99" s="3" t="n">
        <v>1</v>
      </c>
      <c r="H99" s="3" t="n">
        <v>830</v>
      </c>
      <c r="I99" s="3" t="s">
        <v>22</v>
      </c>
      <c r="J99" s="3" t="n">
        <v>0</v>
      </c>
      <c r="K99" s="3" t="n">
        <v>1.395</v>
      </c>
      <c r="L99" s="3" t="n">
        <v>61</v>
      </c>
      <c r="M99" s="3" t="s">
        <v>23</v>
      </c>
      <c r="N99" s="3" t="n">
        <v>10</v>
      </c>
      <c r="O99" s="3" t="n">
        <v>7.5904</v>
      </c>
      <c r="P99" s="3" t="n">
        <v>-82.8813</v>
      </c>
      <c r="Q99" s="3" t="s">
        <v>306</v>
      </c>
      <c r="R99" s="3"/>
      <c r="S99" s="3"/>
    </row>
    <row r="100" customFormat="false" ht="13.8" hidden="false" customHeight="false" outlineLevel="0" collapsed="false">
      <c r="A100" s="3" t="s">
        <v>307</v>
      </c>
      <c r="B100" s="3" t="n">
        <v>6.5</v>
      </c>
      <c r="C100" s="3" t="s">
        <v>308</v>
      </c>
      <c r="D100" s="3" t="n">
        <v>0</v>
      </c>
      <c r="E100" s="3" t="n">
        <v>4</v>
      </c>
      <c r="F100" s="3" t="s">
        <v>21</v>
      </c>
      <c r="G100" s="3" t="n">
        <v>1</v>
      </c>
      <c r="H100" s="3" t="n">
        <v>650</v>
      </c>
      <c r="I100" s="3" t="s">
        <v>22</v>
      </c>
      <c r="J100" s="3" t="n">
        <v>0</v>
      </c>
      <c r="K100" s="3" t="n">
        <v>7.994</v>
      </c>
      <c r="L100" s="3" t="n">
        <v>24</v>
      </c>
      <c r="M100" s="3" t="s">
        <v>23</v>
      </c>
      <c r="N100" s="3" t="n">
        <v>25</v>
      </c>
      <c r="O100" s="3" t="n">
        <v>-30.2144</v>
      </c>
      <c r="P100" s="3" t="n">
        <v>-177.773</v>
      </c>
      <c r="Q100" s="3" t="s">
        <v>71</v>
      </c>
      <c r="R100" s="3"/>
      <c r="S100" s="3"/>
    </row>
    <row r="101" customFormat="false" ht="13.8" hidden="false" customHeight="false" outlineLevel="0" collapsed="false">
      <c r="A101" s="3" t="s">
        <v>309</v>
      </c>
      <c r="B101" s="3" t="n">
        <v>6.5</v>
      </c>
      <c r="C101" s="3" t="s">
        <v>310</v>
      </c>
      <c r="D101" s="3" t="n">
        <v>5</v>
      </c>
      <c r="E101" s="3" t="n">
        <v>7</v>
      </c>
      <c r="F101" s="3" t="s">
        <v>21</v>
      </c>
      <c r="G101" s="3" t="n">
        <v>1</v>
      </c>
      <c r="H101" s="3" t="n">
        <v>652</v>
      </c>
      <c r="I101" s="3" t="s">
        <v>22</v>
      </c>
      <c r="J101" s="3" t="n">
        <v>0</v>
      </c>
      <c r="K101" s="3" t="n">
        <v>4.518</v>
      </c>
      <c r="L101" s="3" t="n">
        <v>44</v>
      </c>
      <c r="M101" s="3" t="s">
        <v>23</v>
      </c>
      <c r="N101" s="3" t="n">
        <v>10</v>
      </c>
      <c r="O101" s="3" t="n">
        <v>-16.4796</v>
      </c>
      <c r="P101" s="3" t="n">
        <v>-177.356</v>
      </c>
      <c r="Q101" s="3" t="s">
        <v>311</v>
      </c>
      <c r="R101" s="3"/>
      <c r="S101" s="3"/>
    </row>
    <row r="102" customFormat="false" ht="13.8" hidden="false" customHeight="false" outlineLevel="0" collapsed="false">
      <c r="A102" s="3" t="s">
        <v>312</v>
      </c>
      <c r="B102" s="3" t="n">
        <v>7.3</v>
      </c>
      <c r="C102" s="3" t="s">
        <v>313</v>
      </c>
      <c r="D102" s="3" t="n">
        <v>9</v>
      </c>
      <c r="E102" s="3" t="n">
        <v>9</v>
      </c>
      <c r="F102" s="3" t="s">
        <v>95</v>
      </c>
      <c r="G102" s="3" t="n">
        <v>0</v>
      </c>
      <c r="H102" s="3" t="n">
        <v>1025</v>
      </c>
      <c r="I102" s="3" t="s">
        <v>22</v>
      </c>
      <c r="J102" s="3" t="n">
        <v>0</v>
      </c>
      <c r="K102" s="3" t="n">
        <v>4.655</v>
      </c>
      <c r="L102" s="3" t="n">
        <v>9</v>
      </c>
      <c r="M102" s="3" t="s">
        <v>23</v>
      </c>
      <c r="N102" s="3" t="n">
        <v>10</v>
      </c>
      <c r="O102" s="3" t="n">
        <v>34.5861</v>
      </c>
      <c r="P102" s="3" t="n">
        <v>98.2551</v>
      </c>
      <c r="Q102" s="3" t="s">
        <v>314</v>
      </c>
      <c r="R102" s="3" t="s">
        <v>80</v>
      </c>
      <c r="S102" s="3" t="s">
        <v>184</v>
      </c>
    </row>
    <row r="103" customFormat="false" ht="13.8" hidden="false" customHeight="false" outlineLevel="0" collapsed="false">
      <c r="A103" s="3" t="s">
        <v>315</v>
      </c>
      <c r="B103" s="3" t="n">
        <v>6.7</v>
      </c>
      <c r="C103" s="3" t="s">
        <v>316</v>
      </c>
      <c r="D103" s="3" t="n">
        <v>8</v>
      </c>
      <c r="E103" s="3" t="n">
        <v>4</v>
      </c>
      <c r="F103" s="3" t="s">
        <v>21</v>
      </c>
      <c r="G103" s="3" t="n">
        <v>0</v>
      </c>
      <c r="H103" s="3" t="n">
        <v>698</v>
      </c>
      <c r="I103" s="3" t="s">
        <v>22</v>
      </c>
      <c r="J103" s="3" t="n">
        <v>0</v>
      </c>
      <c r="K103" s="3" t="n">
        <v>1.487</v>
      </c>
      <c r="L103" s="3" t="n">
        <v>37</v>
      </c>
      <c r="M103" s="3" t="s">
        <v>23</v>
      </c>
      <c r="N103" s="3" t="n">
        <v>11</v>
      </c>
      <c r="O103" s="3" t="n">
        <v>0.1684</v>
      </c>
      <c r="P103" s="3" t="n">
        <v>96.6475</v>
      </c>
      <c r="Q103" s="3" t="s">
        <v>317</v>
      </c>
      <c r="R103" s="3"/>
      <c r="S103" s="3"/>
    </row>
    <row r="104" customFormat="false" ht="13.8" hidden="false" customHeight="false" outlineLevel="0" collapsed="false">
      <c r="A104" s="3" t="s">
        <v>318</v>
      </c>
      <c r="B104" s="3" t="n">
        <v>6.7</v>
      </c>
      <c r="C104" s="3" t="s">
        <v>319</v>
      </c>
      <c r="D104" s="3" t="n">
        <v>9</v>
      </c>
      <c r="E104" s="3" t="n">
        <v>3</v>
      </c>
      <c r="F104" s="3" t="s">
        <v>21</v>
      </c>
      <c r="G104" s="3" t="n">
        <v>0</v>
      </c>
      <c r="H104" s="3" t="n">
        <v>694</v>
      </c>
      <c r="I104" s="3" t="s">
        <v>22</v>
      </c>
      <c r="J104" s="3" t="n">
        <v>0</v>
      </c>
      <c r="K104" s="3" t="n">
        <v>10.669</v>
      </c>
      <c r="L104" s="3" t="n">
        <v>45</v>
      </c>
      <c r="M104" s="3" t="s">
        <v>23</v>
      </c>
      <c r="N104" s="3" t="n">
        <v>10</v>
      </c>
      <c r="O104" s="3" t="n">
        <v>-17.2495</v>
      </c>
      <c r="P104" s="3" t="n">
        <v>66.3745</v>
      </c>
      <c r="Q104" s="3" t="s">
        <v>320</v>
      </c>
      <c r="R104" s="3"/>
      <c r="S104" s="3"/>
    </row>
    <row r="105" customFormat="false" ht="13.8" hidden="false" customHeight="false" outlineLevel="0" collapsed="false">
      <c r="A105" s="3" t="s">
        <v>200</v>
      </c>
      <c r="B105" s="3" t="n">
        <v>6.9</v>
      </c>
      <c r="C105" s="3" t="s">
        <v>321</v>
      </c>
      <c r="D105" s="3" t="n">
        <v>7</v>
      </c>
      <c r="E105" s="3" t="n">
        <v>6</v>
      </c>
      <c r="F105" s="3" t="s">
        <v>21</v>
      </c>
      <c r="G105" s="3" t="n">
        <v>1</v>
      </c>
      <c r="H105" s="3" t="n">
        <v>919</v>
      </c>
      <c r="I105" s="3" t="s">
        <v>22</v>
      </c>
      <c r="J105" s="3" t="n">
        <v>0</v>
      </c>
      <c r="K105" s="3" t="n">
        <v>2.619</v>
      </c>
      <c r="L105" s="3" t="n">
        <v>35</v>
      </c>
      <c r="M105" s="3" t="s">
        <v>23</v>
      </c>
      <c r="N105" s="3" t="n">
        <v>43</v>
      </c>
      <c r="O105" s="3" t="n">
        <v>38.2296</v>
      </c>
      <c r="P105" s="3" t="n">
        <v>141.665</v>
      </c>
      <c r="Q105" s="3"/>
      <c r="R105" s="3" t="s">
        <v>80</v>
      </c>
      <c r="S105" s="3" t="s">
        <v>322</v>
      </c>
    </row>
    <row r="106" customFormat="false" ht="13.8" hidden="false" customHeight="false" outlineLevel="0" collapsed="false">
      <c r="A106" s="3" t="s">
        <v>323</v>
      </c>
      <c r="B106" s="3" t="n">
        <v>6.5</v>
      </c>
      <c r="C106" s="3" t="s">
        <v>324</v>
      </c>
      <c r="D106" s="3" t="n">
        <v>4</v>
      </c>
      <c r="E106" s="3" t="n">
        <v>4</v>
      </c>
      <c r="F106" s="3" t="s">
        <v>21</v>
      </c>
      <c r="G106" s="3" t="n">
        <v>0</v>
      </c>
      <c r="H106" s="3" t="n">
        <v>651</v>
      </c>
      <c r="I106" s="3" t="s">
        <v>22</v>
      </c>
      <c r="J106" s="3" t="n">
        <v>0</v>
      </c>
      <c r="K106" s="3" t="n">
        <v>5.931</v>
      </c>
      <c r="L106" s="3" t="n">
        <v>20</v>
      </c>
      <c r="M106" s="3" t="s">
        <v>23</v>
      </c>
      <c r="N106" s="3" t="n">
        <v>246</v>
      </c>
      <c r="O106" s="3" t="n">
        <v>-21.6857</v>
      </c>
      <c r="P106" s="3" t="n">
        <v>-177.064</v>
      </c>
      <c r="Q106" s="3" t="s">
        <v>325</v>
      </c>
      <c r="R106" s="3"/>
      <c r="S106" s="3"/>
    </row>
    <row r="107" customFormat="false" ht="13.8" hidden="false" customHeight="false" outlineLevel="0" collapsed="false">
      <c r="A107" s="3" t="s">
        <v>326</v>
      </c>
      <c r="B107" s="3" t="n">
        <v>6.5</v>
      </c>
      <c r="C107" s="3" t="s">
        <v>327</v>
      </c>
      <c r="D107" s="3" t="n">
        <v>6</v>
      </c>
      <c r="E107" s="3" t="n">
        <v>4</v>
      </c>
      <c r="F107" s="3" t="s">
        <v>21</v>
      </c>
      <c r="G107" s="3" t="n">
        <v>0</v>
      </c>
      <c r="H107" s="3" t="n">
        <v>652</v>
      </c>
      <c r="I107" s="3" t="s">
        <v>22</v>
      </c>
      <c r="J107" s="3" t="n">
        <v>0</v>
      </c>
      <c r="K107" s="3" t="n">
        <v>10.405</v>
      </c>
      <c r="L107" s="3" t="n">
        <v>19</v>
      </c>
      <c r="M107" s="3" t="s">
        <v>23</v>
      </c>
      <c r="N107" s="3" t="n">
        <v>301</v>
      </c>
      <c r="O107" s="3" t="n">
        <v>-18.9204</v>
      </c>
      <c r="P107" s="3" t="n">
        <v>-176.235</v>
      </c>
      <c r="Q107" s="3" t="s">
        <v>328</v>
      </c>
      <c r="R107" s="3"/>
      <c r="S107" s="3"/>
    </row>
    <row r="108" customFormat="false" ht="13.8" hidden="false" customHeight="false" outlineLevel="0" collapsed="false">
      <c r="A108" s="3" t="s">
        <v>329</v>
      </c>
      <c r="B108" s="3" t="n">
        <v>7</v>
      </c>
      <c r="C108" s="3" t="s">
        <v>330</v>
      </c>
      <c r="D108" s="3" t="n">
        <v>7</v>
      </c>
      <c r="E108" s="3" t="n">
        <v>7</v>
      </c>
      <c r="F108" s="3" t="s">
        <v>28</v>
      </c>
      <c r="G108" s="3" t="n">
        <v>1</v>
      </c>
      <c r="H108" s="3" t="n">
        <v>1052</v>
      </c>
      <c r="I108" s="3" t="s">
        <v>22</v>
      </c>
      <c r="J108" s="3" t="n">
        <v>0</v>
      </c>
      <c r="K108" s="3" t="n">
        <v>2.378</v>
      </c>
      <c r="L108" s="3" t="n">
        <v>35</v>
      </c>
      <c r="M108" s="3" t="s">
        <v>23</v>
      </c>
      <c r="N108" s="3" t="n">
        <v>43</v>
      </c>
      <c r="O108" s="3" t="n">
        <v>38.4752</v>
      </c>
      <c r="P108" s="3" t="n">
        <v>141.607</v>
      </c>
      <c r="Q108" s="3" t="s">
        <v>331</v>
      </c>
      <c r="R108" s="3" t="s">
        <v>80</v>
      </c>
      <c r="S108" s="3" t="s">
        <v>322</v>
      </c>
    </row>
    <row r="109" customFormat="false" ht="13.8" hidden="false" customHeight="false" outlineLevel="0" collapsed="false">
      <c r="A109" s="3" t="s">
        <v>332</v>
      </c>
      <c r="B109" s="3" t="n">
        <v>6.6</v>
      </c>
      <c r="C109" s="3" t="s">
        <v>333</v>
      </c>
      <c r="D109" s="3" t="n">
        <v>5</v>
      </c>
      <c r="E109" s="3" t="n">
        <v>5</v>
      </c>
      <c r="F109" s="3" t="s">
        <v>21</v>
      </c>
      <c r="G109" s="3" t="n">
        <v>1</v>
      </c>
      <c r="H109" s="3" t="n">
        <v>672</v>
      </c>
      <c r="I109" s="3" t="s">
        <v>22</v>
      </c>
      <c r="J109" s="3" t="n">
        <v>0</v>
      </c>
      <c r="K109" s="3" t="n">
        <v>3.183</v>
      </c>
      <c r="L109" s="3" t="n">
        <v>18</v>
      </c>
      <c r="M109" s="3" t="s">
        <v>23</v>
      </c>
      <c r="N109" s="3" t="n">
        <v>13.23</v>
      </c>
      <c r="O109" s="3" t="n">
        <v>54.7018</v>
      </c>
      <c r="P109" s="3" t="n">
        <v>163.208</v>
      </c>
      <c r="Q109" s="3" t="s">
        <v>334</v>
      </c>
      <c r="R109" s="3"/>
      <c r="S109" s="3"/>
    </row>
    <row r="110" customFormat="false" ht="13.8" hidden="false" customHeight="false" outlineLevel="0" collapsed="false">
      <c r="A110" s="3" t="s">
        <v>227</v>
      </c>
      <c r="B110" s="3" t="n">
        <v>6.5</v>
      </c>
      <c r="C110" s="3" t="s">
        <v>335</v>
      </c>
      <c r="D110" s="3" t="n">
        <v>0</v>
      </c>
      <c r="E110" s="3" t="n">
        <v>4</v>
      </c>
      <c r="F110" s="3" t="s">
        <v>21</v>
      </c>
      <c r="G110" s="3" t="n">
        <v>0</v>
      </c>
      <c r="H110" s="3" t="n">
        <v>650</v>
      </c>
      <c r="I110" s="3" t="s">
        <v>22</v>
      </c>
      <c r="J110" s="3" t="n">
        <v>0</v>
      </c>
      <c r="K110" s="3" t="n">
        <v>11.764</v>
      </c>
      <c r="L110" s="3" t="n">
        <v>25</v>
      </c>
      <c r="M110" s="3" t="s">
        <v>154</v>
      </c>
      <c r="N110" s="3" t="n">
        <v>24</v>
      </c>
      <c r="O110" s="3" t="n">
        <v>-28.4792</v>
      </c>
      <c r="P110" s="3" t="n">
        <v>-176.619</v>
      </c>
      <c r="Q110" s="3" t="s">
        <v>99</v>
      </c>
      <c r="R110" s="3"/>
      <c r="S110" s="3"/>
    </row>
    <row r="111" customFormat="false" ht="13.8" hidden="false" customHeight="false" outlineLevel="0" collapsed="false">
      <c r="A111" s="3" t="s">
        <v>336</v>
      </c>
      <c r="B111" s="3" t="n">
        <v>8.1</v>
      </c>
      <c r="C111" s="3" t="s">
        <v>337</v>
      </c>
      <c r="D111" s="3" t="n">
        <v>9</v>
      </c>
      <c r="E111" s="3" t="n">
        <v>8</v>
      </c>
      <c r="F111" s="3" t="s">
        <v>21</v>
      </c>
      <c r="G111" s="3" t="n">
        <v>1</v>
      </c>
      <c r="H111" s="3" t="n">
        <v>1021</v>
      </c>
      <c r="I111" s="3" t="s">
        <v>22</v>
      </c>
      <c r="J111" s="3" t="n">
        <v>0</v>
      </c>
      <c r="K111" s="3" t="n">
        <v>0.739</v>
      </c>
      <c r="L111" s="3" t="n">
        <v>21</v>
      </c>
      <c r="M111" s="3" t="s">
        <v>23</v>
      </c>
      <c r="N111" s="3" t="n">
        <v>28.93</v>
      </c>
      <c r="O111" s="3" t="n">
        <v>-29.7466</v>
      </c>
      <c r="P111" s="3" t="n">
        <v>-177.224</v>
      </c>
      <c r="Q111" s="3" t="s">
        <v>71</v>
      </c>
      <c r="R111" s="3"/>
      <c r="S111" s="3"/>
    </row>
    <row r="112" customFormat="false" ht="13.8" hidden="false" customHeight="false" outlineLevel="0" collapsed="false">
      <c r="A112" s="3" t="s">
        <v>338</v>
      </c>
      <c r="B112" s="3" t="n">
        <v>7.4</v>
      </c>
      <c r="C112" s="3" t="s">
        <v>339</v>
      </c>
      <c r="D112" s="3" t="n">
        <v>3</v>
      </c>
      <c r="E112" s="3" t="n">
        <v>7</v>
      </c>
      <c r="F112" s="3" t="s">
        <v>21</v>
      </c>
      <c r="G112" s="3" t="n">
        <v>1</v>
      </c>
      <c r="H112" s="3" t="n">
        <v>843</v>
      </c>
      <c r="I112" s="3" t="s">
        <v>22</v>
      </c>
      <c r="J112" s="3" t="n">
        <v>0</v>
      </c>
      <c r="K112" s="3" t="n">
        <v>0.437</v>
      </c>
      <c r="L112" s="3" t="n">
        <v>30</v>
      </c>
      <c r="M112" s="3" t="s">
        <v>23</v>
      </c>
      <c r="N112" s="3" t="n">
        <v>43</v>
      </c>
      <c r="O112" s="3" t="n">
        <v>-29.6131</v>
      </c>
      <c r="P112" s="3" t="n">
        <v>-177.842</v>
      </c>
      <c r="Q112" s="3" t="s">
        <v>71</v>
      </c>
      <c r="R112" s="3"/>
      <c r="S112" s="3"/>
    </row>
    <row r="113" customFormat="false" ht="13.8" hidden="false" customHeight="false" outlineLevel="0" collapsed="false">
      <c r="A113" s="3" t="s">
        <v>340</v>
      </c>
      <c r="B113" s="3" t="n">
        <v>7.3</v>
      </c>
      <c r="C113" s="3" t="s">
        <v>341</v>
      </c>
      <c r="D113" s="3" t="n">
        <v>7</v>
      </c>
      <c r="E113" s="3" t="n">
        <v>6</v>
      </c>
      <c r="F113" s="3" t="s">
        <v>21</v>
      </c>
      <c r="G113" s="3" t="n">
        <v>1</v>
      </c>
      <c r="H113" s="3" t="n">
        <v>932</v>
      </c>
      <c r="I113" s="3" t="s">
        <v>22</v>
      </c>
      <c r="J113" s="3" t="n">
        <v>0</v>
      </c>
      <c r="K113" s="3" t="n">
        <v>0.918</v>
      </c>
      <c r="L113" s="3" t="n">
        <v>24</v>
      </c>
      <c r="M113" s="3" t="s">
        <v>23</v>
      </c>
      <c r="N113" s="3" t="n">
        <v>10</v>
      </c>
      <c r="O113" s="3" t="n">
        <v>-37.596</v>
      </c>
      <c r="P113" s="3" t="n">
        <v>179.544</v>
      </c>
      <c r="Q113" s="3" t="s">
        <v>342</v>
      </c>
      <c r="R113" s="3"/>
      <c r="S113" s="3"/>
    </row>
    <row r="114" customFormat="false" ht="13.8" hidden="false" customHeight="false" outlineLevel="0" collapsed="false">
      <c r="A114" s="3" t="s">
        <v>343</v>
      </c>
      <c r="B114" s="3" t="n">
        <v>7.1</v>
      </c>
      <c r="C114" s="3" t="s">
        <v>344</v>
      </c>
      <c r="D114" s="3" t="n">
        <v>9</v>
      </c>
      <c r="E114" s="3" t="n">
        <v>8</v>
      </c>
      <c r="F114" s="3" t="s">
        <v>95</v>
      </c>
      <c r="G114" s="3" t="n">
        <v>1</v>
      </c>
      <c r="H114" s="3" t="n">
        <v>1612</v>
      </c>
      <c r="I114" s="3" t="s">
        <v>22</v>
      </c>
      <c r="J114" s="3" t="n">
        <v>0</v>
      </c>
      <c r="K114" s="3" t="n">
        <v>3.085</v>
      </c>
      <c r="L114" s="3" t="n">
        <v>11</v>
      </c>
      <c r="M114" s="3" t="s">
        <v>23</v>
      </c>
      <c r="N114" s="3" t="n">
        <v>43.98</v>
      </c>
      <c r="O114" s="3" t="n">
        <v>37.6856</v>
      </c>
      <c r="P114" s="3" t="n">
        <v>141.992</v>
      </c>
      <c r="Q114" s="3" t="s">
        <v>217</v>
      </c>
      <c r="R114" s="3"/>
      <c r="S114" s="3"/>
    </row>
    <row r="115" customFormat="false" ht="13.8" hidden="false" customHeight="false" outlineLevel="0" collapsed="false">
      <c r="A115" s="3" t="s">
        <v>58</v>
      </c>
      <c r="B115" s="3" t="n">
        <v>7.7</v>
      </c>
      <c r="C115" s="3" t="s">
        <v>345</v>
      </c>
      <c r="D115" s="3" t="n">
        <v>9</v>
      </c>
      <c r="E115" s="3" t="n">
        <v>4</v>
      </c>
      <c r="F115" s="3" t="s">
        <v>21</v>
      </c>
      <c r="G115" s="3" t="n">
        <v>1</v>
      </c>
      <c r="H115" s="3" t="n">
        <v>918</v>
      </c>
      <c r="I115" s="3" t="s">
        <v>22</v>
      </c>
      <c r="J115" s="3" t="n">
        <v>0</v>
      </c>
      <c r="K115" s="3" t="n">
        <v>7.989</v>
      </c>
      <c r="L115" s="3" t="n">
        <v>15</v>
      </c>
      <c r="M115" s="3" t="s">
        <v>23</v>
      </c>
      <c r="N115" s="3" t="n">
        <v>10</v>
      </c>
      <c r="O115" s="3" t="n">
        <v>-23.2787</v>
      </c>
      <c r="P115" s="3" t="n">
        <v>171.489</v>
      </c>
      <c r="Q115" s="3" t="s">
        <v>57</v>
      </c>
      <c r="R115" s="3"/>
      <c r="S115" s="3"/>
    </row>
    <row r="116" customFormat="false" ht="13.8" hidden="false" customHeight="false" outlineLevel="0" collapsed="false">
      <c r="A116" s="3" t="s">
        <v>346</v>
      </c>
      <c r="B116" s="3" t="n">
        <v>6.9</v>
      </c>
      <c r="C116" s="3" t="s">
        <v>347</v>
      </c>
      <c r="D116" s="3" t="n">
        <v>9</v>
      </c>
      <c r="E116" s="3" t="n">
        <v>5</v>
      </c>
      <c r="F116" s="3" t="s">
        <v>21</v>
      </c>
      <c r="G116" s="3" t="n">
        <v>1</v>
      </c>
      <c r="H116" s="3" t="n">
        <v>739</v>
      </c>
      <c r="I116" s="3" t="s">
        <v>22</v>
      </c>
      <c r="J116" s="3" t="n">
        <v>0</v>
      </c>
      <c r="K116" s="3" t="n">
        <v>1.55</v>
      </c>
      <c r="L116" s="3" t="n">
        <v>16</v>
      </c>
      <c r="M116" s="3" t="s">
        <v>23</v>
      </c>
      <c r="N116" s="3" t="n">
        <v>15</v>
      </c>
      <c r="O116" s="3" t="n">
        <v>-61.8484</v>
      </c>
      <c r="P116" s="3" t="n">
        <v>-55.559</v>
      </c>
      <c r="Q116" s="3" t="s">
        <v>348</v>
      </c>
      <c r="R116" s="3"/>
      <c r="S116" s="3" t="s">
        <v>276</v>
      </c>
    </row>
    <row r="117" customFormat="false" ht="13.8" hidden="false" customHeight="false" outlineLevel="0" collapsed="false">
      <c r="A117" s="3" t="s">
        <v>349</v>
      </c>
      <c r="B117" s="3" t="n">
        <v>7</v>
      </c>
      <c r="C117" s="3" t="s">
        <v>350</v>
      </c>
      <c r="D117" s="3" t="n">
        <v>7</v>
      </c>
      <c r="E117" s="3" t="n">
        <v>5</v>
      </c>
      <c r="F117" s="3" t="s">
        <v>21</v>
      </c>
      <c r="G117" s="3" t="n">
        <v>1</v>
      </c>
      <c r="H117" s="3" t="n">
        <v>802</v>
      </c>
      <c r="I117" s="3" t="s">
        <v>22</v>
      </c>
      <c r="J117" s="3" t="n">
        <v>0</v>
      </c>
      <c r="K117" s="3" t="n">
        <v>2.821</v>
      </c>
      <c r="L117" s="3" t="n">
        <v>15</v>
      </c>
      <c r="M117" s="3" t="s">
        <v>23</v>
      </c>
      <c r="N117" s="3" t="n">
        <v>80</v>
      </c>
      <c r="O117" s="3" t="n">
        <v>5.0074</v>
      </c>
      <c r="P117" s="3" t="n">
        <v>127.517</v>
      </c>
      <c r="Q117" s="3" t="s">
        <v>297</v>
      </c>
      <c r="R117" s="3"/>
      <c r="S117" s="3"/>
    </row>
    <row r="118" customFormat="false" ht="13.8" hidden="false" customHeight="false" outlineLevel="0" collapsed="false">
      <c r="A118" s="3" t="s">
        <v>351</v>
      </c>
      <c r="B118" s="3" t="n">
        <v>6.7</v>
      </c>
      <c r="C118" s="3" t="s">
        <v>352</v>
      </c>
      <c r="D118" s="3" t="n">
        <v>8</v>
      </c>
      <c r="E118" s="3" t="n">
        <v>8</v>
      </c>
      <c r="F118" s="3" t="s">
        <v>21</v>
      </c>
      <c r="G118" s="3" t="n">
        <v>0</v>
      </c>
      <c r="H118" s="3" t="n">
        <v>776</v>
      </c>
      <c r="I118" s="3" t="s">
        <v>22</v>
      </c>
      <c r="J118" s="3" t="n">
        <v>0</v>
      </c>
      <c r="K118" s="3" t="n">
        <v>2.043</v>
      </c>
      <c r="L118" s="3" t="n">
        <v>22</v>
      </c>
      <c r="M118" s="3" t="s">
        <v>23</v>
      </c>
      <c r="N118" s="3" t="n">
        <v>10</v>
      </c>
      <c r="O118" s="3" t="n">
        <v>51.2407</v>
      </c>
      <c r="P118" s="3" t="n">
        <v>100.443</v>
      </c>
      <c r="Q118" s="3" t="s">
        <v>353</v>
      </c>
      <c r="R118" s="3" t="s">
        <v>80</v>
      </c>
      <c r="S118" s="3" t="s">
        <v>354</v>
      </c>
    </row>
    <row r="119" customFormat="false" ht="13.8" hidden="false" customHeight="false" outlineLevel="0" collapsed="false">
      <c r="A119" s="3" t="s">
        <v>355</v>
      </c>
      <c r="B119" s="3" t="n">
        <v>6.7</v>
      </c>
      <c r="C119" s="3" t="s">
        <v>356</v>
      </c>
      <c r="D119" s="3" t="n">
        <v>5</v>
      </c>
      <c r="E119" s="3" t="n">
        <v>5</v>
      </c>
      <c r="F119" s="3" t="s">
        <v>21</v>
      </c>
      <c r="G119" s="3" t="n">
        <v>1</v>
      </c>
      <c r="H119" s="3" t="n">
        <v>776</v>
      </c>
      <c r="I119" s="3" t="s">
        <v>22</v>
      </c>
      <c r="J119" s="3" t="n">
        <v>0</v>
      </c>
      <c r="K119" s="3" t="n">
        <v>1.319</v>
      </c>
      <c r="L119" s="3" t="n">
        <v>19</v>
      </c>
      <c r="M119" s="3" t="s">
        <v>23</v>
      </c>
      <c r="N119" s="3" t="n">
        <v>10</v>
      </c>
      <c r="O119" s="3" t="n">
        <v>-39.3264</v>
      </c>
      <c r="P119" s="3" t="n">
        <v>-74.9067</v>
      </c>
      <c r="Q119" s="3" t="s">
        <v>357</v>
      </c>
      <c r="R119" s="3"/>
      <c r="S119" s="3"/>
    </row>
    <row r="120" customFormat="false" ht="13.8" hidden="false" customHeight="false" outlineLevel="0" collapsed="false">
      <c r="A120" s="3" t="s">
        <v>358</v>
      </c>
      <c r="B120" s="3" t="n">
        <v>7</v>
      </c>
      <c r="C120" s="3" t="s">
        <v>359</v>
      </c>
      <c r="D120" s="3" t="n">
        <v>8</v>
      </c>
      <c r="E120" s="3" t="n">
        <v>7</v>
      </c>
      <c r="F120" s="3" t="s">
        <v>95</v>
      </c>
      <c r="G120" s="3" t="n">
        <v>0</v>
      </c>
      <c r="H120" s="3" t="n">
        <v>1527</v>
      </c>
      <c r="I120" s="3" t="s">
        <v>22</v>
      </c>
      <c r="J120" s="3" t="n">
        <v>0</v>
      </c>
      <c r="K120" s="3" t="n">
        <v>1.518</v>
      </c>
      <c r="L120" s="3" t="n">
        <v>18</v>
      </c>
      <c r="M120" s="3" t="s">
        <v>23</v>
      </c>
      <c r="N120" s="3" t="n">
        <v>21</v>
      </c>
      <c r="O120" s="3" t="n">
        <v>37.8973</v>
      </c>
      <c r="P120" s="3" t="n">
        <v>26.7953</v>
      </c>
      <c r="Q120" s="3" t="s">
        <v>360</v>
      </c>
      <c r="R120" s="3" t="s">
        <v>361</v>
      </c>
      <c r="S120" s="3" t="s">
        <v>362</v>
      </c>
    </row>
    <row r="121" customFormat="false" ht="13.8" hidden="false" customHeight="false" outlineLevel="0" collapsed="false">
      <c r="A121" s="3" t="s">
        <v>363</v>
      </c>
      <c r="B121" s="3" t="n">
        <v>7.6</v>
      </c>
      <c r="C121" s="3" t="s">
        <v>364</v>
      </c>
      <c r="D121" s="3" t="n">
        <v>9</v>
      </c>
      <c r="E121" s="3" t="n">
        <v>7</v>
      </c>
      <c r="F121" s="3" t="s">
        <v>28</v>
      </c>
      <c r="G121" s="3" t="n">
        <v>1</v>
      </c>
      <c r="H121" s="3" t="n">
        <v>1165</v>
      </c>
      <c r="I121" s="3" t="s">
        <v>22</v>
      </c>
      <c r="J121" s="3" t="n">
        <v>0</v>
      </c>
      <c r="K121" s="3" t="n">
        <v>0.23</v>
      </c>
      <c r="L121" s="3" t="n">
        <v>36</v>
      </c>
      <c r="M121" s="3" t="s">
        <v>23</v>
      </c>
      <c r="N121" s="3" t="n">
        <v>28.37</v>
      </c>
      <c r="O121" s="3" t="n">
        <v>54.662</v>
      </c>
      <c r="P121" s="3" t="n">
        <v>-159.675</v>
      </c>
      <c r="Q121" s="3" t="s">
        <v>37</v>
      </c>
      <c r="R121" s="3" t="s">
        <v>164</v>
      </c>
      <c r="S121" s="3" t="s">
        <v>261</v>
      </c>
    </row>
    <row r="122" customFormat="false" ht="13.8" hidden="false" customHeight="false" outlineLevel="0" collapsed="false">
      <c r="A122" s="3" t="s">
        <v>365</v>
      </c>
      <c r="B122" s="3" t="n">
        <v>6.9</v>
      </c>
      <c r="C122" s="3" t="s">
        <v>366</v>
      </c>
      <c r="D122" s="3" t="n">
        <v>0</v>
      </c>
      <c r="E122" s="3" t="n">
        <v>3</v>
      </c>
      <c r="F122" s="3" t="s">
        <v>21</v>
      </c>
      <c r="G122" s="3" t="n">
        <v>1</v>
      </c>
      <c r="H122" s="3" t="n">
        <v>732</v>
      </c>
      <c r="I122" s="3" t="s">
        <v>22</v>
      </c>
      <c r="J122" s="3" t="n">
        <v>0</v>
      </c>
      <c r="K122" s="3" t="n">
        <v>11.255</v>
      </c>
      <c r="L122" s="3" t="n">
        <v>16</v>
      </c>
      <c r="M122" s="3" t="s">
        <v>23</v>
      </c>
      <c r="N122" s="3" t="n">
        <v>10</v>
      </c>
      <c r="O122" s="3" t="n">
        <v>0.9604</v>
      </c>
      <c r="P122" s="3" t="n">
        <v>-26.8332</v>
      </c>
      <c r="Q122" s="3" t="s">
        <v>367</v>
      </c>
      <c r="R122" s="3"/>
      <c r="S122" s="3"/>
    </row>
    <row r="123" customFormat="false" ht="13.8" hidden="false" customHeight="false" outlineLevel="0" collapsed="false">
      <c r="A123" s="3" t="s">
        <v>368</v>
      </c>
      <c r="B123" s="3" t="n">
        <v>6.5</v>
      </c>
      <c r="C123" s="3" t="s">
        <v>369</v>
      </c>
      <c r="D123" s="3" t="n">
        <v>6</v>
      </c>
      <c r="E123" s="3" t="n">
        <v>6</v>
      </c>
      <c r="F123" s="3" t="s">
        <v>21</v>
      </c>
      <c r="G123" s="3" t="n">
        <v>0</v>
      </c>
      <c r="H123" s="3" t="n">
        <v>674</v>
      </c>
      <c r="I123" s="3" t="s">
        <v>22</v>
      </c>
      <c r="J123" s="3" t="n">
        <v>0</v>
      </c>
      <c r="K123" s="3" t="n">
        <v>0.388</v>
      </c>
      <c r="L123" s="3" t="n">
        <v>49</v>
      </c>
      <c r="M123" s="3" t="s">
        <v>23</v>
      </c>
      <c r="N123" s="3" t="n">
        <v>16</v>
      </c>
      <c r="O123" s="3" t="n">
        <v>-27.9285</v>
      </c>
      <c r="P123" s="3" t="n">
        <v>-71.3937</v>
      </c>
      <c r="Q123" s="3" t="s">
        <v>370</v>
      </c>
      <c r="R123" s="3"/>
      <c r="S123" s="3"/>
    </row>
    <row r="124" customFormat="false" ht="13.8" hidden="false" customHeight="false" outlineLevel="0" collapsed="false">
      <c r="A124" s="3" t="s">
        <v>371</v>
      </c>
      <c r="B124" s="3" t="n">
        <v>6.8</v>
      </c>
      <c r="C124" s="3" t="s">
        <v>372</v>
      </c>
      <c r="D124" s="3" t="n">
        <v>6</v>
      </c>
      <c r="E124" s="3" t="n">
        <v>7</v>
      </c>
      <c r="F124" s="3" t="s">
        <v>21</v>
      </c>
      <c r="G124" s="3" t="n">
        <v>1</v>
      </c>
      <c r="H124" s="3" t="n">
        <v>824</v>
      </c>
      <c r="I124" s="3" t="s">
        <v>22</v>
      </c>
      <c r="J124" s="3" t="n">
        <v>0</v>
      </c>
      <c r="K124" s="3" t="n">
        <v>0.312</v>
      </c>
      <c r="L124" s="3" t="n">
        <v>69</v>
      </c>
      <c r="M124" s="3" t="s">
        <v>23</v>
      </c>
      <c r="N124" s="3" t="n">
        <v>21</v>
      </c>
      <c r="O124" s="3" t="n">
        <v>-28.013</v>
      </c>
      <c r="P124" s="3" t="n">
        <v>-71.1958</v>
      </c>
      <c r="Q124" s="3" t="s">
        <v>370</v>
      </c>
      <c r="R124" s="3"/>
      <c r="S124" s="3" t="s">
        <v>373</v>
      </c>
    </row>
    <row r="125" customFormat="false" ht="13.8" hidden="false" customHeight="false" outlineLevel="0" collapsed="false">
      <c r="A125" s="3" t="s">
        <v>374</v>
      </c>
      <c r="B125" s="3" t="n">
        <v>6.5</v>
      </c>
      <c r="C125" s="3" t="s">
        <v>375</v>
      </c>
      <c r="D125" s="3" t="n">
        <v>4</v>
      </c>
      <c r="E125" s="3" t="n">
        <v>5</v>
      </c>
      <c r="F125" s="3" t="s">
        <v>21</v>
      </c>
      <c r="G125" s="3" t="n">
        <v>0</v>
      </c>
      <c r="H125" s="3" t="n">
        <v>651</v>
      </c>
      <c r="I125" s="3" t="s">
        <v>22</v>
      </c>
      <c r="J125" s="3" t="n">
        <v>0</v>
      </c>
      <c r="K125" s="3" t="n">
        <v>15.394</v>
      </c>
      <c r="L125" s="3" t="n">
        <v>31</v>
      </c>
      <c r="M125" s="3" t="s">
        <v>23</v>
      </c>
      <c r="N125" s="3" t="n">
        <v>10</v>
      </c>
      <c r="O125" s="3" t="n">
        <v>0.8696</v>
      </c>
      <c r="P125" s="3" t="n">
        <v>-29.7046</v>
      </c>
      <c r="Q125" s="3" t="s">
        <v>367</v>
      </c>
      <c r="R125" s="3"/>
      <c r="S125" s="3"/>
    </row>
    <row r="126" customFormat="false" ht="13.8" hidden="false" customHeight="false" outlineLevel="0" collapsed="false">
      <c r="A126" s="3" t="s">
        <v>376</v>
      </c>
      <c r="B126" s="3" t="n">
        <v>6.9</v>
      </c>
      <c r="C126" s="3" t="s">
        <v>377</v>
      </c>
      <c r="D126" s="3" t="n">
        <v>4</v>
      </c>
      <c r="E126" s="3" t="n">
        <v>3</v>
      </c>
      <c r="F126" s="3" t="s">
        <v>21</v>
      </c>
      <c r="G126" s="3" t="n">
        <v>0</v>
      </c>
      <c r="H126" s="3" t="n">
        <v>749</v>
      </c>
      <c r="I126" s="3" t="s">
        <v>22</v>
      </c>
      <c r="J126" s="3" t="n">
        <v>0</v>
      </c>
      <c r="K126" s="3" t="n">
        <v>2.267</v>
      </c>
      <c r="L126" s="3" t="n">
        <v>20</v>
      </c>
      <c r="M126" s="3" t="s">
        <v>23</v>
      </c>
      <c r="N126" s="3" t="n">
        <v>624</v>
      </c>
      <c r="O126" s="3" t="n">
        <v>-6.6704</v>
      </c>
      <c r="P126" s="3" t="n">
        <v>123.493</v>
      </c>
      <c r="Q126" s="3" t="s">
        <v>378</v>
      </c>
      <c r="R126" s="3"/>
      <c r="S126" s="3" t="s">
        <v>68</v>
      </c>
    </row>
    <row r="127" customFormat="false" ht="13.8" hidden="false" customHeight="false" outlineLevel="0" collapsed="false">
      <c r="A127" s="3" t="s">
        <v>379</v>
      </c>
      <c r="B127" s="3" t="n">
        <v>6.9</v>
      </c>
      <c r="C127" s="3" t="s">
        <v>380</v>
      </c>
      <c r="D127" s="3" t="n">
        <v>4</v>
      </c>
      <c r="E127" s="3" t="n">
        <v>4</v>
      </c>
      <c r="F127" s="3" t="s">
        <v>21</v>
      </c>
      <c r="G127" s="3" t="n">
        <v>0</v>
      </c>
      <c r="H127" s="3" t="n">
        <v>735</v>
      </c>
      <c r="I127" s="3" t="s">
        <v>22</v>
      </c>
      <c r="J127" s="3" t="n">
        <v>0</v>
      </c>
      <c r="K127" s="3" t="n">
        <v>1.716</v>
      </c>
      <c r="L127" s="3" t="n">
        <v>25</v>
      </c>
      <c r="M127" s="3" t="s">
        <v>23</v>
      </c>
      <c r="N127" s="3" t="n">
        <v>26</v>
      </c>
      <c r="O127" s="3" t="n">
        <v>-4.2791</v>
      </c>
      <c r="P127" s="3" t="n">
        <v>101.215</v>
      </c>
      <c r="Q127" s="3" t="s">
        <v>143</v>
      </c>
      <c r="R127" s="3"/>
      <c r="S127" s="3" t="s">
        <v>68</v>
      </c>
    </row>
    <row r="128" customFormat="false" ht="13.8" hidden="false" customHeight="false" outlineLevel="0" collapsed="false">
      <c r="A128" s="3" t="s">
        <v>381</v>
      </c>
      <c r="B128" s="3" t="n">
        <v>6.8</v>
      </c>
      <c r="C128" s="3" t="s">
        <v>382</v>
      </c>
      <c r="D128" s="3" t="n">
        <v>5</v>
      </c>
      <c r="E128" s="3" t="n">
        <v>4</v>
      </c>
      <c r="F128" s="3" t="s">
        <v>21</v>
      </c>
      <c r="G128" s="3" t="n">
        <v>0</v>
      </c>
      <c r="H128" s="3" t="n">
        <v>716</v>
      </c>
      <c r="I128" s="3" t="s">
        <v>22</v>
      </c>
      <c r="J128" s="3" t="n">
        <v>0</v>
      </c>
      <c r="K128" s="3" t="n">
        <v>1.816</v>
      </c>
      <c r="L128" s="3" t="n">
        <v>34</v>
      </c>
      <c r="M128" s="3" t="s">
        <v>23</v>
      </c>
      <c r="N128" s="3" t="n">
        <v>22</v>
      </c>
      <c r="O128" s="3" t="n">
        <v>-4.3724</v>
      </c>
      <c r="P128" s="3" t="n">
        <v>101.095</v>
      </c>
      <c r="Q128" s="3" t="s">
        <v>143</v>
      </c>
      <c r="R128" s="3"/>
      <c r="S128" s="3" t="s">
        <v>68</v>
      </c>
    </row>
    <row r="129" customFormat="false" ht="13.8" hidden="false" customHeight="false" outlineLevel="0" collapsed="false">
      <c r="A129" s="3" t="s">
        <v>383</v>
      </c>
      <c r="B129" s="3" t="n">
        <v>6.6</v>
      </c>
      <c r="C129" s="3" t="s">
        <v>384</v>
      </c>
      <c r="D129" s="3" t="n">
        <v>9</v>
      </c>
      <c r="E129" s="3" t="n">
        <v>8</v>
      </c>
      <c r="F129" s="3" t="s">
        <v>28</v>
      </c>
      <c r="G129" s="3" t="n">
        <v>1</v>
      </c>
      <c r="H129" s="3" t="n">
        <v>784</v>
      </c>
      <c r="I129" s="3" t="s">
        <v>22</v>
      </c>
      <c r="J129" s="3" t="n">
        <v>0</v>
      </c>
      <c r="K129" s="3" t="n">
        <v>5.128</v>
      </c>
      <c r="L129" s="3" t="n">
        <v>14</v>
      </c>
      <c r="M129" s="3" t="s">
        <v>23</v>
      </c>
      <c r="N129" s="3" t="n">
        <v>10</v>
      </c>
      <c r="O129" s="3" t="n">
        <v>12.0065</v>
      </c>
      <c r="P129" s="3" t="n">
        <v>124.13</v>
      </c>
      <c r="Q129" s="3" t="s">
        <v>385</v>
      </c>
      <c r="R129" s="3"/>
      <c r="S129" s="3" t="s">
        <v>191</v>
      </c>
    </row>
    <row r="130" customFormat="false" ht="13.8" hidden="false" customHeight="false" outlineLevel="0" collapsed="false">
      <c r="A130" s="3" t="s">
        <v>386</v>
      </c>
      <c r="B130" s="3" t="n">
        <v>7.8</v>
      </c>
      <c r="C130" s="3" t="s">
        <v>387</v>
      </c>
      <c r="D130" s="3" t="n">
        <v>9</v>
      </c>
      <c r="E130" s="3" t="n">
        <v>7</v>
      </c>
      <c r="F130" s="3" t="s">
        <v>21</v>
      </c>
      <c r="G130" s="3" t="n">
        <v>1</v>
      </c>
      <c r="H130" s="3" t="n">
        <v>1111</v>
      </c>
      <c r="I130" s="3" t="s">
        <v>22</v>
      </c>
      <c r="J130" s="3" t="n">
        <v>0</v>
      </c>
      <c r="K130" s="3" t="n">
        <v>0.621</v>
      </c>
      <c r="L130" s="3" t="n">
        <v>60</v>
      </c>
      <c r="M130" s="3" t="s">
        <v>23</v>
      </c>
      <c r="N130" s="3" t="n">
        <v>28</v>
      </c>
      <c r="O130" s="3" t="n">
        <v>55.1079</v>
      </c>
      <c r="P130" s="3" t="n">
        <v>-158.477</v>
      </c>
      <c r="Q130" s="3" t="s">
        <v>289</v>
      </c>
      <c r="R130" s="3"/>
      <c r="S130" s="3"/>
    </row>
    <row r="131" customFormat="false" ht="13.8" hidden="false" customHeight="false" outlineLevel="0" collapsed="false">
      <c r="A131" s="3" t="s">
        <v>388</v>
      </c>
      <c r="B131" s="3" t="n">
        <v>7</v>
      </c>
      <c r="C131" s="3" t="s">
        <v>389</v>
      </c>
      <c r="D131" s="3" t="n">
        <v>6</v>
      </c>
      <c r="E131" s="3" t="n">
        <v>7</v>
      </c>
      <c r="F131" s="3" t="s">
        <v>21</v>
      </c>
      <c r="G131" s="3" t="n">
        <v>1</v>
      </c>
      <c r="H131" s="3" t="n">
        <v>820</v>
      </c>
      <c r="I131" s="3" t="s">
        <v>22</v>
      </c>
      <c r="J131" s="3" t="n">
        <v>0</v>
      </c>
      <c r="K131" s="3" t="n">
        <v>1.671</v>
      </c>
      <c r="L131" s="3" t="n">
        <v>18</v>
      </c>
      <c r="M131" s="3" t="s">
        <v>23</v>
      </c>
      <c r="N131" s="3" t="n">
        <v>73</v>
      </c>
      <c r="O131" s="3" t="n">
        <v>-7.847</v>
      </c>
      <c r="P131" s="3" t="n">
        <v>147.755</v>
      </c>
      <c r="Q131" s="3" t="s">
        <v>390</v>
      </c>
      <c r="R131" s="3"/>
      <c r="S131" s="3" t="s">
        <v>85</v>
      </c>
    </row>
    <row r="132" customFormat="false" ht="13.8" hidden="false" customHeight="false" outlineLevel="0" collapsed="false">
      <c r="A132" s="3" t="s">
        <v>391</v>
      </c>
      <c r="B132" s="3" t="n">
        <v>6.6</v>
      </c>
      <c r="C132" s="3" t="s">
        <v>392</v>
      </c>
      <c r="D132" s="3" t="n">
        <v>4</v>
      </c>
      <c r="E132" s="3" t="n">
        <v>2</v>
      </c>
      <c r="F132" s="3" t="s">
        <v>21</v>
      </c>
      <c r="G132" s="3" t="n">
        <v>0</v>
      </c>
      <c r="H132" s="3" t="n">
        <v>684</v>
      </c>
      <c r="I132" s="3" t="s">
        <v>22</v>
      </c>
      <c r="J132" s="3" t="n">
        <v>0</v>
      </c>
      <c r="K132" s="3" t="n">
        <v>1.458</v>
      </c>
      <c r="L132" s="3" t="n">
        <v>14</v>
      </c>
      <c r="M132" s="3" t="s">
        <v>23</v>
      </c>
      <c r="N132" s="3" t="n">
        <v>533.76</v>
      </c>
      <c r="O132" s="3" t="n">
        <v>-5.6368</v>
      </c>
      <c r="P132" s="3" t="n">
        <v>110.678</v>
      </c>
      <c r="Q132" s="3" t="s">
        <v>393</v>
      </c>
      <c r="R132" s="3"/>
      <c r="S132" s="3" t="s">
        <v>68</v>
      </c>
    </row>
    <row r="133" customFormat="false" ht="13.8" hidden="false" customHeight="false" outlineLevel="0" collapsed="false">
      <c r="A133" s="3" t="s">
        <v>394</v>
      </c>
      <c r="B133" s="3" t="n">
        <v>7.4</v>
      </c>
      <c r="C133" s="3" t="s">
        <v>395</v>
      </c>
      <c r="D133" s="3" t="n">
        <v>8</v>
      </c>
      <c r="E133" s="3" t="n">
        <v>8</v>
      </c>
      <c r="F133" s="3" t="s">
        <v>95</v>
      </c>
      <c r="G133" s="3" t="n">
        <v>1</v>
      </c>
      <c r="H133" s="3" t="n">
        <v>1494</v>
      </c>
      <c r="I133" s="3" t="s">
        <v>22</v>
      </c>
      <c r="J133" s="3" t="n">
        <v>0</v>
      </c>
      <c r="K133" s="3" t="n">
        <v>0.151</v>
      </c>
      <c r="L133" s="3" t="n">
        <v>30</v>
      </c>
      <c r="M133" s="3" t="s">
        <v>23</v>
      </c>
      <c r="N133" s="3" t="n">
        <v>20</v>
      </c>
      <c r="O133" s="3" t="n">
        <v>15.9163</v>
      </c>
      <c r="P133" s="3" t="n">
        <v>-95.9533</v>
      </c>
      <c r="Q133" s="3" t="s">
        <v>396</v>
      </c>
      <c r="R133" s="3" t="s">
        <v>164</v>
      </c>
      <c r="S133" s="3" t="s">
        <v>165</v>
      </c>
    </row>
    <row r="134" customFormat="false" ht="13.8" hidden="false" customHeight="false" outlineLevel="0" collapsed="false">
      <c r="A134" s="3" t="s">
        <v>397</v>
      </c>
      <c r="B134" s="3" t="n">
        <v>7.4</v>
      </c>
      <c r="C134" s="3" t="s">
        <v>398</v>
      </c>
      <c r="D134" s="3" t="n">
        <v>7</v>
      </c>
      <c r="E134" s="3" t="n">
        <v>7</v>
      </c>
      <c r="F134" s="3" t="s">
        <v>21</v>
      </c>
      <c r="G134" s="3" t="n">
        <v>1</v>
      </c>
      <c r="H134" s="3" t="n">
        <v>873</v>
      </c>
      <c r="I134" s="3" t="s">
        <v>22</v>
      </c>
      <c r="J134" s="3" t="n">
        <v>0</v>
      </c>
      <c r="K134" s="3" t="n">
        <v>4.035</v>
      </c>
      <c r="L134" s="3" t="n">
        <v>23</v>
      </c>
      <c r="M134" s="3" t="s">
        <v>23</v>
      </c>
      <c r="N134" s="3" t="n">
        <v>10</v>
      </c>
      <c r="O134" s="3" t="n">
        <v>-33.2938</v>
      </c>
      <c r="P134" s="3" t="n">
        <v>-177.838</v>
      </c>
      <c r="Q134" s="3" t="s">
        <v>187</v>
      </c>
      <c r="R134" s="3"/>
      <c r="S134" s="3"/>
    </row>
    <row r="135" customFormat="false" ht="13.8" hidden="false" customHeight="false" outlineLevel="0" collapsed="false">
      <c r="A135" s="3" t="s">
        <v>399</v>
      </c>
      <c r="B135" s="3" t="n">
        <v>6.6</v>
      </c>
      <c r="C135" s="3" t="s">
        <v>400</v>
      </c>
      <c r="D135" s="3" t="n">
        <v>5</v>
      </c>
      <c r="E135" s="3" t="n">
        <v>4</v>
      </c>
      <c r="F135" s="3" t="s">
        <v>21</v>
      </c>
      <c r="G135" s="3" t="n">
        <v>1</v>
      </c>
      <c r="H135" s="3" t="n">
        <v>734</v>
      </c>
      <c r="I135" s="3" t="s">
        <v>22</v>
      </c>
      <c r="J135" s="3" t="n">
        <v>0</v>
      </c>
      <c r="K135" s="3" t="n">
        <v>2.015</v>
      </c>
      <c r="L135" s="3" t="n">
        <v>18</v>
      </c>
      <c r="M135" s="3" t="s">
        <v>23</v>
      </c>
      <c r="N135" s="3" t="n">
        <v>165</v>
      </c>
      <c r="O135" s="3" t="n">
        <v>28.9386</v>
      </c>
      <c r="P135" s="3" t="n">
        <v>128.262</v>
      </c>
      <c r="Q135" s="3" t="s">
        <v>401</v>
      </c>
      <c r="R135" s="3"/>
      <c r="S135" s="3"/>
    </row>
    <row r="136" customFormat="false" ht="13.8" hidden="false" customHeight="false" outlineLevel="0" collapsed="false">
      <c r="A136" s="3" t="s">
        <v>402</v>
      </c>
      <c r="B136" s="3" t="n">
        <v>6.8</v>
      </c>
      <c r="C136" s="3" t="s">
        <v>403</v>
      </c>
      <c r="D136" s="3" t="n">
        <v>6</v>
      </c>
      <c r="E136" s="3" t="n">
        <v>6</v>
      </c>
      <c r="F136" s="3" t="s">
        <v>21</v>
      </c>
      <c r="G136" s="3" t="n">
        <v>1</v>
      </c>
      <c r="H136" s="3" t="n">
        <v>835</v>
      </c>
      <c r="I136" s="3" t="s">
        <v>22</v>
      </c>
      <c r="J136" s="3" t="n">
        <v>0</v>
      </c>
      <c r="K136" s="3" t="n">
        <v>1.164</v>
      </c>
      <c r="L136" s="3" t="n">
        <v>21</v>
      </c>
      <c r="M136" s="3" t="s">
        <v>23</v>
      </c>
      <c r="N136" s="3" t="n">
        <v>112</v>
      </c>
      <c r="O136" s="3" t="n">
        <v>-23.2966</v>
      </c>
      <c r="P136" s="3" t="n">
        <v>-68.4204</v>
      </c>
      <c r="Q136" s="3" t="s">
        <v>404</v>
      </c>
      <c r="R136" s="3" t="s">
        <v>33</v>
      </c>
      <c r="S136" s="3" t="s">
        <v>373</v>
      </c>
    </row>
    <row r="137" customFormat="false" ht="13.8" hidden="false" customHeight="false" outlineLevel="0" collapsed="false">
      <c r="A137" s="3" t="s">
        <v>405</v>
      </c>
      <c r="B137" s="3" t="n">
        <v>6.5</v>
      </c>
      <c r="C137" s="3" t="s">
        <v>406</v>
      </c>
      <c r="D137" s="3" t="n">
        <v>7</v>
      </c>
      <c r="E137" s="3" t="n">
        <v>8</v>
      </c>
      <c r="F137" s="3" t="s">
        <v>21</v>
      </c>
      <c r="G137" s="3" t="n">
        <v>0</v>
      </c>
      <c r="H137" s="3" t="n">
        <v>1320</v>
      </c>
      <c r="I137" s="3" t="s">
        <v>407</v>
      </c>
      <c r="J137" s="3" t="n">
        <v>27</v>
      </c>
      <c r="K137" s="3" t="n">
        <v>0.357</v>
      </c>
      <c r="L137" s="3" t="n">
        <v>55.79</v>
      </c>
      <c r="M137" s="3" t="s">
        <v>408</v>
      </c>
      <c r="N137" s="3" t="n">
        <v>2.7</v>
      </c>
      <c r="O137" s="3" t="n">
        <v>38.1689</v>
      </c>
      <c r="P137" s="3" t="n">
        <v>-117.85</v>
      </c>
      <c r="Q137" s="3" t="s">
        <v>409</v>
      </c>
      <c r="R137" s="3" t="s">
        <v>164</v>
      </c>
      <c r="S137" s="3" t="s">
        <v>261</v>
      </c>
    </row>
    <row r="138" customFormat="false" ht="13.8" hidden="false" customHeight="false" outlineLevel="0" collapsed="false">
      <c r="A138" s="3" t="s">
        <v>410</v>
      </c>
      <c r="B138" s="3" t="n">
        <v>6.6</v>
      </c>
      <c r="C138" s="3" t="s">
        <v>411</v>
      </c>
      <c r="D138" s="3" t="n">
        <v>4</v>
      </c>
      <c r="E138" s="3" t="n">
        <v>6</v>
      </c>
      <c r="F138" s="3" t="s">
        <v>21</v>
      </c>
      <c r="G138" s="3" t="n">
        <v>1</v>
      </c>
      <c r="H138" s="3" t="n">
        <v>671</v>
      </c>
      <c r="I138" s="3" t="s">
        <v>22</v>
      </c>
      <c r="J138" s="3" t="n">
        <v>0</v>
      </c>
      <c r="K138" s="3" t="n">
        <v>3.403</v>
      </c>
      <c r="L138" s="3" t="n">
        <v>12</v>
      </c>
      <c r="M138" s="3" t="s">
        <v>23</v>
      </c>
      <c r="N138" s="3" t="n">
        <v>107</v>
      </c>
      <c r="O138" s="3" t="n">
        <v>-12.0662</v>
      </c>
      <c r="P138" s="3" t="n">
        <v>166.648</v>
      </c>
      <c r="Q138" s="3" t="s">
        <v>412</v>
      </c>
      <c r="R138" s="3"/>
      <c r="S138" s="3"/>
    </row>
    <row r="139" customFormat="false" ht="13.8" hidden="false" customHeight="false" outlineLevel="0" collapsed="false">
      <c r="A139" s="3" t="s">
        <v>413</v>
      </c>
      <c r="B139" s="3" t="n">
        <v>6.8</v>
      </c>
      <c r="C139" s="3" t="s">
        <v>414</v>
      </c>
      <c r="D139" s="3" t="n">
        <v>4</v>
      </c>
      <c r="E139" s="3" t="n">
        <v>6</v>
      </c>
      <c r="F139" s="3" t="s">
        <v>21</v>
      </c>
      <c r="G139" s="3" t="n">
        <v>0</v>
      </c>
      <c r="H139" s="3" t="n">
        <v>738</v>
      </c>
      <c r="I139" s="3" t="s">
        <v>22</v>
      </c>
      <c r="J139" s="3" t="n">
        <v>0</v>
      </c>
      <c r="K139" s="3" t="n">
        <v>1.921</v>
      </c>
      <c r="L139" s="3" t="n">
        <v>16</v>
      </c>
      <c r="M139" s="3" t="s">
        <v>23</v>
      </c>
      <c r="N139" s="3" t="n">
        <v>96</v>
      </c>
      <c r="O139" s="3" t="n">
        <v>-6.7762</v>
      </c>
      <c r="P139" s="3" t="n">
        <v>129.785</v>
      </c>
      <c r="Q139" s="3" t="s">
        <v>415</v>
      </c>
      <c r="R139" s="3"/>
      <c r="S139" s="3" t="s">
        <v>68</v>
      </c>
    </row>
    <row r="140" customFormat="false" ht="13.8" hidden="false" customHeight="false" outlineLevel="0" collapsed="false">
      <c r="A140" s="3" t="s">
        <v>416</v>
      </c>
      <c r="B140" s="3" t="n">
        <v>6.5</v>
      </c>
      <c r="C140" s="3" t="s">
        <v>417</v>
      </c>
      <c r="D140" s="3" t="n">
        <v>7</v>
      </c>
      <c r="E140" s="3" t="n">
        <v>6</v>
      </c>
      <c r="F140" s="3" t="s">
        <v>21</v>
      </c>
      <c r="G140" s="3" t="n">
        <v>0</v>
      </c>
      <c r="H140" s="3" t="n">
        <v>678</v>
      </c>
      <c r="I140" s="3" t="s">
        <v>22</v>
      </c>
      <c r="J140" s="3" t="n">
        <v>0</v>
      </c>
      <c r="K140" s="3" t="n">
        <v>1.293</v>
      </c>
      <c r="L140" s="3" t="n">
        <v>19</v>
      </c>
      <c r="M140" s="3" t="s">
        <v>23</v>
      </c>
      <c r="N140" s="3" t="n">
        <v>10</v>
      </c>
      <c r="O140" s="3" t="n">
        <v>34.1818</v>
      </c>
      <c r="P140" s="3" t="n">
        <v>25.7101</v>
      </c>
      <c r="Q140" s="3" t="s">
        <v>418</v>
      </c>
      <c r="R140" s="3"/>
      <c r="S140" s="3"/>
    </row>
    <row r="141" customFormat="false" ht="13.8" hidden="false" customHeight="false" outlineLevel="0" collapsed="false">
      <c r="A141" s="3" t="s">
        <v>419</v>
      </c>
      <c r="B141" s="3" t="n">
        <v>6.5</v>
      </c>
      <c r="C141" s="3" t="s">
        <v>420</v>
      </c>
      <c r="D141" s="3" t="n">
        <v>8</v>
      </c>
      <c r="E141" s="3" t="n">
        <v>8</v>
      </c>
      <c r="F141" s="3" t="s">
        <v>21</v>
      </c>
      <c r="G141" s="3" t="n">
        <v>0</v>
      </c>
      <c r="H141" s="3" t="n">
        <v>1410</v>
      </c>
      <c r="I141" s="3" t="s">
        <v>22</v>
      </c>
      <c r="J141" s="3" t="n">
        <v>0</v>
      </c>
      <c r="K141" s="3" t="n">
        <v>0.885</v>
      </c>
      <c r="L141" s="3" t="n">
        <v>31</v>
      </c>
      <c r="M141" s="3" t="s">
        <v>23</v>
      </c>
      <c r="N141" s="3" t="n">
        <v>12.06</v>
      </c>
      <c r="O141" s="3" t="n">
        <v>44.4646</v>
      </c>
      <c r="P141" s="3" t="n">
        <v>-115.118</v>
      </c>
      <c r="Q141" s="3" t="s">
        <v>421</v>
      </c>
      <c r="R141" s="3" t="s">
        <v>164</v>
      </c>
      <c r="S141" s="3" t="s">
        <v>261</v>
      </c>
    </row>
    <row r="142" customFormat="false" ht="13.8" hidden="false" customHeight="false" outlineLevel="0" collapsed="false">
      <c r="A142" s="3" t="s">
        <v>422</v>
      </c>
      <c r="B142" s="3" t="n">
        <v>7.5</v>
      </c>
      <c r="C142" s="3" t="s">
        <v>423</v>
      </c>
      <c r="D142" s="3" t="n">
        <v>6</v>
      </c>
      <c r="E142" s="3" t="n">
        <v>5</v>
      </c>
      <c r="F142" s="3" t="s">
        <v>21</v>
      </c>
      <c r="G142" s="3" t="n">
        <v>1</v>
      </c>
      <c r="H142" s="3" t="n">
        <v>879</v>
      </c>
      <c r="I142" s="3" t="s">
        <v>22</v>
      </c>
      <c r="J142" s="3" t="n">
        <v>0</v>
      </c>
      <c r="K142" s="3" t="n">
        <v>4.109</v>
      </c>
      <c r="L142" s="3" t="n">
        <v>12</v>
      </c>
      <c r="M142" s="3" t="s">
        <v>23</v>
      </c>
      <c r="N142" s="3" t="n">
        <v>57.8</v>
      </c>
      <c r="O142" s="3" t="n">
        <v>48.9638</v>
      </c>
      <c r="P142" s="3" t="n">
        <v>157.695</v>
      </c>
      <c r="Q142" s="3" t="s">
        <v>424</v>
      </c>
      <c r="R142" s="3"/>
      <c r="S142" s="3"/>
    </row>
    <row r="143" customFormat="false" ht="13.8" hidden="false" customHeight="false" outlineLevel="0" collapsed="false">
      <c r="A143" s="3" t="s">
        <v>425</v>
      </c>
      <c r="B143" s="3" t="n">
        <v>7</v>
      </c>
      <c r="C143" s="3" t="s">
        <v>426</v>
      </c>
      <c r="D143" s="3" t="n">
        <v>5</v>
      </c>
      <c r="E143" s="3" t="n">
        <v>6</v>
      </c>
      <c r="F143" s="3" t="s">
        <v>28</v>
      </c>
      <c r="G143" s="3" t="n">
        <v>1</v>
      </c>
      <c r="H143" s="3" t="n">
        <v>770</v>
      </c>
      <c r="I143" s="3" t="s">
        <v>22</v>
      </c>
      <c r="J143" s="3" t="n">
        <v>0</v>
      </c>
      <c r="K143" s="3" t="n">
        <v>4.501</v>
      </c>
      <c r="L143" s="3" t="n">
        <v>25</v>
      </c>
      <c r="M143" s="3" t="s">
        <v>23</v>
      </c>
      <c r="N143" s="3" t="n">
        <v>143</v>
      </c>
      <c r="O143" s="3" t="n">
        <v>45.6161</v>
      </c>
      <c r="P143" s="3" t="n">
        <v>148.959</v>
      </c>
      <c r="Q143" s="3" t="s">
        <v>427</v>
      </c>
      <c r="R143" s="3" t="s">
        <v>80</v>
      </c>
      <c r="S143" s="3" t="s">
        <v>428</v>
      </c>
    </row>
    <row r="144" customFormat="false" ht="13.8" hidden="false" customHeight="false" outlineLevel="0" collapsed="false">
      <c r="A144" s="3" t="s">
        <v>429</v>
      </c>
      <c r="B144" s="3" t="n">
        <v>7.7</v>
      </c>
      <c r="C144" s="3" t="s">
        <v>430</v>
      </c>
      <c r="D144" s="3" t="n">
        <v>9</v>
      </c>
      <c r="E144" s="3" t="n">
        <v>6</v>
      </c>
      <c r="F144" s="3" t="s">
        <v>28</v>
      </c>
      <c r="G144" s="3" t="n">
        <v>1</v>
      </c>
      <c r="H144" s="3" t="n">
        <v>1812</v>
      </c>
      <c r="I144" s="3" t="s">
        <v>22</v>
      </c>
      <c r="J144" s="3" t="n">
        <v>0</v>
      </c>
      <c r="K144" s="3" t="n">
        <v>1.657</v>
      </c>
      <c r="L144" s="3" t="n">
        <v>26</v>
      </c>
      <c r="M144" s="3" t="s">
        <v>23</v>
      </c>
      <c r="N144" s="3" t="n">
        <v>14.86</v>
      </c>
      <c r="O144" s="3" t="n">
        <v>19.4193</v>
      </c>
      <c r="P144" s="3" t="n">
        <v>-78.756</v>
      </c>
      <c r="Q144" s="3" t="s">
        <v>431</v>
      </c>
      <c r="R144" s="3"/>
      <c r="S144" s="3"/>
    </row>
    <row r="145" customFormat="false" ht="13.8" hidden="false" customHeight="false" outlineLevel="0" collapsed="false">
      <c r="A145" s="3" t="s">
        <v>432</v>
      </c>
      <c r="B145" s="3" t="n">
        <v>6.7</v>
      </c>
      <c r="C145" s="3" t="s">
        <v>433</v>
      </c>
      <c r="D145" s="3" t="n">
        <v>8</v>
      </c>
      <c r="E145" s="3" t="n">
        <v>9</v>
      </c>
      <c r="F145" s="3" t="s">
        <v>95</v>
      </c>
      <c r="G145" s="3" t="n">
        <v>0</v>
      </c>
      <c r="H145" s="3" t="n">
        <v>1247</v>
      </c>
      <c r="I145" s="3" t="s">
        <v>22</v>
      </c>
      <c r="J145" s="3" t="n">
        <v>0</v>
      </c>
      <c r="K145" s="3" t="n">
        <v>0.87</v>
      </c>
      <c r="L145" s="3" t="n">
        <v>49</v>
      </c>
      <c r="M145" s="3" t="s">
        <v>23</v>
      </c>
      <c r="N145" s="3" t="n">
        <v>10</v>
      </c>
      <c r="O145" s="3" t="n">
        <v>38.4312</v>
      </c>
      <c r="P145" s="3" t="n">
        <v>39.0609</v>
      </c>
      <c r="Q145" s="3" t="s">
        <v>434</v>
      </c>
      <c r="R145" s="3" t="s">
        <v>80</v>
      </c>
      <c r="S145" s="3" t="s">
        <v>435</v>
      </c>
    </row>
    <row r="146" customFormat="false" ht="13.8" hidden="false" customHeight="false" outlineLevel="0" collapsed="false">
      <c r="A146" s="3" t="s">
        <v>436</v>
      </c>
      <c r="B146" s="3" t="n">
        <v>6.8</v>
      </c>
      <c r="C146" s="3" t="s">
        <v>437</v>
      </c>
      <c r="D146" s="3" t="n">
        <v>9</v>
      </c>
      <c r="E146" s="3" t="n">
        <v>7</v>
      </c>
      <c r="F146" s="3" t="s">
        <v>28</v>
      </c>
      <c r="G146" s="3" t="n">
        <v>1</v>
      </c>
      <c r="H146" s="3" t="n">
        <v>825</v>
      </c>
      <c r="I146" s="3" t="s">
        <v>22</v>
      </c>
      <c r="J146" s="3" t="n">
        <v>0</v>
      </c>
      <c r="K146" s="3" t="n">
        <v>0.546</v>
      </c>
      <c r="L146" s="3" t="n">
        <v>39</v>
      </c>
      <c r="M146" s="3" t="s">
        <v>23</v>
      </c>
      <c r="N146" s="3" t="n">
        <v>18</v>
      </c>
      <c r="O146" s="3" t="n">
        <v>6.6969</v>
      </c>
      <c r="P146" s="3" t="n">
        <v>125.174</v>
      </c>
      <c r="Q146" s="3" t="s">
        <v>438</v>
      </c>
      <c r="R146" s="3"/>
      <c r="S146" s="3" t="s">
        <v>191</v>
      </c>
    </row>
    <row r="147" customFormat="false" ht="13.8" hidden="false" customHeight="false" outlineLevel="0" collapsed="false">
      <c r="A147" s="3" t="s">
        <v>439</v>
      </c>
      <c r="B147" s="3" t="n">
        <v>7.1</v>
      </c>
      <c r="C147" s="3" t="s">
        <v>440</v>
      </c>
      <c r="D147" s="3" t="n">
        <v>6</v>
      </c>
      <c r="E147" s="3" t="n">
        <v>6</v>
      </c>
      <c r="F147" s="3" t="s">
        <v>21</v>
      </c>
      <c r="G147" s="3" t="n">
        <v>1</v>
      </c>
      <c r="H147" s="3" t="n">
        <v>799</v>
      </c>
      <c r="I147" s="3" t="s">
        <v>22</v>
      </c>
      <c r="J147" s="3" t="n">
        <v>0</v>
      </c>
      <c r="K147" s="3" t="n">
        <v>1.271</v>
      </c>
      <c r="L147" s="3" t="n">
        <v>11</v>
      </c>
      <c r="M147" s="3" t="s">
        <v>23</v>
      </c>
      <c r="N147" s="3" t="n">
        <v>33</v>
      </c>
      <c r="O147" s="3" t="n">
        <v>1.6213</v>
      </c>
      <c r="P147" s="3" t="n">
        <v>126.416</v>
      </c>
      <c r="Q147" s="3" t="s">
        <v>441</v>
      </c>
      <c r="R147" s="3"/>
      <c r="S147" s="3" t="s">
        <v>68</v>
      </c>
    </row>
    <row r="148" customFormat="false" ht="13.8" hidden="false" customHeight="false" outlineLevel="0" collapsed="false">
      <c r="A148" s="3" t="s">
        <v>442</v>
      </c>
      <c r="B148" s="3" t="n">
        <v>6.5</v>
      </c>
      <c r="C148" s="3" t="s">
        <v>443</v>
      </c>
      <c r="D148" s="3" t="n">
        <v>0</v>
      </c>
      <c r="E148" s="3" t="n">
        <v>2</v>
      </c>
      <c r="F148" s="3" t="s">
        <v>21</v>
      </c>
      <c r="G148" s="3" t="n">
        <v>0</v>
      </c>
      <c r="H148" s="3" t="n">
        <v>650</v>
      </c>
      <c r="I148" s="3" t="s">
        <v>22</v>
      </c>
      <c r="J148" s="3" t="n">
        <v>0</v>
      </c>
      <c r="K148" s="3" t="n">
        <v>4.765</v>
      </c>
      <c r="L148" s="3" t="n">
        <v>25</v>
      </c>
      <c r="M148" s="3" t="s">
        <v>23</v>
      </c>
      <c r="N148" s="3" t="n">
        <v>577</v>
      </c>
      <c r="O148" s="3" t="n">
        <v>-21.9449</v>
      </c>
      <c r="P148" s="3" t="n">
        <v>-179.511</v>
      </c>
      <c r="Q148" s="3" t="s">
        <v>444</v>
      </c>
      <c r="R148" s="3"/>
      <c r="S148" s="3"/>
    </row>
    <row r="149" customFormat="false" ht="13.8" hidden="false" customHeight="false" outlineLevel="0" collapsed="false">
      <c r="A149" s="3" t="s">
        <v>445</v>
      </c>
      <c r="B149" s="3" t="n">
        <v>6.6</v>
      </c>
      <c r="C149" s="3" t="s">
        <v>446</v>
      </c>
      <c r="D149" s="3" t="n">
        <v>4</v>
      </c>
      <c r="E149" s="3" t="n">
        <v>4</v>
      </c>
      <c r="F149" s="3" t="s">
        <v>21</v>
      </c>
      <c r="G149" s="3" t="n">
        <v>1</v>
      </c>
      <c r="H149" s="3" t="n">
        <v>673</v>
      </c>
      <c r="I149" s="3" t="s">
        <v>22</v>
      </c>
      <c r="J149" s="3" t="n">
        <v>0</v>
      </c>
      <c r="K149" s="3" t="n">
        <v>5.086</v>
      </c>
      <c r="L149" s="3" t="n">
        <v>48</v>
      </c>
      <c r="M149" s="3" t="s">
        <v>23</v>
      </c>
      <c r="N149" s="3" t="n">
        <v>10</v>
      </c>
      <c r="O149" s="3" t="n">
        <v>-18.5747</v>
      </c>
      <c r="P149" s="3" t="n">
        <v>-175.272</v>
      </c>
      <c r="Q149" s="3" t="s">
        <v>149</v>
      </c>
      <c r="R149" s="3"/>
      <c r="S149" s="3"/>
    </row>
    <row r="150" customFormat="false" ht="13.8" hidden="false" customHeight="false" outlineLevel="0" collapsed="false">
      <c r="A150" s="3" t="s">
        <v>447</v>
      </c>
      <c r="B150" s="3" t="n">
        <v>6.5</v>
      </c>
      <c r="C150" s="3" t="s">
        <v>448</v>
      </c>
      <c r="D150" s="3" t="n">
        <v>9</v>
      </c>
      <c r="E150" s="3" t="n">
        <v>7</v>
      </c>
      <c r="F150" s="3" t="s">
        <v>21</v>
      </c>
      <c r="G150" s="3" t="n">
        <v>1</v>
      </c>
      <c r="H150" s="3" t="n">
        <v>733</v>
      </c>
      <c r="I150" s="3" t="s">
        <v>22</v>
      </c>
      <c r="J150" s="3" t="n">
        <v>0</v>
      </c>
      <c r="K150" s="3" t="n">
        <v>0.428</v>
      </c>
      <c r="L150" s="3" t="n">
        <v>19</v>
      </c>
      <c r="M150" s="3" t="s">
        <v>23</v>
      </c>
      <c r="N150" s="3" t="n">
        <v>10</v>
      </c>
      <c r="O150" s="3" t="n">
        <v>6.9098</v>
      </c>
      <c r="P150" s="3" t="n">
        <v>125.178</v>
      </c>
      <c r="Q150" s="3" t="s">
        <v>449</v>
      </c>
      <c r="R150" s="3"/>
      <c r="S150" s="3" t="s">
        <v>191</v>
      </c>
    </row>
    <row r="151" customFormat="false" ht="13.8" hidden="false" customHeight="false" outlineLevel="0" collapsed="false">
      <c r="A151" s="3" t="s">
        <v>450</v>
      </c>
      <c r="B151" s="3" t="n">
        <v>6.6</v>
      </c>
      <c r="C151" s="3" t="s">
        <v>451</v>
      </c>
      <c r="D151" s="3" t="n">
        <v>9</v>
      </c>
      <c r="E151" s="3" t="n">
        <v>7</v>
      </c>
      <c r="F151" s="3" t="s">
        <v>28</v>
      </c>
      <c r="G151" s="3" t="n">
        <v>1</v>
      </c>
      <c r="H151" s="3" t="n">
        <v>780</v>
      </c>
      <c r="I151" s="3" t="s">
        <v>22</v>
      </c>
      <c r="J151" s="3" t="n">
        <v>0</v>
      </c>
      <c r="K151" s="3" t="n">
        <v>0.646</v>
      </c>
      <c r="L151" s="3" t="n">
        <v>24</v>
      </c>
      <c r="M151" s="3" t="s">
        <v>23</v>
      </c>
      <c r="N151" s="3" t="n">
        <v>15</v>
      </c>
      <c r="O151" s="3" t="n">
        <v>6.7567</v>
      </c>
      <c r="P151" s="3" t="n">
        <v>125.008</v>
      </c>
      <c r="Q151" s="3" t="s">
        <v>452</v>
      </c>
      <c r="R151" s="3"/>
      <c r="S151" s="3" t="s">
        <v>191</v>
      </c>
    </row>
    <row r="152" customFormat="false" ht="13.8" hidden="false" customHeight="false" outlineLevel="0" collapsed="false">
      <c r="A152" s="3" t="s">
        <v>453</v>
      </c>
      <c r="B152" s="3" t="n">
        <v>6.7</v>
      </c>
      <c r="C152" s="3" t="s">
        <v>454</v>
      </c>
      <c r="D152" s="3" t="n">
        <v>7</v>
      </c>
      <c r="E152" s="3" t="n">
        <v>6</v>
      </c>
      <c r="F152" s="3" t="s">
        <v>21</v>
      </c>
      <c r="G152" s="3" t="n">
        <v>1</v>
      </c>
      <c r="H152" s="3" t="n">
        <v>844</v>
      </c>
      <c r="I152" s="3" t="s">
        <v>22</v>
      </c>
      <c r="J152" s="3" t="n">
        <v>0</v>
      </c>
      <c r="K152" s="3" t="n">
        <v>1.269</v>
      </c>
      <c r="L152" s="3" t="n">
        <v>98</v>
      </c>
      <c r="M152" s="3" t="s">
        <v>23</v>
      </c>
      <c r="N152" s="3" t="n">
        <v>11</v>
      </c>
      <c r="O152" s="3" t="n">
        <v>-35.4758</v>
      </c>
      <c r="P152" s="3" t="n">
        <v>-73.163</v>
      </c>
      <c r="Q152" s="3" t="s">
        <v>455</v>
      </c>
      <c r="R152" s="3"/>
      <c r="S152" s="3"/>
    </row>
    <row r="153" customFormat="false" ht="13.8" hidden="false" customHeight="false" outlineLevel="0" collapsed="false">
      <c r="A153" s="3" t="s">
        <v>456</v>
      </c>
      <c r="B153" s="3" t="n">
        <v>6.5</v>
      </c>
      <c r="C153" s="3" t="s">
        <v>457</v>
      </c>
      <c r="D153" s="3" t="n">
        <v>7</v>
      </c>
      <c r="E153" s="3" t="n">
        <v>7</v>
      </c>
      <c r="F153" s="3" t="s">
        <v>28</v>
      </c>
      <c r="G153" s="3" t="n">
        <v>1</v>
      </c>
      <c r="H153" s="3" t="n">
        <v>656</v>
      </c>
      <c r="I153" s="3" t="s">
        <v>22</v>
      </c>
      <c r="J153" s="3" t="n">
        <v>0</v>
      </c>
      <c r="K153" s="3" t="n">
        <v>3.909</v>
      </c>
      <c r="L153" s="3" t="n">
        <v>15</v>
      </c>
      <c r="M153" s="3" t="s">
        <v>23</v>
      </c>
      <c r="N153" s="3" t="n">
        <v>12.26</v>
      </c>
      <c r="O153" s="3" t="n">
        <v>-3.4528</v>
      </c>
      <c r="P153" s="3" t="n">
        <v>128.37</v>
      </c>
      <c r="Q153" s="3" t="s">
        <v>458</v>
      </c>
      <c r="R153" s="3"/>
      <c r="S153" s="3" t="s">
        <v>68</v>
      </c>
    </row>
    <row r="154" customFormat="false" ht="13.8" hidden="false" customHeight="false" outlineLevel="0" collapsed="false">
      <c r="A154" s="3" t="s">
        <v>459</v>
      </c>
      <c r="B154" s="3" t="n">
        <v>6.6</v>
      </c>
      <c r="C154" s="3" t="s">
        <v>460</v>
      </c>
      <c r="D154" s="3" t="n">
        <v>2</v>
      </c>
      <c r="E154" s="3" t="n">
        <v>3</v>
      </c>
      <c r="F154" s="3"/>
      <c r="G154" s="3" t="n">
        <v>1</v>
      </c>
      <c r="H154" s="3" t="n">
        <v>671</v>
      </c>
      <c r="I154" s="3" t="s">
        <v>22</v>
      </c>
      <c r="J154" s="3" t="n">
        <v>0</v>
      </c>
      <c r="K154" s="3" t="n">
        <v>4.121</v>
      </c>
      <c r="L154" s="3" t="n">
        <v>19</v>
      </c>
      <c r="M154" s="3" t="s">
        <v>23</v>
      </c>
      <c r="N154" s="3" t="n">
        <v>591</v>
      </c>
      <c r="O154" s="3" t="n">
        <v>-20.3641</v>
      </c>
      <c r="P154" s="3" t="n">
        <v>-178.57</v>
      </c>
      <c r="Q154" s="3" t="s">
        <v>444</v>
      </c>
      <c r="R154" s="3"/>
      <c r="S154" s="3" t="s">
        <v>146</v>
      </c>
    </row>
    <row r="155" customFormat="false" ht="13.8" hidden="false" customHeight="false" outlineLevel="0" collapsed="false">
      <c r="A155" s="3" t="s">
        <v>461</v>
      </c>
      <c r="B155" s="3" t="n">
        <v>6.6</v>
      </c>
      <c r="C155" s="3" t="s">
        <v>462</v>
      </c>
      <c r="D155" s="3" t="n">
        <v>0</v>
      </c>
      <c r="E155" s="3" t="n">
        <v>4</v>
      </c>
      <c r="F155" s="3" t="s">
        <v>21</v>
      </c>
      <c r="G155" s="3" t="n">
        <v>1</v>
      </c>
      <c r="H155" s="3" t="n">
        <v>670</v>
      </c>
      <c r="I155" s="3" t="s">
        <v>22</v>
      </c>
      <c r="J155" s="3" t="n">
        <v>0</v>
      </c>
      <c r="K155" s="3" t="n">
        <v>12.896</v>
      </c>
      <c r="L155" s="3" t="n">
        <v>19</v>
      </c>
      <c r="M155" s="3" t="s">
        <v>23</v>
      </c>
      <c r="N155" s="3" t="n">
        <v>16</v>
      </c>
      <c r="O155" s="3" t="n">
        <v>-60.2152</v>
      </c>
      <c r="P155" s="3" t="n">
        <v>-26.5801</v>
      </c>
      <c r="Q155" s="3" t="s">
        <v>463</v>
      </c>
      <c r="R155" s="3"/>
      <c r="S155" s="3" t="s">
        <v>464</v>
      </c>
    </row>
    <row r="156" customFormat="false" ht="13.8" hidden="false" customHeight="false" outlineLevel="0" collapsed="false">
      <c r="A156" s="3" t="s">
        <v>465</v>
      </c>
      <c r="B156" s="3" t="n">
        <v>6.9</v>
      </c>
      <c r="C156" s="3" t="s">
        <v>466</v>
      </c>
      <c r="D156" s="3" t="n">
        <v>4</v>
      </c>
      <c r="E156" s="3" t="n">
        <v>6</v>
      </c>
      <c r="F156" s="3" t="s">
        <v>21</v>
      </c>
      <c r="G156" s="3" t="n">
        <v>0</v>
      </c>
      <c r="H156" s="3" t="n">
        <v>875</v>
      </c>
      <c r="I156" s="3" t="s">
        <v>22</v>
      </c>
      <c r="J156" s="3" t="n">
        <v>0</v>
      </c>
      <c r="K156" s="3" t="n">
        <v>2.839</v>
      </c>
      <c r="L156" s="3" t="n">
        <v>23</v>
      </c>
      <c r="M156" s="3" t="s">
        <v>23</v>
      </c>
      <c r="N156" s="3" t="n">
        <v>49</v>
      </c>
      <c r="O156" s="3" t="n">
        <v>-7.2822</v>
      </c>
      <c r="P156" s="3" t="n">
        <v>104.791</v>
      </c>
      <c r="Q156" s="3" t="s">
        <v>231</v>
      </c>
      <c r="R156" s="3"/>
      <c r="S156" s="3"/>
    </row>
    <row r="157" customFormat="false" ht="13.8" hidden="false" customHeight="false" outlineLevel="0" collapsed="false">
      <c r="A157" s="3" t="s">
        <v>467</v>
      </c>
      <c r="B157" s="3" t="n">
        <v>6.8</v>
      </c>
      <c r="C157" s="3" t="s">
        <v>468</v>
      </c>
      <c r="D157" s="3" t="n">
        <v>6</v>
      </c>
      <c r="E157" s="3" t="n">
        <v>6</v>
      </c>
      <c r="F157" s="3" t="s">
        <v>21</v>
      </c>
      <c r="G157" s="3" t="n">
        <v>1</v>
      </c>
      <c r="H157" s="3" t="n">
        <v>947</v>
      </c>
      <c r="I157" s="3" t="s">
        <v>22</v>
      </c>
      <c r="J157" s="3" t="n">
        <v>0</v>
      </c>
      <c r="K157" s="3" t="n">
        <v>0.817</v>
      </c>
      <c r="L157" s="3" t="n">
        <v>35</v>
      </c>
      <c r="M157" s="3" t="s">
        <v>23</v>
      </c>
      <c r="N157" s="3" t="n">
        <v>25</v>
      </c>
      <c r="O157" s="3" t="n">
        <v>-34.2364</v>
      </c>
      <c r="P157" s="3" t="n">
        <v>-72.3102</v>
      </c>
      <c r="Q157" s="3" t="s">
        <v>469</v>
      </c>
      <c r="R157" s="3"/>
      <c r="S157" s="3"/>
    </row>
    <row r="158" customFormat="false" ht="13.8" hidden="false" customHeight="false" outlineLevel="0" collapsed="false">
      <c r="A158" s="3" t="s">
        <v>470</v>
      </c>
      <c r="B158" s="3" t="n">
        <v>6.6</v>
      </c>
      <c r="C158" s="3" t="s">
        <v>471</v>
      </c>
      <c r="D158" s="3" t="n">
        <v>0</v>
      </c>
      <c r="E158" s="3" t="n">
        <v>4</v>
      </c>
      <c r="F158" s="3" t="s">
        <v>21</v>
      </c>
      <c r="G158" s="3" t="n">
        <v>1</v>
      </c>
      <c r="H158" s="3" t="n">
        <v>670</v>
      </c>
      <c r="I158" s="3" t="s">
        <v>22</v>
      </c>
      <c r="J158" s="3" t="n">
        <v>0</v>
      </c>
      <c r="K158" s="3" t="n">
        <v>6.024</v>
      </c>
      <c r="L158" s="3" t="n">
        <v>30</v>
      </c>
      <c r="M158" s="3" t="s">
        <v>23</v>
      </c>
      <c r="N158" s="3" t="n">
        <v>181</v>
      </c>
      <c r="O158" s="3" t="n">
        <v>-16.1985</v>
      </c>
      <c r="P158" s="3" t="n">
        <v>167.998</v>
      </c>
      <c r="Q158" s="3" t="s">
        <v>472</v>
      </c>
      <c r="R158" s="3"/>
      <c r="S158" s="3" t="s">
        <v>25</v>
      </c>
    </row>
    <row r="159" customFormat="false" ht="13.8" hidden="false" customHeight="false" outlineLevel="0" collapsed="false">
      <c r="A159" s="3" t="s">
        <v>473</v>
      </c>
      <c r="B159" s="3" t="n">
        <v>7.2</v>
      </c>
      <c r="C159" s="3" t="s">
        <v>474</v>
      </c>
      <c r="D159" s="3" t="n">
        <v>7</v>
      </c>
      <c r="E159" s="3" t="n">
        <v>7</v>
      </c>
      <c r="F159" s="3" t="s">
        <v>21</v>
      </c>
      <c r="G159" s="3" t="n">
        <v>1</v>
      </c>
      <c r="H159" s="3" t="n">
        <v>809</v>
      </c>
      <c r="I159" s="3" t="s">
        <v>22</v>
      </c>
      <c r="J159" s="3" t="n">
        <v>0</v>
      </c>
      <c r="K159" s="3" t="n">
        <v>1.504</v>
      </c>
      <c r="L159" s="3" t="n">
        <v>38</v>
      </c>
      <c r="M159" s="3" t="s">
        <v>23</v>
      </c>
      <c r="N159" s="3" t="n">
        <v>18.98</v>
      </c>
      <c r="O159" s="3" t="n">
        <v>-0.5858</v>
      </c>
      <c r="P159" s="3" t="n">
        <v>128.034</v>
      </c>
      <c r="Q159" s="3" t="s">
        <v>475</v>
      </c>
      <c r="R159" s="3"/>
      <c r="S159" s="3" t="s">
        <v>68</v>
      </c>
    </row>
    <row r="160" customFormat="false" ht="13.8" hidden="false" customHeight="false" outlineLevel="0" collapsed="false">
      <c r="A160" s="3" t="s">
        <v>476</v>
      </c>
      <c r="B160" s="3" t="n">
        <v>6.6</v>
      </c>
      <c r="C160" s="3" t="s">
        <v>477</v>
      </c>
      <c r="D160" s="3" t="n">
        <v>5</v>
      </c>
      <c r="E160" s="3" t="n">
        <v>5</v>
      </c>
      <c r="F160" s="3" t="s">
        <v>21</v>
      </c>
      <c r="G160" s="3" t="n">
        <v>0</v>
      </c>
      <c r="H160" s="3" t="n">
        <v>791</v>
      </c>
      <c r="I160" s="3" t="s">
        <v>22</v>
      </c>
      <c r="J160" s="3" t="n">
        <v>0</v>
      </c>
      <c r="K160" s="3" t="n">
        <v>2.978</v>
      </c>
      <c r="L160" s="3" t="n">
        <v>32</v>
      </c>
      <c r="M160" s="3" t="s">
        <v>23</v>
      </c>
      <c r="N160" s="3" t="n">
        <v>10</v>
      </c>
      <c r="O160" s="3" t="n">
        <v>-18.2242</v>
      </c>
      <c r="P160" s="3" t="n">
        <v>120.358</v>
      </c>
      <c r="Q160" s="3" t="s">
        <v>478</v>
      </c>
      <c r="R160" s="3"/>
      <c r="S160" s="3"/>
    </row>
    <row r="161" customFormat="false" ht="13.8" hidden="false" customHeight="false" outlineLevel="0" collapsed="false">
      <c r="A161" s="3" t="s">
        <v>479</v>
      </c>
      <c r="B161" s="3" t="n">
        <v>6.9</v>
      </c>
      <c r="C161" s="3" t="s">
        <v>480</v>
      </c>
      <c r="D161" s="3" t="n">
        <v>7</v>
      </c>
      <c r="E161" s="3" t="n">
        <v>5</v>
      </c>
      <c r="F161" s="3" t="s">
        <v>21</v>
      </c>
      <c r="G161" s="3" t="n">
        <v>0</v>
      </c>
      <c r="H161" s="3" t="n">
        <v>747</v>
      </c>
      <c r="I161" s="3" t="s">
        <v>22</v>
      </c>
      <c r="J161" s="3" t="n">
        <v>0</v>
      </c>
      <c r="K161" s="3" t="n">
        <v>1.205</v>
      </c>
      <c r="L161" s="3" t="n">
        <v>21</v>
      </c>
      <c r="M161" s="3" t="s">
        <v>23</v>
      </c>
      <c r="N161" s="3" t="n">
        <v>35</v>
      </c>
      <c r="O161" s="3" t="n">
        <v>0.5126</v>
      </c>
      <c r="P161" s="3" t="n">
        <v>126.189</v>
      </c>
      <c r="Q161" s="3" t="s">
        <v>481</v>
      </c>
      <c r="R161" s="3"/>
      <c r="S161" s="3" t="s">
        <v>68</v>
      </c>
    </row>
    <row r="162" customFormat="false" ht="13.8" hidden="false" customHeight="false" outlineLevel="0" collapsed="false">
      <c r="A162" s="3" t="s">
        <v>482</v>
      </c>
      <c r="B162" s="3" t="n">
        <v>7.1</v>
      </c>
      <c r="C162" s="3" t="s">
        <v>483</v>
      </c>
      <c r="D162" s="3" t="n">
        <v>9</v>
      </c>
      <c r="E162" s="3" t="n">
        <v>9</v>
      </c>
      <c r="F162" s="3" t="s">
        <v>28</v>
      </c>
      <c r="G162" s="3" t="n">
        <v>0</v>
      </c>
      <c r="H162" s="3" t="n">
        <v>1646</v>
      </c>
      <c r="I162" s="3" t="s">
        <v>484</v>
      </c>
      <c r="J162" s="3" t="n">
        <v>77</v>
      </c>
      <c r="K162" s="3" t="n">
        <v>0.04616</v>
      </c>
      <c r="L162" s="3" t="n">
        <v>43</v>
      </c>
      <c r="M162" s="3" t="s">
        <v>485</v>
      </c>
      <c r="N162" s="3" t="n">
        <v>8</v>
      </c>
      <c r="O162" s="3" t="n">
        <v>35.7695</v>
      </c>
      <c r="P162" s="3" t="n">
        <v>-117.599</v>
      </c>
      <c r="Q162" s="3" t="s">
        <v>486</v>
      </c>
      <c r="R162" s="3" t="s">
        <v>164</v>
      </c>
      <c r="S162" s="3" t="s">
        <v>261</v>
      </c>
    </row>
    <row r="163" customFormat="false" ht="13.8" hidden="false" customHeight="false" outlineLevel="0" collapsed="false">
      <c r="A163" s="3" t="s">
        <v>487</v>
      </c>
      <c r="B163" s="3" t="n">
        <v>7.3</v>
      </c>
      <c r="C163" s="3" t="s">
        <v>488</v>
      </c>
      <c r="D163" s="3" t="n">
        <v>4</v>
      </c>
      <c r="E163" s="3" t="n">
        <v>6</v>
      </c>
      <c r="F163" s="3" t="s">
        <v>21</v>
      </c>
      <c r="G163" s="3" t="n">
        <v>1</v>
      </c>
      <c r="H163" s="3" t="n">
        <v>952</v>
      </c>
      <c r="I163" s="3" t="s">
        <v>22</v>
      </c>
      <c r="J163" s="3" t="n">
        <v>0</v>
      </c>
      <c r="K163" s="3" t="n">
        <v>2.629</v>
      </c>
      <c r="L163" s="3" t="n">
        <v>16</v>
      </c>
      <c r="M163" s="3" t="s">
        <v>23</v>
      </c>
      <c r="N163" s="3" t="n">
        <v>212</v>
      </c>
      <c r="O163" s="3" t="n">
        <v>-6.4078</v>
      </c>
      <c r="P163" s="3" t="n">
        <v>129.169</v>
      </c>
      <c r="Q163" s="3" t="s">
        <v>489</v>
      </c>
      <c r="R163" s="3"/>
      <c r="S163" s="3" t="s">
        <v>68</v>
      </c>
    </row>
    <row r="164" customFormat="false" ht="13.8" hidden="false" customHeight="false" outlineLevel="0" collapsed="false">
      <c r="A164" s="3" t="s">
        <v>490</v>
      </c>
      <c r="B164" s="3" t="n">
        <v>7.3</v>
      </c>
      <c r="C164" s="3" t="s">
        <v>491</v>
      </c>
      <c r="D164" s="3" t="n">
        <v>8</v>
      </c>
      <c r="E164" s="3" t="n">
        <v>6</v>
      </c>
      <c r="F164" s="3" t="s">
        <v>21</v>
      </c>
      <c r="G164" s="3" t="n">
        <v>1</v>
      </c>
      <c r="H164" s="3" t="n">
        <v>830</v>
      </c>
      <c r="I164" s="3" t="s">
        <v>22</v>
      </c>
      <c r="J164" s="3" t="n">
        <v>0</v>
      </c>
      <c r="K164" s="3" t="n">
        <v>1.402</v>
      </c>
      <c r="L164" s="3" t="n">
        <v>11</v>
      </c>
      <c r="M164" s="3" t="s">
        <v>23</v>
      </c>
      <c r="N164" s="3" t="n">
        <v>46</v>
      </c>
      <c r="O164" s="3" t="n">
        <v>-30.6441</v>
      </c>
      <c r="P164" s="3" t="n">
        <v>-178.1</v>
      </c>
      <c r="Q164" s="3" t="s">
        <v>492</v>
      </c>
      <c r="R164" s="3"/>
      <c r="S164" s="3"/>
    </row>
    <row r="165" customFormat="false" ht="13.8" hidden="false" customHeight="false" outlineLevel="0" collapsed="false">
      <c r="A165" s="3" t="s">
        <v>493</v>
      </c>
      <c r="B165" s="3" t="n">
        <v>6.6</v>
      </c>
      <c r="C165" s="3" t="s">
        <v>494</v>
      </c>
      <c r="D165" s="3" t="n">
        <v>7</v>
      </c>
      <c r="E165" s="3" t="n">
        <v>6</v>
      </c>
      <c r="F165" s="3" t="s">
        <v>28</v>
      </c>
      <c r="G165" s="3" t="n">
        <v>1</v>
      </c>
      <c r="H165" s="3" t="n">
        <v>886</v>
      </c>
      <c r="I165" s="3" t="s">
        <v>22</v>
      </c>
      <c r="J165" s="3" t="n">
        <v>0</v>
      </c>
      <c r="K165" s="3" t="n">
        <v>1.193</v>
      </c>
      <c r="L165" s="3" t="n">
        <v>22</v>
      </c>
      <c r="M165" s="3" t="s">
        <v>23</v>
      </c>
      <c r="N165" s="3" t="n">
        <v>57.92</v>
      </c>
      <c r="O165" s="3" t="n">
        <v>13.1994</v>
      </c>
      <c r="P165" s="3" t="n">
        <v>-89.3056</v>
      </c>
      <c r="Q165" s="3" t="s">
        <v>495</v>
      </c>
      <c r="R165" s="3"/>
      <c r="S165" s="3"/>
    </row>
    <row r="166" customFormat="false" ht="13.8" hidden="false" customHeight="false" outlineLevel="0" collapsed="false">
      <c r="A166" s="3" t="s">
        <v>496</v>
      </c>
      <c r="B166" s="3" t="n">
        <v>8</v>
      </c>
      <c r="C166" s="3" t="s">
        <v>497</v>
      </c>
      <c r="D166" s="3" t="n">
        <v>9</v>
      </c>
      <c r="E166" s="3" t="n">
        <v>8</v>
      </c>
      <c r="F166" s="3" t="s">
        <v>95</v>
      </c>
      <c r="G166" s="3" t="n">
        <v>1</v>
      </c>
      <c r="H166" s="3" t="n">
        <v>1890</v>
      </c>
      <c r="I166" s="3" t="s">
        <v>22</v>
      </c>
      <c r="J166" s="3" t="n">
        <v>0</v>
      </c>
      <c r="K166" s="3" t="n">
        <v>3.18</v>
      </c>
      <c r="L166" s="3" t="n">
        <v>17</v>
      </c>
      <c r="M166" s="3" t="s">
        <v>23</v>
      </c>
      <c r="N166" s="3" t="n">
        <v>122.57</v>
      </c>
      <c r="O166" s="3" t="n">
        <v>-5.8119</v>
      </c>
      <c r="P166" s="3" t="n">
        <v>-75.2697</v>
      </c>
      <c r="Q166" s="3" t="s">
        <v>498</v>
      </c>
      <c r="R166" s="3" t="s">
        <v>33</v>
      </c>
      <c r="S166" s="3" t="s">
        <v>199</v>
      </c>
    </row>
    <row r="167" customFormat="false" ht="13.8" hidden="false" customHeight="false" outlineLevel="0" collapsed="false">
      <c r="A167" s="3" t="s">
        <v>499</v>
      </c>
      <c r="B167" s="3" t="n">
        <v>7.6</v>
      </c>
      <c r="C167" s="3" t="s">
        <v>500</v>
      </c>
      <c r="D167" s="3" t="n">
        <v>7</v>
      </c>
      <c r="E167" s="3" t="n">
        <v>7</v>
      </c>
      <c r="F167" s="3" t="s">
        <v>21</v>
      </c>
      <c r="G167" s="3" t="n">
        <v>1</v>
      </c>
      <c r="H167" s="3" t="n">
        <v>929</v>
      </c>
      <c r="I167" s="3" t="s">
        <v>22</v>
      </c>
      <c r="J167" s="3" t="n">
        <v>0</v>
      </c>
      <c r="K167" s="3" t="n">
        <v>0.453</v>
      </c>
      <c r="L167" s="3" t="n">
        <v>16</v>
      </c>
      <c r="M167" s="3" t="s">
        <v>23</v>
      </c>
      <c r="N167" s="3" t="n">
        <v>10</v>
      </c>
      <c r="O167" s="3" t="n">
        <v>-4.051</v>
      </c>
      <c r="P167" s="3" t="n">
        <v>152.597</v>
      </c>
      <c r="Q167" s="3" t="s">
        <v>501</v>
      </c>
      <c r="R167" s="3"/>
      <c r="S167" s="3" t="s">
        <v>85</v>
      </c>
    </row>
    <row r="168" customFormat="false" ht="13.8" hidden="false" customHeight="false" outlineLevel="0" collapsed="false">
      <c r="A168" s="3" t="s">
        <v>502</v>
      </c>
      <c r="B168" s="3" t="n">
        <v>7.1</v>
      </c>
      <c r="C168" s="3" t="s">
        <v>503</v>
      </c>
      <c r="D168" s="3" t="n">
        <v>7</v>
      </c>
      <c r="E168" s="3" t="n">
        <v>6</v>
      </c>
      <c r="F168" s="3" t="s">
        <v>28</v>
      </c>
      <c r="G168" s="3" t="n">
        <v>1</v>
      </c>
      <c r="H168" s="3" t="n">
        <v>826</v>
      </c>
      <c r="I168" s="3" t="s">
        <v>22</v>
      </c>
      <c r="J168" s="3" t="n">
        <v>0</v>
      </c>
      <c r="K168" s="3" t="n">
        <v>2.514</v>
      </c>
      <c r="L168" s="3" t="n">
        <v>16</v>
      </c>
      <c r="M168" s="3" t="s">
        <v>23</v>
      </c>
      <c r="N168" s="3" t="n">
        <v>146</v>
      </c>
      <c r="O168" s="3" t="n">
        <v>-6.9746</v>
      </c>
      <c r="P168" s="3" t="n">
        <v>146.449</v>
      </c>
      <c r="Q168" s="3" t="s">
        <v>504</v>
      </c>
      <c r="R168" s="3"/>
      <c r="S168" s="3" t="s">
        <v>85</v>
      </c>
    </row>
    <row r="169" customFormat="false" ht="13.8" hidden="false" customHeight="false" outlineLevel="0" collapsed="false">
      <c r="A169" s="3" t="s">
        <v>505</v>
      </c>
      <c r="B169" s="3" t="n">
        <v>6.8</v>
      </c>
      <c r="C169" s="3" t="s">
        <v>506</v>
      </c>
      <c r="D169" s="3" t="n">
        <v>5</v>
      </c>
      <c r="E169" s="3" t="n">
        <v>6</v>
      </c>
      <c r="F169" s="3" t="s">
        <v>21</v>
      </c>
      <c r="G169" s="3" t="n">
        <v>1</v>
      </c>
      <c r="H169" s="3" t="n">
        <v>717</v>
      </c>
      <c r="I169" s="3" t="s">
        <v>22</v>
      </c>
      <c r="J169" s="3" t="n">
        <v>0</v>
      </c>
      <c r="K169" s="3" t="n">
        <v>0.791</v>
      </c>
      <c r="L169" s="3" t="n">
        <v>28</v>
      </c>
      <c r="M169" s="3" t="s">
        <v>23</v>
      </c>
      <c r="N169" s="3" t="n">
        <v>15.46</v>
      </c>
      <c r="O169" s="3" t="n">
        <v>-1.8146</v>
      </c>
      <c r="P169" s="3" t="n">
        <v>122.58</v>
      </c>
      <c r="Q169" s="3" t="s">
        <v>507</v>
      </c>
      <c r="R169" s="3"/>
      <c r="S169" s="3" t="s">
        <v>68</v>
      </c>
    </row>
    <row r="170" customFormat="false" ht="13.8" hidden="false" customHeight="false" outlineLevel="0" collapsed="false">
      <c r="A170" s="3" t="s">
        <v>508</v>
      </c>
      <c r="B170" s="3" t="n">
        <v>6.5</v>
      </c>
      <c r="C170" s="3" t="s">
        <v>509</v>
      </c>
      <c r="D170" s="3" t="n">
        <v>0</v>
      </c>
      <c r="E170" s="3" t="n">
        <v>5</v>
      </c>
      <c r="F170" s="3" t="s">
        <v>21</v>
      </c>
      <c r="G170" s="3" t="n">
        <v>1</v>
      </c>
      <c r="H170" s="3" t="n">
        <v>650</v>
      </c>
      <c r="I170" s="3" t="s">
        <v>22</v>
      </c>
      <c r="J170" s="3" t="n">
        <v>0</v>
      </c>
      <c r="K170" s="3" t="n">
        <v>7.568</v>
      </c>
      <c r="L170" s="3" t="n">
        <v>18</v>
      </c>
      <c r="M170" s="3" t="s">
        <v>23</v>
      </c>
      <c r="N170" s="3" t="n">
        <v>38</v>
      </c>
      <c r="O170" s="3" t="n">
        <v>-58.6262</v>
      </c>
      <c r="P170" s="3" t="n">
        <v>-25.304</v>
      </c>
      <c r="Q170" s="3" t="s">
        <v>463</v>
      </c>
      <c r="R170" s="3"/>
      <c r="S170" s="3"/>
    </row>
    <row r="171" customFormat="false" ht="13.8" hidden="false" customHeight="false" outlineLevel="0" collapsed="false">
      <c r="A171" s="3" t="s">
        <v>510</v>
      </c>
      <c r="B171" s="3" t="n">
        <v>7</v>
      </c>
      <c r="C171" s="3" t="s">
        <v>511</v>
      </c>
      <c r="D171" s="3" t="n">
        <v>7</v>
      </c>
      <c r="E171" s="3" t="n">
        <v>4</v>
      </c>
      <c r="F171" s="3" t="s">
        <v>21</v>
      </c>
      <c r="G171" s="3" t="n">
        <v>1</v>
      </c>
      <c r="H171" s="3" t="n">
        <v>869</v>
      </c>
      <c r="I171" s="3" t="s">
        <v>22</v>
      </c>
      <c r="J171" s="3" t="n">
        <v>0</v>
      </c>
      <c r="K171" s="3" t="n">
        <v>2.501</v>
      </c>
      <c r="L171" s="3" t="n">
        <v>42</v>
      </c>
      <c r="M171" s="3" t="s">
        <v>23</v>
      </c>
      <c r="N171" s="3" t="n">
        <v>267</v>
      </c>
      <c r="O171" s="3" t="n">
        <v>-14.7131</v>
      </c>
      <c r="P171" s="3" t="n">
        <v>-70.1546</v>
      </c>
      <c r="Q171" s="3" t="s">
        <v>198</v>
      </c>
      <c r="R171" s="3" t="s">
        <v>33</v>
      </c>
      <c r="S171" s="3" t="s">
        <v>199</v>
      </c>
    </row>
    <row r="172" customFormat="false" ht="13.8" hidden="false" customHeight="false" outlineLevel="0" collapsed="false">
      <c r="A172" s="3" t="s">
        <v>512</v>
      </c>
      <c r="B172" s="3" t="n">
        <v>7.5</v>
      </c>
      <c r="C172" s="3" t="s">
        <v>513</v>
      </c>
      <c r="D172" s="3" t="n">
        <v>7</v>
      </c>
      <c r="E172" s="3" t="n">
        <v>7</v>
      </c>
      <c r="F172" s="3" t="s">
        <v>28</v>
      </c>
      <c r="G172" s="3" t="n">
        <v>1</v>
      </c>
      <c r="H172" s="3" t="n">
        <v>1145</v>
      </c>
      <c r="I172" s="3" t="s">
        <v>22</v>
      </c>
      <c r="J172" s="3" t="n">
        <v>0</v>
      </c>
      <c r="K172" s="3" t="n">
        <v>2.045</v>
      </c>
      <c r="L172" s="3" t="n">
        <v>15</v>
      </c>
      <c r="M172" s="3" t="s">
        <v>23</v>
      </c>
      <c r="N172" s="3" t="n">
        <v>145</v>
      </c>
      <c r="O172" s="3" t="n">
        <v>-2.1862</v>
      </c>
      <c r="P172" s="3" t="n">
        <v>-77.0505</v>
      </c>
      <c r="Q172" s="3" t="s">
        <v>514</v>
      </c>
      <c r="R172" s="3" t="s">
        <v>33</v>
      </c>
      <c r="S172" s="3" t="s">
        <v>96</v>
      </c>
    </row>
    <row r="173" customFormat="false" ht="13.8" hidden="false" customHeight="false" outlineLevel="0" collapsed="false">
      <c r="A173" s="3" t="s">
        <v>515</v>
      </c>
      <c r="B173" s="3" t="n">
        <v>6.7</v>
      </c>
      <c r="C173" s="3" t="s">
        <v>516</v>
      </c>
      <c r="D173" s="3" t="n">
        <v>6</v>
      </c>
      <c r="E173" s="3" t="n">
        <v>6</v>
      </c>
      <c r="F173" s="3" t="s">
        <v>28</v>
      </c>
      <c r="G173" s="3" t="n">
        <v>1</v>
      </c>
      <c r="H173" s="3" t="n">
        <v>909</v>
      </c>
      <c r="I173" s="3" t="s">
        <v>22</v>
      </c>
      <c r="J173" s="3" t="n">
        <v>0</v>
      </c>
      <c r="K173" s="3" t="n">
        <v>0.289</v>
      </c>
      <c r="L173" s="3" t="n">
        <v>43</v>
      </c>
      <c r="M173" s="3" t="s">
        <v>23</v>
      </c>
      <c r="N173" s="3" t="n">
        <v>66</v>
      </c>
      <c r="O173" s="3" t="n">
        <v>14.6802</v>
      </c>
      <c r="P173" s="3" t="n">
        <v>-92.4527</v>
      </c>
      <c r="Q173" s="3" t="s">
        <v>517</v>
      </c>
      <c r="R173" s="3"/>
      <c r="S173" s="3" t="s">
        <v>165</v>
      </c>
    </row>
    <row r="174" customFormat="false" ht="13.8" hidden="false" customHeight="false" outlineLevel="0" collapsed="false">
      <c r="A174" s="3" t="s">
        <v>518</v>
      </c>
      <c r="B174" s="3" t="n">
        <v>6.7</v>
      </c>
      <c r="C174" s="3" t="s">
        <v>519</v>
      </c>
      <c r="D174" s="3" t="n">
        <v>0</v>
      </c>
      <c r="E174" s="3" t="n">
        <v>3</v>
      </c>
      <c r="F174" s="3" t="s">
        <v>21</v>
      </c>
      <c r="G174" s="3" t="n">
        <v>0</v>
      </c>
      <c r="H174" s="3" t="n">
        <v>691</v>
      </c>
      <c r="I174" s="3" t="s">
        <v>22</v>
      </c>
      <c r="J174" s="3" t="n">
        <v>0</v>
      </c>
      <c r="K174" s="3" t="n">
        <v>7.527</v>
      </c>
      <c r="L174" s="3" t="n">
        <v>17</v>
      </c>
      <c r="M174" s="3" t="s">
        <v>23</v>
      </c>
      <c r="N174" s="3" t="n">
        <v>13</v>
      </c>
      <c r="O174" s="3" t="n">
        <v>-43.1219</v>
      </c>
      <c r="P174" s="3" t="n">
        <v>42.3568</v>
      </c>
      <c r="Q174" s="3" t="s">
        <v>520</v>
      </c>
      <c r="R174" s="3"/>
      <c r="S174" s="3"/>
    </row>
    <row r="175" customFormat="false" ht="13.8" hidden="false" customHeight="false" outlineLevel="0" collapsed="false">
      <c r="A175" s="3" t="s">
        <v>521</v>
      </c>
      <c r="B175" s="3" t="n">
        <v>6.7</v>
      </c>
      <c r="C175" s="3" t="s">
        <v>522</v>
      </c>
      <c r="D175" s="3" t="n">
        <v>8</v>
      </c>
      <c r="E175" s="3" t="n">
        <v>8</v>
      </c>
      <c r="F175" s="3" t="s">
        <v>95</v>
      </c>
      <c r="G175" s="3" t="n">
        <v>1</v>
      </c>
      <c r="H175" s="3" t="n">
        <v>1600</v>
      </c>
      <c r="I175" s="3" t="s">
        <v>22</v>
      </c>
      <c r="J175" s="3" t="n">
        <v>0</v>
      </c>
      <c r="K175" s="3" t="n">
        <v>0.173</v>
      </c>
      <c r="L175" s="3" t="n">
        <v>22</v>
      </c>
      <c r="M175" s="3" t="s">
        <v>23</v>
      </c>
      <c r="N175" s="3" t="n">
        <v>63</v>
      </c>
      <c r="O175" s="3" t="n">
        <v>-30.0404</v>
      </c>
      <c r="P175" s="3" t="n">
        <v>-71.3815</v>
      </c>
      <c r="Q175" s="3" t="s">
        <v>523</v>
      </c>
      <c r="R175" s="3" t="s">
        <v>33</v>
      </c>
      <c r="S175" s="3" t="s">
        <v>373</v>
      </c>
    </row>
    <row r="176" customFormat="false" ht="13.8" hidden="false" customHeight="false" outlineLevel="0" collapsed="false">
      <c r="A176" s="3" t="s">
        <v>524</v>
      </c>
      <c r="B176" s="3" t="n">
        <v>6.6</v>
      </c>
      <c r="C176" s="3" t="s">
        <v>525</v>
      </c>
      <c r="D176" s="3" t="n">
        <v>5</v>
      </c>
      <c r="E176" s="3" t="n">
        <v>4</v>
      </c>
      <c r="F176" s="3" t="s">
        <v>21</v>
      </c>
      <c r="G176" s="3" t="n">
        <v>1</v>
      </c>
      <c r="H176" s="3" t="n">
        <v>671</v>
      </c>
      <c r="I176" s="3" t="s">
        <v>22</v>
      </c>
      <c r="J176" s="3" t="n">
        <v>0</v>
      </c>
      <c r="K176" s="3" t="n">
        <v>7.818</v>
      </c>
      <c r="L176" s="3" t="n">
        <v>18</v>
      </c>
      <c r="M176" s="3" t="s">
        <v>23</v>
      </c>
      <c r="N176" s="3" t="n">
        <v>35</v>
      </c>
      <c r="O176" s="3" t="n">
        <v>-13.336</v>
      </c>
      <c r="P176" s="3" t="n">
        <v>166.875</v>
      </c>
      <c r="Q176" s="3" t="s">
        <v>24</v>
      </c>
      <c r="R176" s="3"/>
      <c r="S176" s="3" t="s">
        <v>25</v>
      </c>
    </row>
    <row r="177" customFormat="false" ht="13.8" hidden="false" customHeight="false" outlineLevel="0" collapsed="false">
      <c r="A177" s="3" t="s">
        <v>526</v>
      </c>
      <c r="B177" s="3" t="n">
        <v>6.6</v>
      </c>
      <c r="C177" s="3" t="s">
        <v>527</v>
      </c>
      <c r="D177" s="3" t="n">
        <v>2</v>
      </c>
      <c r="E177" s="3" t="n">
        <v>4</v>
      </c>
      <c r="F177" s="3" t="s">
        <v>21</v>
      </c>
      <c r="G177" s="3" t="n">
        <v>1</v>
      </c>
      <c r="H177" s="3" t="n">
        <v>672</v>
      </c>
      <c r="I177" s="3" t="s">
        <v>22</v>
      </c>
      <c r="J177" s="3" t="n">
        <v>0</v>
      </c>
      <c r="K177" s="3" t="n">
        <v>1.596</v>
      </c>
      <c r="L177" s="3" t="n">
        <v>33</v>
      </c>
      <c r="M177" s="3" t="s">
        <v>23</v>
      </c>
      <c r="N177" s="3" t="n">
        <v>43.21</v>
      </c>
      <c r="O177" s="3" t="n">
        <v>2.258</v>
      </c>
      <c r="P177" s="3" t="n">
        <v>126.758</v>
      </c>
      <c r="Q177" s="3" t="s">
        <v>528</v>
      </c>
      <c r="R177" s="3"/>
      <c r="S177" s="3" t="s">
        <v>68</v>
      </c>
    </row>
    <row r="178" customFormat="false" ht="13.8" hidden="false" customHeight="false" outlineLevel="0" collapsed="false">
      <c r="A178" s="3" t="s">
        <v>529</v>
      </c>
      <c r="B178" s="3" t="n">
        <v>6.8</v>
      </c>
      <c r="C178" s="3" t="s">
        <v>530</v>
      </c>
      <c r="D178" s="3" t="n">
        <v>3</v>
      </c>
      <c r="E178" s="3" t="n">
        <v>3</v>
      </c>
      <c r="F178" s="3" t="s">
        <v>21</v>
      </c>
      <c r="G178" s="3" t="n">
        <v>0</v>
      </c>
      <c r="H178" s="3" t="n">
        <v>715</v>
      </c>
      <c r="I178" s="3" t="s">
        <v>22</v>
      </c>
      <c r="J178" s="3" t="n">
        <v>0</v>
      </c>
      <c r="K178" s="3" t="n">
        <v>1.181</v>
      </c>
      <c r="L178" s="3" t="n">
        <v>16</v>
      </c>
      <c r="M178" s="3" t="s">
        <v>23</v>
      </c>
      <c r="N178" s="3" t="n">
        <v>570.41</v>
      </c>
      <c r="O178" s="3" t="n">
        <v>-8.144</v>
      </c>
      <c r="P178" s="3" t="n">
        <v>-71.587</v>
      </c>
      <c r="Q178" s="3" t="s">
        <v>531</v>
      </c>
      <c r="R178" s="3" t="s">
        <v>33</v>
      </c>
      <c r="S178" s="3" t="s">
        <v>195</v>
      </c>
    </row>
    <row r="179" customFormat="false" ht="13.8" hidden="false" customHeight="false" outlineLevel="0" collapsed="false">
      <c r="A179" s="3" t="s">
        <v>532</v>
      </c>
      <c r="B179" s="3" t="n">
        <v>7</v>
      </c>
      <c r="C179" s="3" t="s">
        <v>533</v>
      </c>
      <c r="D179" s="3" t="n">
        <v>5</v>
      </c>
      <c r="E179" s="3" t="n">
        <v>5</v>
      </c>
      <c r="F179" s="3" t="s">
        <v>21</v>
      </c>
      <c r="G179" s="3" t="n">
        <v>1</v>
      </c>
      <c r="H179" s="3" t="n">
        <v>803</v>
      </c>
      <c r="I179" s="3" t="s">
        <v>22</v>
      </c>
      <c r="J179" s="3" t="n">
        <v>0</v>
      </c>
      <c r="K179" s="3" t="n">
        <v>1.769</v>
      </c>
      <c r="L179" s="3" t="n">
        <v>21</v>
      </c>
      <c r="M179" s="3" t="s">
        <v>23</v>
      </c>
      <c r="N179" s="3" t="n">
        <v>60.21</v>
      </c>
      <c r="O179" s="3" t="n">
        <v>5.8983</v>
      </c>
      <c r="P179" s="3" t="n">
        <v>126.921</v>
      </c>
      <c r="Q179" s="3" t="s">
        <v>297</v>
      </c>
      <c r="R179" s="3"/>
      <c r="S179" s="3"/>
    </row>
    <row r="180" customFormat="false" ht="13.8" hidden="false" customHeight="false" outlineLevel="0" collapsed="false">
      <c r="A180" s="3" t="s">
        <v>534</v>
      </c>
      <c r="B180" s="3" t="n">
        <v>7.3</v>
      </c>
      <c r="C180" s="3" t="s">
        <v>535</v>
      </c>
      <c r="D180" s="3" t="n">
        <v>3</v>
      </c>
      <c r="E180" s="3" t="n">
        <v>7</v>
      </c>
      <c r="F180" s="3" t="s">
        <v>21</v>
      </c>
      <c r="G180" s="3" t="n">
        <v>1</v>
      </c>
      <c r="H180" s="3" t="n">
        <v>822</v>
      </c>
      <c r="I180" s="3" t="s">
        <v>22</v>
      </c>
      <c r="J180" s="3" t="n">
        <v>0</v>
      </c>
      <c r="K180" s="3" t="n">
        <v>4.126</v>
      </c>
      <c r="L180" s="3" t="n">
        <v>23</v>
      </c>
      <c r="M180" s="3" t="s">
        <v>23</v>
      </c>
      <c r="N180" s="3" t="n">
        <v>16.56</v>
      </c>
      <c r="O180" s="3" t="n">
        <v>55.0999</v>
      </c>
      <c r="P180" s="3" t="n">
        <v>164.699</v>
      </c>
      <c r="Q180" s="3" t="s">
        <v>334</v>
      </c>
      <c r="R180" s="3"/>
      <c r="S180" s="3"/>
    </row>
    <row r="181" customFormat="false" ht="13.8" hidden="false" customHeight="false" outlineLevel="0" collapsed="false">
      <c r="A181" s="3" t="s">
        <v>273</v>
      </c>
      <c r="B181" s="3" t="n">
        <v>7.1</v>
      </c>
      <c r="C181" s="3" t="s">
        <v>536</v>
      </c>
      <c r="D181" s="3" t="n">
        <v>0</v>
      </c>
      <c r="E181" s="3" t="n">
        <v>5</v>
      </c>
      <c r="F181" s="3" t="s">
        <v>21</v>
      </c>
      <c r="G181" s="3" t="n">
        <v>1</v>
      </c>
      <c r="H181" s="3" t="n">
        <v>776</v>
      </c>
      <c r="I181" s="3" t="s">
        <v>22</v>
      </c>
      <c r="J181" s="3" t="n">
        <v>0</v>
      </c>
      <c r="K181" s="3" t="n">
        <v>7.043</v>
      </c>
      <c r="L181" s="3" t="n">
        <v>20</v>
      </c>
      <c r="M181" s="3" t="s">
        <v>23</v>
      </c>
      <c r="N181" s="3" t="n">
        <v>133</v>
      </c>
      <c r="O181" s="3" t="n">
        <v>-58.5446</v>
      </c>
      <c r="P181" s="3" t="n">
        <v>-26.3856</v>
      </c>
      <c r="Q181" s="3" t="s">
        <v>275</v>
      </c>
      <c r="R181" s="3"/>
      <c r="S181" s="3" t="s">
        <v>537</v>
      </c>
    </row>
    <row r="182" customFormat="false" ht="13.8" hidden="false" customHeight="false" outlineLevel="0" collapsed="false">
      <c r="A182" s="3" t="s">
        <v>538</v>
      </c>
      <c r="B182" s="3" t="n">
        <v>6.6</v>
      </c>
      <c r="C182" s="3" t="s">
        <v>539</v>
      </c>
      <c r="D182" s="3" t="n">
        <v>0</v>
      </c>
      <c r="E182" s="3" t="n">
        <v>4</v>
      </c>
      <c r="F182" s="3" t="s">
        <v>21</v>
      </c>
      <c r="G182" s="3" t="n">
        <v>1</v>
      </c>
      <c r="H182" s="3" t="n">
        <v>670</v>
      </c>
      <c r="I182" s="3" t="s">
        <v>22</v>
      </c>
      <c r="J182" s="3" t="n">
        <v>0</v>
      </c>
      <c r="K182" s="3" t="n">
        <v>2.679</v>
      </c>
      <c r="L182" s="3" t="n">
        <v>31</v>
      </c>
      <c r="M182" s="3" t="s">
        <v>23</v>
      </c>
      <c r="N182" s="3" t="n">
        <v>10</v>
      </c>
      <c r="O182" s="3" t="n">
        <v>-22.0629</v>
      </c>
      <c r="P182" s="3" t="n">
        <v>169.733</v>
      </c>
      <c r="Q182" s="3" t="s">
        <v>211</v>
      </c>
      <c r="R182" s="3"/>
      <c r="S182" s="3"/>
    </row>
    <row r="183" customFormat="false" ht="13.8" hidden="false" customHeight="false" outlineLevel="0" collapsed="false">
      <c r="A183" s="3" t="s">
        <v>540</v>
      </c>
      <c r="B183" s="3" t="n">
        <v>7.5</v>
      </c>
      <c r="C183" s="3" t="s">
        <v>541</v>
      </c>
      <c r="D183" s="3" t="n">
        <v>3</v>
      </c>
      <c r="E183" s="3" t="n">
        <v>6</v>
      </c>
      <c r="F183" s="3" t="s">
        <v>21</v>
      </c>
      <c r="G183" s="3" t="n">
        <v>1</v>
      </c>
      <c r="H183" s="3" t="n">
        <v>871</v>
      </c>
      <c r="I183" s="3" t="s">
        <v>22</v>
      </c>
      <c r="J183" s="3" t="n">
        <v>0</v>
      </c>
      <c r="K183" s="3" t="n">
        <v>2.405</v>
      </c>
      <c r="L183" s="3" t="n">
        <v>18</v>
      </c>
      <c r="M183" s="3" t="s">
        <v>23</v>
      </c>
      <c r="N183" s="3" t="n">
        <v>10</v>
      </c>
      <c r="O183" s="3" t="n">
        <v>-21.9496</v>
      </c>
      <c r="P183" s="3" t="n">
        <v>169.427</v>
      </c>
      <c r="Q183" s="3" t="s">
        <v>211</v>
      </c>
      <c r="R183" s="3"/>
      <c r="S183" s="3"/>
    </row>
    <row r="184" customFormat="false" ht="13.8" hidden="false" customHeight="false" outlineLevel="0" collapsed="false">
      <c r="A184" s="3" t="s">
        <v>542</v>
      </c>
      <c r="B184" s="3" t="n">
        <v>7.1</v>
      </c>
      <c r="C184" s="3" t="s">
        <v>543</v>
      </c>
      <c r="D184" s="3" t="n">
        <v>8</v>
      </c>
      <c r="E184" s="3" t="n">
        <v>8</v>
      </c>
      <c r="F184" s="3" t="s">
        <v>95</v>
      </c>
      <c r="G184" s="3" t="n">
        <v>1</v>
      </c>
      <c r="H184" s="3" t="n">
        <v>1790</v>
      </c>
      <c r="I184" s="3" t="s">
        <v>259</v>
      </c>
      <c r="J184" s="3" t="n">
        <v>0</v>
      </c>
      <c r="K184" s="3" t="n">
        <v>0</v>
      </c>
      <c r="L184" s="3" t="n">
        <v>0</v>
      </c>
      <c r="M184" s="3" t="s">
        <v>485</v>
      </c>
      <c r="N184" s="3" t="n">
        <v>46.7</v>
      </c>
      <c r="O184" s="3" t="n">
        <v>61.3464</v>
      </c>
      <c r="P184" s="3" t="n">
        <v>-149.955</v>
      </c>
      <c r="Q184" s="3" t="s">
        <v>544</v>
      </c>
      <c r="R184" s="3" t="s">
        <v>164</v>
      </c>
      <c r="S184" s="3" t="s">
        <v>261</v>
      </c>
    </row>
    <row r="185" customFormat="false" ht="13.8" hidden="false" customHeight="false" outlineLevel="0" collapsed="false">
      <c r="A185" s="3" t="s">
        <v>545</v>
      </c>
      <c r="B185" s="3" t="n">
        <v>6.8</v>
      </c>
      <c r="C185" s="3" t="s">
        <v>546</v>
      </c>
      <c r="D185" s="3" t="n">
        <v>0</v>
      </c>
      <c r="E185" s="3" t="n">
        <v>3</v>
      </c>
      <c r="F185" s="3" t="s">
        <v>21</v>
      </c>
      <c r="G185" s="3" t="n">
        <v>1</v>
      </c>
      <c r="H185" s="3" t="n">
        <v>711</v>
      </c>
      <c r="I185" s="3" t="s">
        <v>22</v>
      </c>
      <c r="J185" s="3" t="n">
        <v>0</v>
      </c>
      <c r="K185" s="3" t="n">
        <v>2.879</v>
      </c>
      <c r="L185" s="3" t="n">
        <v>39</v>
      </c>
      <c r="M185" s="3" t="s">
        <v>23</v>
      </c>
      <c r="N185" s="3" t="n">
        <v>540</v>
      </c>
      <c r="O185" s="3" t="n">
        <v>-17.8735</v>
      </c>
      <c r="P185" s="3" t="n">
        <v>-178.927</v>
      </c>
      <c r="Q185" s="3" t="s">
        <v>547</v>
      </c>
      <c r="R185" s="3"/>
      <c r="S185" s="3" t="s">
        <v>146</v>
      </c>
    </row>
    <row r="186" customFormat="false" ht="13.8" hidden="false" customHeight="false" outlineLevel="0" collapsed="false">
      <c r="A186" s="3" t="s">
        <v>548</v>
      </c>
      <c r="B186" s="3" t="n">
        <v>6.7</v>
      </c>
      <c r="C186" s="3" t="s">
        <v>549</v>
      </c>
      <c r="D186" s="3" t="n">
        <v>3</v>
      </c>
      <c r="E186" s="3" t="n">
        <v>4</v>
      </c>
      <c r="F186" s="3" t="s">
        <v>21</v>
      </c>
      <c r="G186" s="3" t="n">
        <v>1</v>
      </c>
      <c r="H186" s="3" t="n">
        <v>693</v>
      </c>
      <c r="I186" s="3" t="s">
        <v>22</v>
      </c>
      <c r="J186" s="3" t="n">
        <v>0</v>
      </c>
      <c r="K186" s="3" t="n">
        <v>7.853</v>
      </c>
      <c r="L186" s="3" t="n">
        <v>19</v>
      </c>
      <c r="M186" s="3" t="s">
        <v>23</v>
      </c>
      <c r="N186" s="3" t="n">
        <v>10</v>
      </c>
      <c r="O186" s="3" t="n">
        <v>71.6312</v>
      </c>
      <c r="P186" s="3" t="n">
        <v>-11.2431</v>
      </c>
      <c r="Q186" s="3" t="s">
        <v>550</v>
      </c>
      <c r="R186" s="3"/>
      <c r="S186" s="3"/>
    </row>
    <row r="187" customFormat="false" ht="13.8" hidden="false" customHeight="false" outlineLevel="0" collapsed="false">
      <c r="A187" s="3" t="s">
        <v>551</v>
      </c>
      <c r="B187" s="3" t="n">
        <v>6.8</v>
      </c>
      <c r="C187" s="3" t="s">
        <v>552</v>
      </c>
      <c r="D187" s="3" t="n">
        <v>8</v>
      </c>
      <c r="E187" s="3" t="n">
        <v>7</v>
      </c>
      <c r="F187" s="3" t="s">
        <v>28</v>
      </c>
      <c r="G187" s="3" t="n">
        <v>0</v>
      </c>
      <c r="H187" s="3" t="n">
        <v>954</v>
      </c>
      <c r="I187" s="3" t="s">
        <v>22</v>
      </c>
      <c r="J187" s="3" t="n">
        <v>0</v>
      </c>
      <c r="K187" s="3" t="n">
        <v>2.268</v>
      </c>
      <c r="L187" s="3" t="n">
        <v>15</v>
      </c>
      <c r="M187" s="3" t="s">
        <v>23</v>
      </c>
      <c r="N187" s="3" t="n">
        <v>14</v>
      </c>
      <c r="O187" s="3" t="n">
        <v>37.5203</v>
      </c>
      <c r="P187" s="3" t="n">
        <v>20.5565</v>
      </c>
      <c r="Q187" s="3" t="s">
        <v>553</v>
      </c>
      <c r="R187" s="3" t="s">
        <v>361</v>
      </c>
      <c r="S187" s="3"/>
    </row>
    <row r="188" customFormat="false" ht="13.8" hidden="false" customHeight="false" outlineLevel="0" collapsed="false">
      <c r="A188" s="3" t="s">
        <v>554</v>
      </c>
      <c r="B188" s="3" t="n">
        <v>6.5</v>
      </c>
      <c r="C188" s="3" t="s">
        <v>555</v>
      </c>
      <c r="D188" s="3" t="n">
        <v>2</v>
      </c>
      <c r="E188" s="3" t="n">
        <v>4</v>
      </c>
      <c r="F188" s="3" t="s">
        <v>21</v>
      </c>
      <c r="G188" s="3" t="n">
        <v>0</v>
      </c>
      <c r="H188" s="3" t="n">
        <v>655</v>
      </c>
      <c r="I188" s="3" t="s">
        <v>22</v>
      </c>
      <c r="J188" s="3" t="n">
        <v>0</v>
      </c>
      <c r="K188" s="3" t="n">
        <v>1.692</v>
      </c>
      <c r="L188" s="3" t="n">
        <v>68</v>
      </c>
      <c r="M188" s="3" t="s">
        <v>23</v>
      </c>
      <c r="N188" s="3" t="n">
        <v>10</v>
      </c>
      <c r="O188" s="3" t="n">
        <v>49.297</v>
      </c>
      <c r="P188" s="3" t="n">
        <v>-129.724</v>
      </c>
      <c r="Q188" s="3" t="s">
        <v>556</v>
      </c>
      <c r="R188" s="3"/>
      <c r="S188" s="3"/>
    </row>
    <row r="189" customFormat="false" ht="13.8" hidden="false" customHeight="false" outlineLevel="0" collapsed="false">
      <c r="A189" s="3" t="s">
        <v>557</v>
      </c>
      <c r="B189" s="3" t="n">
        <v>6.8</v>
      </c>
      <c r="C189" s="3" t="s">
        <v>558</v>
      </c>
      <c r="D189" s="3" t="n">
        <v>4</v>
      </c>
      <c r="E189" s="3" t="n">
        <v>4</v>
      </c>
      <c r="F189" s="3" t="s">
        <v>21</v>
      </c>
      <c r="G189" s="3" t="n">
        <v>1</v>
      </c>
      <c r="H189" s="3" t="n">
        <v>776</v>
      </c>
      <c r="I189" s="3" t="s">
        <v>22</v>
      </c>
      <c r="J189" s="3" t="n">
        <v>0</v>
      </c>
      <c r="K189" s="3" t="n">
        <v>1.505</v>
      </c>
      <c r="L189" s="3" t="n">
        <v>36</v>
      </c>
      <c r="M189" s="3" t="s">
        <v>23</v>
      </c>
      <c r="N189" s="3" t="n">
        <v>10</v>
      </c>
      <c r="O189" s="3" t="n">
        <v>49.3346</v>
      </c>
      <c r="P189" s="3" t="n">
        <v>-129.289</v>
      </c>
      <c r="Q189" s="3" t="s">
        <v>556</v>
      </c>
      <c r="R189" s="3"/>
      <c r="S189" s="3"/>
    </row>
    <row r="190" customFormat="false" ht="13.8" hidden="false" customHeight="false" outlineLevel="0" collapsed="false">
      <c r="A190" s="3" t="s">
        <v>559</v>
      </c>
      <c r="B190" s="3" t="n">
        <v>6.5</v>
      </c>
      <c r="C190" s="3" t="s">
        <v>560</v>
      </c>
      <c r="D190" s="3" t="n">
        <v>3</v>
      </c>
      <c r="E190" s="3" t="n">
        <v>4</v>
      </c>
      <c r="F190" s="3" t="s">
        <v>21</v>
      </c>
      <c r="G190" s="3" t="n">
        <v>1</v>
      </c>
      <c r="H190" s="3" t="n">
        <v>669</v>
      </c>
      <c r="I190" s="3" t="s">
        <v>22</v>
      </c>
      <c r="J190" s="3" t="n">
        <v>0</v>
      </c>
      <c r="K190" s="3" t="n">
        <v>1.611</v>
      </c>
      <c r="L190" s="3" t="n">
        <v>63</v>
      </c>
      <c r="M190" s="3" t="s">
        <v>23</v>
      </c>
      <c r="N190" s="3" t="n">
        <v>10</v>
      </c>
      <c r="O190" s="3" t="n">
        <v>49.2586</v>
      </c>
      <c r="P190" s="3" t="n">
        <v>-129.412</v>
      </c>
      <c r="Q190" s="3" t="s">
        <v>556</v>
      </c>
      <c r="R190" s="3"/>
      <c r="S190" s="3"/>
    </row>
    <row r="191" customFormat="false" ht="13.8" hidden="false" customHeight="false" outlineLevel="0" collapsed="false">
      <c r="A191" s="3" t="s">
        <v>561</v>
      </c>
      <c r="B191" s="3" t="n">
        <v>6.5</v>
      </c>
      <c r="C191" s="3" t="s">
        <v>562</v>
      </c>
      <c r="D191" s="3" t="n">
        <v>0</v>
      </c>
      <c r="E191" s="3" t="n">
        <v>4</v>
      </c>
      <c r="F191" s="3" t="s">
        <v>21</v>
      </c>
      <c r="G191" s="3" t="n">
        <v>1</v>
      </c>
      <c r="H191" s="3" t="n">
        <v>650</v>
      </c>
      <c r="I191" s="3" t="s">
        <v>22</v>
      </c>
      <c r="J191" s="3" t="n">
        <v>0</v>
      </c>
      <c r="K191" s="3" t="n">
        <v>2.109</v>
      </c>
      <c r="L191" s="3" t="n">
        <v>22</v>
      </c>
      <c r="M191" s="3" t="s">
        <v>23</v>
      </c>
      <c r="N191" s="3" t="n">
        <v>17</v>
      </c>
      <c r="O191" s="3" t="n">
        <v>-21.7427</v>
      </c>
      <c r="P191" s="3" t="n">
        <v>169.522</v>
      </c>
      <c r="Q191" s="3" t="s">
        <v>211</v>
      </c>
      <c r="R191" s="3"/>
      <c r="S191" s="3"/>
    </row>
    <row r="192" customFormat="false" ht="13.8" hidden="false" customHeight="false" outlineLevel="0" collapsed="false">
      <c r="A192" s="3" t="s">
        <v>563</v>
      </c>
      <c r="B192" s="3" t="n">
        <v>6.7</v>
      </c>
      <c r="C192" s="3" t="s">
        <v>564</v>
      </c>
      <c r="D192" s="3" t="n">
        <v>0</v>
      </c>
      <c r="E192" s="3" t="n">
        <v>3</v>
      </c>
      <c r="F192" s="3" t="s">
        <v>21</v>
      </c>
      <c r="G192" s="3" t="n">
        <v>1</v>
      </c>
      <c r="H192" s="3" t="n">
        <v>691</v>
      </c>
      <c r="I192" s="3" t="s">
        <v>22</v>
      </c>
      <c r="J192" s="3" t="n">
        <v>0</v>
      </c>
      <c r="K192" s="3" t="n">
        <v>2.705</v>
      </c>
      <c r="L192" s="3" t="n">
        <v>17</v>
      </c>
      <c r="M192" s="3" t="s">
        <v>23</v>
      </c>
      <c r="N192" s="3" t="n">
        <v>461</v>
      </c>
      <c r="O192" s="3" t="n">
        <v>52.8549</v>
      </c>
      <c r="P192" s="3" t="n">
        <v>153.243</v>
      </c>
      <c r="Q192" s="3" t="s">
        <v>565</v>
      </c>
      <c r="R192" s="3"/>
      <c r="S192" s="3"/>
    </row>
    <row r="193" customFormat="false" ht="13.8" hidden="false" customHeight="false" outlineLevel="0" collapsed="false">
      <c r="A193" s="3" t="s">
        <v>566</v>
      </c>
      <c r="B193" s="3" t="n">
        <v>6.5</v>
      </c>
      <c r="C193" s="3" t="s">
        <v>567</v>
      </c>
      <c r="D193" s="3" t="n">
        <v>0</v>
      </c>
      <c r="E193" s="3" t="n">
        <v>4</v>
      </c>
      <c r="F193" s="3" t="s">
        <v>21</v>
      </c>
      <c r="G193" s="3" t="n">
        <v>1</v>
      </c>
      <c r="H193" s="3" t="n">
        <v>650</v>
      </c>
      <c r="I193" s="3" t="s">
        <v>22</v>
      </c>
      <c r="J193" s="3" t="n">
        <v>0</v>
      </c>
      <c r="K193" s="3" t="n">
        <v>3.923</v>
      </c>
      <c r="L193" s="3" t="n">
        <v>14</v>
      </c>
      <c r="M193" s="3" t="s">
        <v>23</v>
      </c>
      <c r="N193" s="3" t="n">
        <v>20</v>
      </c>
      <c r="O193" s="3" t="n">
        <v>49.2902</v>
      </c>
      <c r="P193" s="3" t="n">
        <v>156.297</v>
      </c>
      <c r="Q193" s="3" t="s">
        <v>424</v>
      </c>
      <c r="R193" s="3"/>
      <c r="S193" s="3"/>
    </row>
    <row r="194" customFormat="false" ht="13.8" hidden="false" customHeight="false" outlineLevel="0" collapsed="false">
      <c r="A194" s="3" t="s">
        <v>568</v>
      </c>
      <c r="B194" s="3" t="n">
        <v>7</v>
      </c>
      <c r="C194" s="3" t="s">
        <v>569</v>
      </c>
      <c r="D194" s="3" t="n">
        <v>6</v>
      </c>
      <c r="E194" s="3" t="n">
        <v>6</v>
      </c>
      <c r="F194" s="3" t="s">
        <v>21</v>
      </c>
      <c r="G194" s="3" t="n">
        <v>1</v>
      </c>
      <c r="H194" s="3" t="n">
        <v>758</v>
      </c>
      <c r="I194" s="3" t="s">
        <v>22</v>
      </c>
      <c r="J194" s="3" t="n">
        <v>0</v>
      </c>
      <c r="K194" s="3" t="n">
        <v>1.778</v>
      </c>
      <c r="L194" s="3" t="n">
        <v>18</v>
      </c>
      <c r="M194" s="3" t="s">
        <v>23</v>
      </c>
      <c r="N194" s="3" t="n">
        <v>39</v>
      </c>
      <c r="O194" s="3" t="n">
        <v>-5.7012</v>
      </c>
      <c r="P194" s="3" t="n">
        <v>151.205</v>
      </c>
      <c r="Q194" s="3" t="s">
        <v>107</v>
      </c>
      <c r="R194" s="3"/>
      <c r="S194" s="3" t="s">
        <v>85</v>
      </c>
    </row>
    <row r="195" customFormat="false" ht="13.8" hidden="false" customHeight="false" outlineLevel="0" collapsed="false">
      <c r="A195" s="3" t="s">
        <v>570</v>
      </c>
      <c r="B195" s="3" t="n">
        <v>6.7</v>
      </c>
      <c r="C195" s="3" t="s">
        <v>571</v>
      </c>
      <c r="D195" s="3" t="n">
        <v>2</v>
      </c>
      <c r="E195" s="3" t="n">
        <v>3</v>
      </c>
      <c r="F195" s="3" t="s">
        <v>21</v>
      </c>
      <c r="G195" s="3" t="n">
        <v>1</v>
      </c>
      <c r="H195" s="3" t="n">
        <v>691</v>
      </c>
      <c r="I195" s="3" t="s">
        <v>22</v>
      </c>
      <c r="J195" s="3" t="n">
        <v>0</v>
      </c>
      <c r="K195" s="3" t="n">
        <v>3.745</v>
      </c>
      <c r="L195" s="3" t="n">
        <v>23</v>
      </c>
      <c r="M195" s="3" t="s">
        <v>23</v>
      </c>
      <c r="N195" s="3" t="n">
        <v>550</v>
      </c>
      <c r="O195" s="3" t="n">
        <v>-18.3604</v>
      </c>
      <c r="P195" s="3" t="n">
        <v>-178.063</v>
      </c>
      <c r="Q195" s="3" t="s">
        <v>547</v>
      </c>
      <c r="R195" s="3"/>
      <c r="S195" s="3" t="s">
        <v>146</v>
      </c>
    </row>
    <row r="196" customFormat="false" ht="13.8" hidden="false" customHeight="false" outlineLevel="0" collapsed="false">
      <c r="A196" s="3" t="s">
        <v>572</v>
      </c>
      <c r="B196" s="3" t="n">
        <v>7.5</v>
      </c>
      <c r="C196" s="3" t="s">
        <v>573</v>
      </c>
      <c r="D196" s="3" t="n">
        <v>8</v>
      </c>
      <c r="E196" s="3" t="n">
        <v>8</v>
      </c>
      <c r="F196" s="3" t="s">
        <v>121</v>
      </c>
      <c r="G196" s="3" t="n">
        <v>0</v>
      </c>
      <c r="H196" s="3" t="n">
        <v>2026</v>
      </c>
      <c r="I196" s="3" t="s">
        <v>22</v>
      </c>
      <c r="J196" s="3" t="n">
        <v>0</v>
      </c>
      <c r="K196" s="3" t="n">
        <v>1.649</v>
      </c>
      <c r="L196" s="3" t="n">
        <v>13</v>
      </c>
      <c r="M196" s="3" t="s">
        <v>23</v>
      </c>
      <c r="N196" s="3" t="n">
        <v>20</v>
      </c>
      <c r="O196" s="3" t="n">
        <v>-0.2559</v>
      </c>
      <c r="P196" s="3" t="n">
        <v>119.846</v>
      </c>
      <c r="Q196" s="3" t="s">
        <v>574</v>
      </c>
      <c r="R196" s="3"/>
      <c r="S196" s="3" t="s">
        <v>68</v>
      </c>
    </row>
    <row r="197" customFormat="false" ht="13.8" hidden="false" customHeight="false" outlineLevel="0" collapsed="false">
      <c r="A197" s="3" t="s">
        <v>575</v>
      </c>
      <c r="B197" s="3" t="n">
        <v>6.5</v>
      </c>
      <c r="C197" s="3" t="s">
        <v>576</v>
      </c>
      <c r="D197" s="3" t="n">
        <v>4</v>
      </c>
      <c r="E197" s="3" t="n">
        <v>1</v>
      </c>
      <c r="F197" s="3" t="s">
        <v>21</v>
      </c>
      <c r="G197" s="3" t="n">
        <v>0</v>
      </c>
      <c r="H197" s="3" t="n">
        <v>651</v>
      </c>
      <c r="I197" s="3" t="s">
        <v>22</v>
      </c>
      <c r="J197" s="3" t="n">
        <v>0</v>
      </c>
      <c r="K197" s="3" t="n">
        <v>5.139</v>
      </c>
      <c r="L197" s="3" t="n">
        <v>18</v>
      </c>
      <c r="M197" s="3" t="s">
        <v>23</v>
      </c>
      <c r="N197" s="3" t="n">
        <v>576</v>
      </c>
      <c r="O197" s="3" t="n">
        <v>-25.415</v>
      </c>
      <c r="P197" s="3" t="n">
        <v>178.199</v>
      </c>
      <c r="Q197" s="3" t="s">
        <v>50</v>
      </c>
      <c r="R197" s="3"/>
      <c r="S197" s="3"/>
    </row>
    <row r="198" customFormat="false" ht="13.8" hidden="false" customHeight="false" outlineLevel="0" collapsed="false">
      <c r="A198" s="3" t="s">
        <v>577</v>
      </c>
      <c r="B198" s="3" t="n">
        <v>6.9</v>
      </c>
      <c r="C198" s="3" t="s">
        <v>578</v>
      </c>
      <c r="D198" s="3" t="n">
        <v>3</v>
      </c>
      <c r="E198" s="3" t="n">
        <v>4</v>
      </c>
      <c r="F198" s="3" t="s">
        <v>21</v>
      </c>
      <c r="G198" s="3" t="n">
        <v>0</v>
      </c>
      <c r="H198" s="3" t="n">
        <v>735</v>
      </c>
      <c r="I198" s="3" t="s">
        <v>22</v>
      </c>
      <c r="J198" s="3" t="n">
        <v>0</v>
      </c>
      <c r="K198" s="3" t="n">
        <v>2.785</v>
      </c>
      <c r="L198" s="3" t="n">
        <v>18</v>
      </c>
      <c r="M198" s="3" t="s">
        <v>23</v>
      </c>
      <c r="N198" s="3" t="n">
        <v>115</v>
      </c>
      <c r="O198" s="3" t="n">
        <v>-31.7447</v>
      </c>
      <c r="P198" s="3" t="n">
        <v>-179.373</v>
      </c>
      <c r="Q198" s="3" t="s">
        <v>99</v>
      </c>
      <c r="R198" s="3"/>
      <c r="S198" s="3"/>
    </row>
    <row r="199" customFormat="false" ht="13.8" hidden="false" customHeight="false" outlineLevel="0" collapsed="false">
      <c r="A199" s="3" t="s">
        <v>579</v>
      </c>
      <c r="B199" s="3" t="n">
        <v>6.5</v>
      </c>
      <c r="C199" s="3" t="s">
        <v>580</v>
      </c>
      <c r="D199" s="3" t="n">
        <v>3</v>
      </c>
      <c r="E199" s="3" t="n">
        <v>6</v>
      </c>
      <c r="F199" s="3" t="s">
        <v>21</v>
      </c>
      <c r="G199" s="3" t="n">
        <v>1</v>
      </c>
      <c r="H199" s="3" t="n">
        <v>651</v>
      </c>
      <c r="I199" s="3" t="s">
        <v>22</v>
      </c>
      <c r="J199" s="3" t="n">
        <v>0</v>
      </c>
      <c r="K199" s="3" t="n">
        <v>1.638</v>
      </c>
      <c r="L199" s="3" t="n">
        <v>25</v>
      </c>
      <c r="M199" s="3" t="s">
        <v>23</v>
      </c>
      <c r="N199" s="3" t="n">
        <v>68</v>
      </c>
      <c r="O199" s="3" t="n">
        <v>-10.0207</v>
      </c>
      <c r="P199" s="3" t="n">
        <v>161.503</v>
      </c>
      <c r="Q199" s="3" t="s">
        <v>581</v>
      </c>
      <c r="R199" s="3"/>
      <c r="S199" s="3" t="s">
        <v>140</v>
      </c>
    </row>
    <row r="200" customFormat="false" ht="13.8" hidden="false" customHeight="false" outlineLevel="0" collapsed="false">
      <c r="A200" s="3" t="s">
        <v>582</v>
      </c>
      <c r="B200" s="3" t="n">
        <v>7.9</v>
      </c>
      <c r="C200" s="3" t="s">
        <v>583</v>
      </c>
      <c r="D200" s="3" t="n">
        <v>7</v>
      </c>
      <c r="E200" s="3" t="n">
        <v>4</v>
      </c>
      <c r="F200" s="3" t="s">
        <v>21</v>
      </c>
      <c r="G200" s="3" t="n">
        <v>1</v>
      </c>
      <c r="H200" s="3" t="n">
        <v>979</v>
      </c>
      <c r="I200" s="3" t="s">
        <v>22</v>
      </c>
      <c r="J200" s="3" t="n">
        <v>0</v>
      </c>
      <c r="K200" s="3" t="n">
        <v>1.431</v>
      </c>
      <c r="L200" s="3" t="n">
        <v>12</v>
      </c>
      <c r="M200" s="3" t="s">
        <v>23</v>
      </c>
      <c r="N200" s="3" t="n">
        <v>670.81</v>
      </c>
      <c r="O200" s="3" t="n">
        <v>-18.4743</v>
      </c>
      <c r="P200" s="3" t="n">
        <v>179.35</v>
      </c>
      <c r="Q200" s="3" t="s">
        <v>547</v>
      </c>
      <c r="R200" s="3"/>
      <c r="S200" s="3" t="s">
        <v>146</v>
      </c>
    </row>
    <row r="201" customFormat="false" ht="13.8" hidden="false" customHeight="false" outlineLevel="0" collapsed="false">
      <c r="A201" s="3" t="s">
        <v>584</v>
      </c>
      <c r="B201" s="3" t="n">
        <v>6.6</v>
      </c>
      <c r="C201" s="3" t="s">
        <v>585</v>
      </c>
      <c r="D201" s="3" t="n">
        <v>8</v>
      </c>
      <c r="E201" s="3" t="n">
        <v>9</v>
      </c>
      <c r="F201" s="3" t="s">
        <v>95</v>
      </c>
      <c r="G201" s="3" t="n">
        <v>1</v>
      </c>
      <c r="H201" s="3" t="n">
        <v>1075</v>
      </c>
      <c r="I201" s="3" t="s">
        <v>22</v>
      </c>
      <c r="J201" s="3" t="n">
        <v>0</v>
      </c>
      <c r="K201" s="3" t="n">
        <v>1.13</v>
      </c>
      <c r="L201" s="3" t="n">
        <v>32</v>
      </c>
      <c r="M201" s="3" t="s">
        <v>23</v>
      </c>
      <c r="N201" s="3" t="n">
        <v>35</v>
      </c>
      <c r="O201" s="3" t="n">
        <v>42.6861</v>
      </c>
      <c r="P201" s="3" t="n">
        <v>141.929</v>
      </c>
      <c r="Q201" s="3" t="s">
        <v>586</v>
      </c>
      <c r="R201" s="3" t="s">
        <v>80</v>
      </c>
      <c r="S201" s="3" t="s">
        <v>322</v>
      </c>
    </row>
    <row r="202" customFormat="false" ht="13.8" hidden="false" customHeight="false" outlineLevel="0" collapsed="false">
      <c r="A202" s="3" t="s">
        <v>587</v>
      </c>
      <c r="B202" s="3" t="n">
        <v>7.1</v>
      </c>
      <c r="C202" s="3" t="s">
        <v>588</v>
      </c>
      <c r="D202" s="3" t="n">
        <v>2</v>
      </c>
      <c r="E202" s="3" t="n">
        <v>5</v>
      </c>
      <c r="F202" s="3" t="s">
        <v>21</v>
      </c>
      <c r="G202" s="3" t="n">
        <v>1</v>
      </c>
      <c r="H202" s="3" t="n">
        <v>776</v>
      </c>
      <c r="I202" s="3" t="s">
        <v>22</v>
      </c>
      <c r="J202" s="3" t="n">
        <v>0</v>
      </c>
      <c r="K202" s="3" t="n">
        <v>2.548</v>
      </c>
      <c r="L202" s="3" t="n">
        <v>23</v>
      </c>
      <c r="M202" s="3" t="s">
        <v>23</v>
      </c>
      <c r="N202" s="3" t="n">
        <v>21.43</v>
      </c>
      <c r="O202" s="3" t="n">
        <v>-22.0295</v>
      </c>
      <c r="P202" s="3" t="n">
        <v>170.126</v>
      </c>
      <c r="Q202" s="3" t="s">
        <v>211</v>
      </c>
      <c r="R202" s="3"/>
      <c r="S202" s="3"/>
    </row>
    <row r="203" customFormat="false" ht="13.8" hidden="false" customHeight="false" outlineLevel="0" collapsed="false">
      <c r="A203" s="3" t="s">
        <v>589</v>
      </c>
      <c r="B203" s="3" t="n">
        <v>7.1</v>
      </c>
      <c r="C203" s="3" t="s">
        <v>590</v>
      </c>
      <c r="D203" s="3" t="n">
        <v>0</v>
      </c>
      <c r="E203" s="3" t="n">
        <v>3</v>
      </c>
      <c r="F203" s="3" t="s">
        <v>21</v>
      </c>
      <c r="G203" s="3" t="n">
        <v>0</v>
      </c>
      <c r="H203" s="3" t="n">
        <v>776</v>
      </c>
      <c r="I203" s="3" t="s">
        <v>22</v>
      </c>
      <c r="J203" s="3" t="n">
        <v>0</v>
      </c>
      <c r="K203" s="3" t="n">
        <v>3.77</v>
      </c>
      <c r="L203" s="3" t="n">
        <v>12</v>
      </c>
      <c r="M203" s="3" t="s">
        <v>23</v>
      </c>
      <c r="N203" s="3" t="n">
        <v>630</v>
      </c>
      <c r="O203" s="3" t="n">
        <v>-11.0355</v>
      </c>
      <c r="P203" s="3" t="n">
        <v>-70.8284</v>
      </c>
      <c r="Q203" s="3" t="s">
        <v>591</v>
      </c>
      <c r="R203" s="3" t="s">
        <v>33</v>
      </c>
      <c r="S203" s="3" t="s">
        <v>199</v>
      </c>
    </row>
    <row r="204" customFormat="false" ht="13.8" hidden="false" customHeight="false" outlineLevel="0" collapsed="false">
      <c r="A204" s="3" t="s">
        <v>592</v>
      </c>
      <c r="B204" s="3" t="n">
        <v>6.5</v>
      </c>
      <c r="C204" s="3" t="s">
        <v>593</v>
      </c>
      <c r="D204" s="3" t="n">
        <v>6</v>
      </c>
      <c r="E204" s="3" t="n">
        <v>7</v>
      </c>
      <c r="F204" s="3" t="s">
        <v>21</v>
      </c>
      <c r="G204" s="3" t="n">
        <v>1</v>
      </c>
      <c r="H204" s="3" t="n">
        <v>652</v>
      </c>
      <c r="I204" s="3" t="s">
        <v>22</v>
      </c>
      <c r="J204" s="3" t="n">
        <v>0</v>
      </c>
      <c r="K204" s="3" t="n">
        <v>4.797</v>
      </c>
      <c r="L204" s="3" t="n">
        <v>10</v>
      </c>
      <c r="M204" s="3" t="s">
        <v>23</v>
      </c>
      <c r="N204" s="3" t="n">
        <v>9</v>
      </c>
      <c r="O204" s="3" t="n">
        <v>-16.0315</v>
      </c>
      <c r="P204" s="3" t="n">
        <v>168.143</v>
      </c>
      <c r="Q204" s="3" t="s">
        <v>472</v>
      </c>
      <c r="R204" s="3"/>
      <c r="S204" s="3" t="s">
        <v>25</v>
      </c>
    </row>
    <row r="205" customFormat="false" ht="13.8" hidden="false" customHeight="false" outlineLevel="0" collapsed="false">
      <c r="A205" s="3" t="s">
        <v>594</v>
      </c>
      <c r="B205" s="3" t="n">
        <v>7.3</v>
      </c>
      <c r="C205" s="3" t="s">
        <v>595</v>
      </c>
      <c r="D205" s="3" t="n">
        <v>8</v>
      </c>
      <c r="E205" s="3" t="n">
        <v>6</v>
      </c>
      <c r="F205" s="3" t="s">
        <v>28</v>
      </c>
      <c r="G205" s="3" t="n">
        <v>1</v>
      </c>
      <c r="H205" s="3" t="n">
        <v>1570</v>
      </c>
      <c r="I205" s="3" t="s">
        <v>22</v>
      </c>
      <c r="J205" s="3" t="n">
        <v>0</v>
      </c>
      <c r="K205" s="3" t="n">
        <v>1.822</v>
      </c>
      <c r="L205" s="3" t="n">
        <v>15</v>
      </c>
      <c r="M205" s="3" t="s">
        <v>23</v>
      </c>
      <c r="N205" s="3" t="n">
        <v>146.82</v>
      </c>
      <c r="O205" s="3" t="n">
        <v>10.7731</v>
      </c>
      <c r="P205" s="3" t="n">
        <v>-62.9019</v>
      </c>
      <c r="Q205" s="3" t="s">
        <v>596</v>
      </c>
      <c r="R205" s="3"/>
      <c r="S205" s="3" t="s">
        <v>597</v>
      </c>
    </row>
    <row r="206" customFormat="false" ht="13.8" hidden="false" customHeight="false" outlineLevel="0" collapsed="false">
      <c r="A206" s="3" t="s">
        <v>598</v>
      </c>
      <c r="B206" s="3" t="n">
        <v>6.9</v>
      </c>
      <c r="C206" s="3" t="s">
        <v>599</v>
      </c>
      <c r="D206" s="3" t="n">
        <v>7</v>
      </c>
      <c r="E206" s="3" t="n">
        <v>7</v>
      </c>
      <c r="F206" s="3" t="s">
        <v>21</v>
      </c>
      <c r="G206" s="3" t="n">
        <v>0</v>
      </c>
      <c r="H206" s="3" t="n">
        <v>1206</v>
      </c>
      <c r="I206" s="3" t="s">
        <v>22</v>
      </c>
      <c r="J206" s="3" t="n">
        <v>0</v>
      </c>
      <c r="K206" s="3" t="n">
        <v>2.453</v>
      </c>
      <c r="L206" s="3" t="n">
        <v>31</v>
      </c>
      <c r="M206" s="3" t="s">
        <v>23</v>
      </c>
      <c r="N206" s="3" t="n">
        <v>21</v>
      </c>
      <c r="O206" s="3" t="n">
        <v>-8.319</v>
      </c>
      <c r="P206" s="3" t="n">
        <v>116.627</v>
      </c>
      <c r="Q206" s="3" t="s">
        <v>600</v>
      </c>
      <c r="R206" s="3"/>
      <c r="S206" s="3" t="s">
        <v>68</v>
      </c>
    </row>
    <row r="207" customFormat="false" ht="13.8" hidden="false" customHeight="false" outlineLevel="0" collapsed="false">
      <c r="A207" s="3" t="s">
        <v>601</v>
      </c>
      <c r="B207" s="3" t="n">
        <v>8.2</v>
      </c>
      <c r="C207" s="3" t="s">
        <v>602</v>
      </c>
      <c r="D207" s="3" t="n">
        <v>5</v>
      </c>
      <c r="E207" s="3" t="n">
        <v>4</v>
      </c>
      <c r="F207" s="3" t="s">
        <v>21</v>
      </c>
      <c r="G207" s="3" t="n">
        <v>1</v>
      </c>
      <c r="H207" s="3" t="n">
        <v>1050</v>
      </c>
      <c r="I207" s="3" t="s">
        <v>22</v>
      </c>
      <c r="J207" s="3" t="n">
        <v>0</v>
      </c>
      <c r="K207" s="3" t="n">
        <v>3.63</v>
      </c>
      <c r="L207" s="3" t="n">
        <v>13</v>
      </c>
      <c r="M207" s="3" t="s">
        <v>23</v>
      </c>
      <c r="N207" s="3" t="n">
        <v>600</v>
      </c>
      <c r="O207" s="3" t="n">
        <v>-18.1125</v>
      </c>
      <c r="P207" s="3" t="n">
        <v>-178.153</v>
      </c>
      <c r="Q207" s="3" t="s">
        <v>547</v>
      </c>
      <c r="R207" s="3"/>
      <c r="S207" s="3" t="s">
        <v>146</v>
      </c>
    </row>
    <row r="208" customFormat="false" ht="13.8" hidden="false" customHeight="false" outlineLevel="0" collapsed="false">
      <c r="A208" s="3" t="s">
        <v>603</v>
      </c>
      <c r="B208" s="3" t="n">
        <v>6.5</v>
      </c>
      <c r="C208" s="3" t="s">
        <v>604</v>
      </c>
      <c r="D208" s="3" t="n">
        <v>5</v>
      </c>
      <c r="E208" s="3" t="n">
        <v>3</v>
      </c>
      <c r="F208" s="3" t="s">
        <v>21</v>
      </c>
      <c r="G208" s="3" t="n">
        <v>0</v>
      </c>
      <c r="H208" s="3" t="n">
        <v>743</v>
      </c>
      <c r="I208" s="3" t="s">
        <v>22</v>
      </c>
      <c r="J208" s="3" t="n">
        <v>0</v>
      </c>
      <c r="K208" s="3" t="n">
        <v>2.719</v>
      </c>
      <c r="L208" s="3" t="n">
        <v>23</v>
      </c>
      <c r="M208" s="3" t="s">
        <v>23</v>
      </c>
      <c r="N208" s="3" t="n">
        <v>529</v>
      </c>
      <c r="O208" s="3" t="n">
        <v>-7.3718</v>
      </c>
      <c r="P208" s="3" t="n">
        <v>119.802</v>
      </c>
      <c r="Q208" s="3" t="s">
        <v>605</v>
      </c>
      <c r="R208" s="3"/>
      <c r="S208" s="3" t="s">
        <v>68</v>
      </c>
    </row>
    <row r="209" customFormat="false" ht="13.8" hidden="false" customHeight="false" outlineLevel="0" collapsed="false">
      <c r="A209" s="3" t="s">
        <v>606</v>
      </c>
      <c r="B209" s="3" t="n">
        <v>6.5</v>
      </c>
      <c r="C209" s="3" t="s">
        <v>607</v>
      </c>
      <c r="D209" s="3" t="n">
        <v>6</v>
      </c>
      <c r="E209" s="3" t="n">
        <v>6</v>
      </c>
      <c r="F209" s="3" t="s">
        <v>21</v>
      </c>
      <c r="G209" s="3" t="n">
        <v>1</v>
      </c>
      <c r="H209" s="3" t="n">
        <v>655</v>
      </c>
      <c r="I209" s="3" t="s">
        <v>22</v>
      </c>
      <c r="J209" s="3" t="n">
        <v>0</v>
      </c>
      <c r="K209" s="3" t="n">
        <v>0.576</v>
      </c>
      <c r="L209" s="3" t="n">
        <v>22</v>
      </c>
      <c r="M209" s="3" t="s">
        <v>23</v>
      </c>
      <c r="N209" s="3" t="n">
        <v>33.93</v>
      </c>
      <c r="O209" s="3" t="n">
        <v>51.4234</v>
      </c>
      <c r="P209" s="3" t="n">
        <v>-178.026</v>
      </c>
      <c r="Q209" s="3" t="s">
        <v>608</v>
      </c>
      <c r="R209" s="3" t="s">
        <v>164</v>
      </c>
      <c r="S209" s="3" t="s">
        <v>261</v>
      </c>
    </row>
    <row r="210" customFormat="false" ht="13.8" hidden="false" customHeight="false" outlineLevel="0" collapsed="false">
      <c r="A210" s="3" t="s">
        <v>609</v>
      </c>
      <c r="B210" s="3" t="n">
        <v>6.9</v>
      </c>
      <c r="C210" s="3" t="s">
        <v>610</v>
      </c>
      <c r="D210" s="3" t="n">
        <v>9</v>
      </c>
      <c r="E210" s="3" t="n">
        <v>8</v>
      </c>
      <c r="F210" s="3" t="s">
        <v>95</v>
      </c>
      <c r="G210" s="3" t="n">
        <v>0</v>
      </c>
      <c r="H210" s="3" t="n">
        <v>1704</v>
      </c>
      <c r="I210" s="3" t="s">
        <v>22</v>
      </c>
      <c r="J210" s="3" t="n">
        <v>0</v>
      </c>
      <c r="K210" s="3" t="n">
        <v>2.271</v>
      </c>
      <c r="L210" s="3" t="n">
        <v>15</v>
      </c>
      <c r="M210" s="3" t="s">
        <v>23</v>
      </c>
      <c r="N210" s="3" t="n">
        <v>34</v>
      </c>
      <c r="O210" s="3" t="n">
        <v>-8.2581</v>
      </c>
      <c r="P210" s="3" t="n">
        <v>116.438</v>
      </c>
      <c r="Q210" s="3" t="s">
        <v>600</v>
      </c>
      <c r="R210" s="3"/>
      <c r="S210" s="3" t="s">
        <v>68</v>
      </c>
    </row>
    <row r="211" customFormat="false" ht="13.8" hidden="false" customHeight="false" outlineLevel="0" collapsed="false">
      <c r="A211" s="3" t="s">
        <v>611</v>
      </c>
      <c r="B211" s="3" t="n">
        <v>6.9</v>
      </c>
      <c r="C211" s="3" t="s">
        <v>612</v>
      </c>
      <c r="D211" s="3" t="n">
        <v>7</v>
      </c>
      <c r="E211" s="3" t="n">
        <v>8</v>
      </c>
      <c r="F211" s="3" t="s">
        <v>28</v>
      </c>
      <c r="G211" s="3" t="n">
        <v>1</v>
      </c>
      <c r="H211" s="3" t="n">
        <v>1392</v>
      </c>
      <c r="I211" s="3" t="s">
        <v>613</v>
      </c>
      <c r="J211" s="3" t="n">
        <v>63</v>
      </c>
      <c r="K211" s="3" t="n">
        <v>0.11</v>
      </c>
      <c r="L211" s="3" t="n">
        <v>210</v>
      </c>
      <c r="M211" s="3" t="s">
        <v>485</v>
      </c>
      <c r="N211" s="3" t="n">
        <v>5.81</v>
      </c>
      <c r="O211" s="3" t="n">
        <v>19.3182</v>
      </c>
      <c r="P211" s="3" t="n">
        <v>-155</v>
      </c>
      <c r="Q211" s="3" t="s">
        <v>614</v>
      </c>
      <c r="R211" s="3"/>
      <c r="S211" s="3" t="s">
        <v>261</v>
      </c>
    </row>
    <row r="212" customFormat="false" ht="13.8" hidden="false" customHeight="false" outlineLevel="0" collapsed="false">
      <c r="A212" s="3" t="s">
        <v>615</v>
      </c>
      <c r="B212" s="3" t="n">
        <v>6.8</v>
      </c>
      <c r="C212" s="3" t="s">
        <v>616</v>
      </c>
      <c r="D212" s="3" t="n">
        <v>5</v>
      </c>
      <c r="E212" s="3" t="n">
        <v>3</v>
      </c>
      <c r="F212" s="3" t="s">
        <v>21</v>
      </c>
      <c r="G212" s="3" t="n">
        <v>0</v>
      </c>
      <c r="H212" s="3" t="n">
        <v>733</v>
      </c>
      <c r="I212" s="3" t="s">
        <v>22</v>
      </c>
      <c r="J212" s="3" t="n">
        <v>0</v>
      </c>
      <c r="K212" s="3" t="n">
        <v>5.32</v>
      </c>
      <c r="L212" s="3" t="n">
        <v>16</v>
      </c>
      <c r="M212" s="3" t="s">
        <v>23</v>
      </c>
      <c r="N212" s="3" t="n">
        <v>559</v>
      </c>
      <c r="O212" s="3" t="n">
        <v>-20.6588</v>
      </c>
      <c r="P212" s="3" t="n">
        <v>-63.0058</v>
      </c>
      <c r="Q212" s="3" t="s">
        <v>617</v>
      </c>
      <c r="R212" s="3" t="s">
        <v>33</v>
      </c>
      <c r="S212" s="3" t="s">
        <v>618</v>
      </c>
    </row>
    <row r="213" customFormat="false" ht="13.8" hidden="false" customHeight="false" outlineLevel="0" collapsed="false">
      <c r="A213" s="3" t="s">
        <v>619</v>
      </c>
      <c r="B213" s="3" t="n">
        <v>6.9</v>
      </c>
      <c r="C213" s="3" t="s">
        <v>620</v>
      </c>
      <c r="D213" s="3" t="n">
        <v>9</v>
      </c>
      <c r="E213" s="3" t="n">
        <v>6</v>
      </c>
      <c r="F213" s="3" t="s">
        <v>21</v>
      </c>
      <c r="G213" s="3" t="n">
        <v>1</v>
      </c>
      <c r="H213" s="3" t="n">
        <v>741</v>
      </c>
      <c r="I213" s="3" t="s">
        <v>22</v>
      </c>
      <c r="J213" s="3" t="n">
        <v>0</v>
      </c>
      <c r="K213" s="3" t="n">
        <v>1.487</v>
      </c>
      <c r="L213" s="3" t="n">
        <v>18</v>
      </c>
      <c r="M213" s="3" t="s">
        <v>23</v>
      </c>
      <c r="N213" s="3" t="n">
        <v>35</v>
      </c>
      <c r="O213" s="3" t="n">
        <v>-5.5321</v>
      </c>
      <c r="P213" s="3" t="n">
        <v>151.5</v>
      </c>
      <c r="Q213" s="3" t="s">
        <v>107</v>
      </c>
      <c r="R213" s="3"/>
      <c r="S213" s="3" t="s">
        <v>85</v>
      </c>
    </row>
    <row r="214" customFormat="false" ht="13.8" hidden="false" customHeight="false" outlineLevel="0" collapsed="false">
      <c r="A214" s="3" t="s">
        <v>621</v>
      </c>
      <c r="B214" s="3" t="n">
        <v>6.7</v>
      </c>
      <c r="C214" s="3" t="s">
        <v>622</v>
      </c>
      <c r="D214" s="3" t="n">
        <v>5</v>
      </c>
      <c r="E214" s="3" t="n">
        <v>6</v>
      </c>
      <c r="F214" s="3" t="s">
        <v>21</v>
      </c>
      <c r="G214" s="3" t="n">
        <v>1</v>
      </c>
      <c r="H214" s="3" t="n">
        <v>696</v>
      </c>
      <c r="I214" s="3" t="s">
        <v>22</v>
      </c>
      <c r="J214" s="3" t="n">
        <v>0</v>
      </c>
      <c r="K214" s="3" t="n">
        <v>1.507</v>
      </c>
      <c r="L214" s="3" t="n">
        <v>15</v>
      </c>
      <c r="M214" s="3" t="s">
        <v>23</v>
      </c>
      <c r="N214" s="3" t="n">
        <v>40</v>
      </c>
      <c r="O214" s="3" t="n">
        <v>-5.5024</v>
      </c>
      <c r="P214" s="3" t="n">
        <v>151.402</v>
      </c>
      <c r="Q214" s="3" t="s">
        <v>107</v>
      </c>
      <c r="R214" s="3"/>
      <c r="S214" s="3" t="s">
        <v>85</v>
      </c>
    </row>
    <row r="215" customFormat="false" ht="13.8" hidden="false" customHeight="false" outlineLevel="0" collapsed="false">
      <c r="A215" s="3" t="s">
        <v>623</v>
      </c>
      <c r="B215" s="3" t="n">
        <v>6.8</v>
      </c>
      <c r="C215" s="3" t="s">
        <v>624</v>
      </c>
      <c r="D215" s="3" t="n">
        <v>6</v>
      </c>
      <c r="E215" s="3" t="n">
        <v>6</v>
      </c>
      <c r="F215" s="3" t="s">
        <v>21</v>
      </c>
      <c r="G215" s="3" t="n">
        <v>1</v>
      </c>
      <c r="H215" s="3" t="n">
        <v>719</v>
      </c>
      <c r="I215" s="3" t="s">
        <v>22</v>
      </c>
      <c r="J215" s="3" t="n">
        <v>0</v>
      </c>
      <c r="K215" s="3" t="n">
        <v>1.049</v>
      </c>
      <c r="L215" s="3" t="n">
        <v>16</v>
      </c>
      <c r="M215" s="3" t="s">
        <v>23</v>
      </c>
      <c r="N215" s="3" t="n">
        <v>22.86</v>
      </c>
      <c r="O215" s="3" t="n">
        <v>-4.3762</v>
      </c>
      <c r="P215" s="3" t="n">
        <v>153.2</v>
      </c>
      <c r="Q215" s="3" t="s">
        <v>625</v>
      </c>
      <c r="R215" s="3"/>
      <c r="S215" s="3" t="s">
        <v>85</v>
      </c>
    </row>
    <row r="216" customFormat="false" ht="13.8" hidden="false" customHeight="false" outlineLevel="0" collapsed="false">
      <c r="A216" s="3" t="s">
        <v>626</v>
      </c>
      <c r="B216" s="3" t="n">
        <v>6.7</v>
      </c>
      <c r="C216" s="3" t="s">
        <v>627</v>
      </c>
      <c r="D216" s="3" t="n">
        <v>8</v>
      </c>
      <c r="E216" s="3" t="n">
        <v>7</v>
      </c>
      <c r="F216" s="3" t="s">
        <v>21</v>
      </c>
      <c r="G216" s="3" t="n">
        <v>1</v>
      </c>
      <c r="H216" s="3" t="n">
        <v>697</v>
      </c>
      <c r="I216" s="3" t="s">
        <v>22</v>
      </c>
      <c r="J216" s="3" t="n">
        <v>0</v>
      </c>
      <c r="K216" s="3" t="n">
        <v>5.457</v>
      </c>
      <c r="L216" s="3" t="n">
        <v>19</v>
      </c>
      <c r="M216" s="3" t="s">
        <v>23</v>
      </c>
      <c r="N216" s="3" t="n">
        <v>20.49</v>
      </c>
      <c r="O216" s="3" t="n">
        <v>-6.3043</v>
      </c>
      <c r="P216" s="3" t="n">
        <v>142.612</v>
      </c>
      <c r="Q216" s="3" t="s">
        <v>628</v>
      </c>
      <c r="R216" s="3"/>
      <c r="S216" s="3" t="s">
        <v>85</v>
      </c>
    </row>
    <row r="217" customFormat="false" ht="13.8" hidden="false" customHeight="false" outlineLevel="0" collapsed="false">
      <c r="A217" s="3" t="s">
        <v>629</v>
      </c>
      <c r="B217" s="3" t="n">
        <v>7.5</v>
      </c>
      <c r="C217" s="3" t="s">
        <v>630</v>
      </c>
      <c r="D217" s="3" t="n">
        <v>9</v>
      </c>
      <c r="E217" s="3" t="n">
        <v>8</v>
      </c>
      <c r="F217" s="3" t="s">
        <v>28</v>
      </c>
      <c r="G217" s="3" t="n">
        <v>1</v>
      </c>
      <c r="H217" s="3" t="n">
        <v>943</v>
      </c>
      <c r="I217" s="3" t="s">
        <v>22</v>
      </c>
      <c r="J217" s="3" t="n">
        <v>0</v>
      </c>
      <c r="K217" s="3" t="n">
        <v>5.48</v>
      </c>
      <c r="L217" s="3" t="n">
        <v>17</v>
      </c>
      <c r="M217" s="3" t="s">
        <v>23</v>
      </c>
      <c r="N217" s="3" t="n">
        <v>25.21</v>
      </c>
      <c r="O217" s="3" t="n">
        <v>-6.0699</v>
      </c>
      <c r="P217" s="3" t="n">
        <v>142.754</v>
      </c>
      <c r="Q217" s="3" t="s">
        <v>628</v>
      </c>
      <c r="R217" s="3"/>
      <c r="S217" s="3" t="s">
        <v>85</v>
      </c>
    </row>
    <row r="218" customFormat="false" ht="13.8" hidden="false" customHeight="false" outlineLevel="0" collapsed="false">
      <c r="A218" s="3" t="s">
        <v>631</v>
      </c>
      <c r="B218" s="3" t="n">
        <v>7.2</v>
      </c>
      <c r="C218" s="3" t="s">
        <v>632</v>
      </c>
      <c r="D218" s="3" t="n">
        <v>7</v>
      </c>
      <c r="E218" s="3" t="n">
        <v>7</v>
      </c>
      <c r="F218" s="3" t="s">
        <v>28</v>
      </c>
      <c r="G218" s="3" t="n">
        <v>1</v>
      </c>
      <c r="H218" s="3" t="n">
        <v>1384</v>
      </c>
      <c r="I218" s="3" t="s">
        <v>22</v>
      </c>
      <c r="J218" s="3" t="n">
        <v>0</v>
      </c>
      <c r="K218" s="3" t="n">
        <v>0.142</v>
      </c>
      <c r="L218" s="3" t="n">
        <v>82</v>
      </c>
      <c r="M218" s="3" t="s">
        <v>23</v>
      </c>
      <c r="N218" s="3" t="n">
        <v>22</v>
      </c>
      <c r="O218" s="3" t="n">
        <v>16.3855</v>
      </c>
      <c r="P218" s="3" t="n">
        <v>-97.9787</v>
      </c>
      <c r="Q218" s="3" t="s">
        <v>633</v>
      </c>
      <c r="R218" s="3" t="s">
        <v>164</v>
      </c>
      <c r="S218" s="3" t="s">
        <v>165</v>
      </c>
    </row>
    <row r="219" customFormat="false" ht="13.8" hidden="false" customHeight="false" outlineLevel="0" collapsed="false">
      <c r="A219" s="3" t="s">
        <v>634</v>
      </c>
      <c r="B219" s="3" t="n">
        <v>7.9</v>
      </c>
      <c r="C219" s="3" t="s">
        <v>635</v>
      </c>
      <c r="D219" s="3" t="n">
        <v>9</v>
      </c>
      <c r="E219" s="3" t="n">
        <v>4</v>
      </c>
      <c r="F219" s="3" t="s">
        <v>21</v>
      </c>
      <c r="G219" s="3" t="n">
        <v>1</v>
      </c>
      <c r="H219" s="3" t="n">
        <v>1870</v>
      </c>
      <c r="I219" s="3" t="s">
        <v>22</v>
      </c>
      <c r="J219" s="3" t="n">
        <v>0</v>
      </c>
      <c r="K219" s="3" t="n">
        <v>2.585</v>
      </c>
      <c r="L219" s="3" t="n">
        <v>30</v>
      </c>
      <c r="M219" s="3" t="s">
        <v>23</v>
      </c>
      <c r="N219" s="3" t="n">
        <v>14.06</v>
      </c>
      <c r="O219" s="3" t="n">
        <v>56.0039</v>
      </c>
      <c r="P219" s="3" t="n">
        <v>-149.166</v>
      </c>
      <c r="Q219" s="3" t="s">
        <v>636</v>
      </c>
      <c r="R219" s="3"/>
      <c r="S219" s="3"/>
    </row>
    <row r="220" customFormat="false" ht="13.8" hidden="false" customHeight="false" outlineLevel="0" collapsed="false">
      <c r="A220" s="3" t="s">
        <v>637</v>
      </c>
      <c r="B220" s="3" t="n">
        <v>7.1</v>
      </c>
      <c r="C220" s="3" t="s">
        <v>638</v>
      </c>
      <c r="D220" s="3" t="n">
        <v>9</v>
      </c>
      <c r="E220" s="3" t="n">
        <v>7</v>
      </c>
      <c r="F220" s="3" t="s">
        <v>21</v>
      </c>
      <c r="G220" s="3" t="n">
        <v>1</v>
      </c>
      <c r="H220" s="3" t="n">
        <v>1075</v>
      </c>
      <c r="I220" s="3" t="s">
        <v>22</v>
      </c>
      <c r="J220" s="3" t="n">
        <v>0</v>
      </c>
      <c r="K220" s="3" t="n">
        <v>4.29</v>
      </c>
      <c r="L220" s="3" t="n">
        <v>23</v>
      </c>
      <c r="M220" s="3" t="s">
        <v>23</v>
      </c>
      <c r="N220" s="3" t="n">
        <v>39</v>
      </c>
      <c r="O220" s="3" t="n">
        <v>-15.7675</v>
      </c>
      <c r="P220" s="3" t="n">
        <v>-74.7092</v>
      </c>
      <c r="Q220" s="3" t="s">
        <v>639</v>
      </c>
      <c r="R220" s="3"/>
      <c r="S220" s="3" t="s">
        <v>199</v>
      </c>
    </row>
    <row r="221" customFormat="false" ht="13.8" hidden="false" customHeight="false" outlineLevel="0" collapsed="false">
      <c r="A221" s="3" t="s">
        <v>640</v>
      </c>
      <c r="B221" s="3" t="n">
        <v>7.5</v>
      </c>
      <c r="C221" s="3" t="s">
        <v>641</v>
      </c>
      <c r="D221" s="3" t="n">
        <v>8</v>
      </c>
      <c r="E221" s="3" t="n">
        <v>5</v>
      </c>
      <c r="F221" s="3" t="s">
        <v>21</v>
      </c>
      <c r="G221" s="3" t="n">
        <v>1</v>
      </c>
      <c r="H221" s="3" t="n">
        <v>1623</v>
      </c>
      <c r="I221" s="3" t="s">
        <v>22</v>
      </c>
      <c r="J221" s="3" t="n">
        <v>0</v>
      </c>
      <c r="K221" s="3" t="n">
        <v>4.581</v>
      </c>
      <c r="L221" s="3" t="n">
        <v>12</v>
      </c>
      <c r="M221" s="3" t="s">
        <v>23</v>
      </c>
      <c r="N221" s="3" t="n">
        <v>19</v>
      </c>
      <c r="O221" s="3" t="n">
        <v>17.4825</v>
      </c>
      <c r="P221" s="3" t="n">
        <v>-83.52</v>
      </c>
      <c r="Q221" s="3" t="s">
        <v>642</v>
      </c>
      <c r="R221" s="3"/>
      <c r="S221" s="3"/>
    </row>
    <row r="222" customFormat="false" ht="13.8" hidden="false" customHeight="false" outlineLevel="0" collapsed="false">
      <c r="A222" s="3" t="s">
        <v>643</v>
      </c>
      <c r="B222" s="3" t="n">
        <v>6.5</v>
      </c>
      <c r="C222" s="3" t="s">
        <v>644</v>
      </c>
      <c r="D222" s="3" t="n">
        <v>8</v>
      </c>
      <c r="E222" s="3" t="n">
        <v>7</v>
      </c>
      <c r="F222" s="3" t="s">
        <v>21</v>
      </c>
      <c r="G222" s="3" t="n">
        <v>0</v>
      </c>
      <c r="H222" s="3" t="n">
        <v>998</v>
      </c>
      <c r="I222" s="3" t="s">
        <v>22</v>
      </c>
      <c r="J222" s="3" t="n">
        <v>0</v>
      </c>
      <c r="K222" s="3" t="n">
        <v>2.365</v>
      </c>
      <c r="L222" s="3" t="n">
        <v>28</v>
      </c>
      <c r="M222" s="3" t="s">
        <v>23</v>
      </c>
      <c r="N222" s="3" t="n">
        <v>90</v>
      </c>
      <c r="O222" s="3" t="n">
        <v>-7.4921</v>
      </c>
      <c r="P222" s="3" t="n">
        <v>108.174</v>
      </c>
      <c r="Q222" s="3" t="s">
        <v>645</v>
      </c>
      <c r="R222" s="3"/>
      <c r="S222" s="3" t="s">
        <v>68</v>
      </c>
    </row>
    <row r="223" customFormat="false" ht="13.8" hidden="false" customHeight="false" outlineLevel="0" collapsed="false">
      <c r="A223" s="3" t="s">
        <v>646</v>
      </c>
      <c r="B223" s="3" t="n">
        <v>6.5</v>
      </c>
      <c r="C223" s="3" t="s">
        <v>647</v>
      </c>
      <c r="D223" s="3" t="n">
        <v>1</v>
      </c>
      <c r="E223" s="3" t="n">
        <v>5</v>
      </c>
      <c r="F223" s="3" t="s">
        <v>21</v>
      </c>
      <c r="G223" s="3" t="n">
        <v>1</v>
      </c>
      <c r="H223" s="3" t="n">
        <v>651</v>
      </c>
      <c r="I223" s="3" t="s">
        <v>22</v>
      </c>
      <c r="J223" s="3" t="n">
        <v>0</v>
      </c>
      <c r="K223" s="3" t="n">
        <v>17.654</v>
      </c>
      <c r="L223" s="3" t="n">
        <v>23</v>
      </c>
      <c r="M223" s="3" t="s">
        <v>23</v>
      </c>
      <c r="N223" s="3" t="n">
        <v>17</v>
      </c>
      <c r="O223" s="3" t="n">
        <v>-54.2189</v>
      </c>
      <c r="P223" s="3" t="n">
        <v>2.1628</v>
      </c>
      <c r="Q223" s="3" t="s">
        <v>648</v>
      </c>
      <c r="R223" s="3"/>
      <c r="S223" s="3"/>
    </row>
    <row r="224" customFormat="false" ht="13.8" hidden="false" customHeight="false" outlineLevel="0" collapsed="false">
      <c r="A224" s="3" t="s">
        <v>649</v>
      </c>
      <c r="B224" s="3" t="n">
        <v>7</v>
      </c>
      <c r="C224" s="3" t="s">
        <v>650</v>
      </c>
      <c r="D224" s="3" t="n">
        <v>4</v>
      </c>
      <c r="E224" s="3" t="n">
        <v>6</v>
      </c>
      <c r="F224" s="3" t="s">
        <v>21</v>
      </c>
      <c r="G224" s="3" t="n">
        <v>1</v>
      </c>
      <c r="H224" s="3" t="n">
        <v>771</v>
      </c>
      <c r="I224" s="3" t="s">
        <v>22</v>
      </c>
      <c r="J224" s="3" t="n">
        <v>0</v>
      </c>
      <c r="K224" s="3" t="n">
        <v>0.617</v>
      </c>
      <c r="L224" s="3" t="n">
        <v>14</v>
      </c>
      <c r="M224" s="3" t="s">
        <v>23</v>
      </c>
      <c r="N224" s="3" t="n">
        <v>10</v>
      </c>
      <c r="O224" s="3" t="n">
        <v>-21.3246</v>
      </c>
      <c r="P224" s="3" t="n">
        <v>168.671</v>
      </c>
      <c r="Q224" s="3" t="s">
        <v>211</v>
      </c>
      <c r="R224" s="3"/>
      <c r="S224" s="3"/>
    </row>
    <row r="225" customFormat="false" ht="13.8" hidden="false" customHeight="false" outlineLevel="0" collapsed="false">
      <c r="A225" s="3" t="s">
        <v>651</v>
      </c>
      <c r="B225" s="3" t="n">
        <v>6.6</v>
      </c>
      <c r="C225" s="3" t="s">
        <v>652</v>
      </c>
      <c r="D225" s="3" t="n">
        <v>4</v>
      </c>
      <c r="E225" s="3" t="n">
        <v>5</v>
      </c>
      <c r="F225" s="3" t="s">
        <v>21</v>
      </c>
      <c r="G225" s="3" t="n">
        <v>1</v>
      </c>
      <c r="H225" s="3" t="n">
        <v>676</v>
      </c>
      <c r="I225" s="3" t="s">
        <v>22</v>
      </c>
      <c r="J225" s="3" t="n">
        <v>0</v>
      </c>
      <c r="K225" s="3" t="n">
        <v>0.529</v>
      </c>
      <c r="L225" s="3" t="n">
        <v>21</v>
      </c>
      <c r="M225" s="3" t="s">
        <v>23</v>
      </c>
      <c r="N225" s="3" t="n">
        <v>13</v>
      </c>
      <c r="O225" s="3" t="n">
        <v>-21.5027</v>
      </c>
      <c r="P225" s="3" t="n">
        <v>168.598</v>
      </c>
      <c r="Q225" s="3" t="s">
        <v>211</v>
      </c>
      <c r="R225" s="3"/>
      <c r="S225" s="3"/>
    </row>
    <row r="226" customFormat="false" ht="13.8" hidden="false" customHeight="false" outlineLevel="0" collapsed="false">
      <c r="A226" s="3" t="s">
        <v>653</v>
      </c>
      <c r="B226" s="3" t="n">
        <v>6.5</v>
      </c>
      <c r="C226" s="3" t="s">
        <v>654</v>
      </c>
      <c r="D226" s="3" t="n">
        <v>8</v>
      </c>
      <c r="E226" s="3" t="n">
        <v>8</v>
      </c>
      <c r="F226" s="3" t="s">
        <v>28</v>
      </c>
      <c r="G226" s="3" t="n">
        <v>1</v>
      </c>
      <c r="H226" s="3" t="n">
        <v>1153</v>
      </c>
      <c r="I226" s="3" t="s">
        <v>22</v>
      </c>
      <c r="J226" s="3" t="n">
        <v>0</v>
      </c>
      <c r="K226" s="3" t="n">
        <v>0.225</v>
      </c>
      <c r="L226" s="3" t="n">
        <v>37</v>
      </c>
      <c r="M226" s="3" t="s">
        <v>23</v>
      </c>
      <c r="N226" s="3" t="n">
        <v>19.36</v>
      </c>
      <c r="O226" s="3" t="n">
        <v>9.5147</v>
      </c>
      <c r="P226" s="3" t="n">
        <v>-84.4865</v>
      </c>
      <c r="Q226" s="3" t="s">
        <v>655</v>
      </c>
      <c r="R226" s="3"/>
      <c r="S226" s="3" t="s">
        <v>656</v>
      </c>
    </row>
    <row r="227" customFormat="false" ht="13.8" hidden="false" customHeight="false" outlineLevel="0" collapsed="false">
      <c r="A227" s="3" t="s">
        <v>657</v>
      </c>
      <c r="B227" s="3" t="n">
        <v>7.3</v>
      </c>
      <c r="C227" s="3" t="s">
        <v>658</v>
      </c>
      <c r="D227" s="3" t="n">
        <v>8</v>
      </c>
      <c r="E227" s="3" t="n">
        <v>9</v>
      </c>
      <c r="F227" s="3" t="s">
        <v>121</v>
      </c>
      <c r="G227" s="3" t="n">
        <v>0</v>
      </c>
      <c r="H227" s="3" t="n">
        <v>2790</v>
      </c>
      <c r="I227" s="3" t="s">
        <v>22</v>
      </c>
      <c r="J227" s="3" t="n">
        <v>0</v>
      </c>
      <c r="K227" s="3" t="n">
        <v>0.284</v>
      </c>
      <c r="L227" s="3" t="n">
        <v>33</v>
      </c>
      <c r="M227" s="3" t="s">
        <v>23</v>
      </c>
      <c r="N227" s="3" t="n">
        <v>19</v>
      </c>
      <c r="O227" s="3" t="n">
        <v>34.9109</v>
      </c>
      <c r="P227" s="3" t="n">
        <v>45.9592</v>
      </c>
      <c r="Q227" s="3" t="s">
        <v>659</v>
      </c>
      <c r="R227" s="3" t="s">
        <v>80</v>
      </c>
      <c r="S227" s="3" t="s">
        <v>660</v>
      </c>
    </row>
    <row r="228" customFormat="false" ht="13.8" hidden="false" customHeight="false" outlineLevel="0" collapsed="false">
      <c r="A228" s="3" t="s">
        <v>661</v>
      </c>
      <c r="B228" s="3" t="n">
        <v>6.5</v>
      </c>
      <c r="C228" s="3" t="s">
        <v>662</v>
      </c>
      <c r="D228" s="3" t="n">
        <v>6</v>
      </c>
      <c r="E228" s="3" t="n">
        <v>5</v>
      </c>
      <c r="F228" s="3" t="s">
        <v>21</v>
      </c>
      <c r="G228" s="3" t="n">
        <v>1</v>
      </c>
      <c r="H228" s="3" t="n">
        <v>661</v>
      </c>
      <c r="I228" s="3" t="s">
        <v>22</v>
      </c>
      <c r="J228" s="3" t="n">
        <v>0</v>
      </c>
      <c r="K228" s="3" t="n">
        <v>4.449</v>
      </c>
      <c r="L228" s="3" t="n">
        <v>10</v>
      </c>
      <c r="M228" s="3" t="s">
        <v>23</v>
      </c>
      <c r="N228" s="3" t="n">
        <v>110.57</v>
      </c>
      <c r="O228" s="3" t="n">
        <v>-4.2433</v>
      </c>
      <c r="P228" s="3" t="n">
        <v>143.485</v>
      </c>
      <c r="Q228" s="3" t="s">
        <v>663</v>
      </c>
      <c r="R228" s="3"/>
      <c r="S228" s="3" t="s">
        <v>85</v>
      </c>
    </row>
    <row r="229" customFormat="false" ht="13.8" hidden="false" customHeight="false" outlineLevel="0" collapsed="false">
      <c r="A229" s="3" t="s">
        <v>664</v>
      </c>
      <c r="B229" s="3" t="n">
        <v>6.8</v>
      </c>
      <c r="C229" s="3" t="s">
        <v>665</v>
      </c>
      <c r="D229" s="3" t="n">
        <v>5</v>
      </c>
      <c r="E229" s="3" t="n">
        <v>5</v>
      </c>
      <c r="F229" s="3" t="s">
        <v>21</v>
      </c>
      <c r="G229" s="3" t="n">
        <v>1</v>
      </c>
      <c r="H229" s="3" t="n">
        <v>727</v>
      </c>
      <c r="I229" s="3" t="s">
        <v>22</v>
      </c>
      <c r="J229" s="3" t="n">
        <v>0</v>
      </c>
      <c r="K229" s="3" t="n">
        <v>4.852</v>
      </c>
      <c r="L229" s="3" t="n">
        <v>21</v>
      </c>
      <c r="M229" s="3" t="s">
        <v>23</v>
      </c>
      <c r="N229" s="3" t="n">
        <v>10</v>
      </c>
      <c r="O229" s="3" t="n">
        <v>-15.3197</v>
      </c>
      <c r="P229" s="3" t="n">
        <v>-173.168</v>
      </c>
      <c r="Q229" s="3" t="s">
        <v>62</v>
      </c>
      <c r="R229" s="3"/>
      <c r="S229" s="3"/>
    </row>
    <row r="230" customFormat="false" ht="13.8" hidden="false" customHeight="false" outlineLevel="0" collapsed="false">
      <c r="A230" s="3" t="s">
        <v>666</v>
      </c>
      <c r="B230" s="3" t="n">
        <v>6.6</v>
      </c>
      <c r="C230" s="3" t="s">
        <v>667</v>
      </c>
      <c r="D230" s="3" t="n">
        <v>3</v>
      </c>
      <c r="E230" s="3" t="n">
        <v>5</v>
      </c>
      <c r="F230" s="3" t="s">
        <v>21</v>
      </c>
      <c r="G230" s="3" t="n">
        <v>1</v>
      </c>
      <c r="H230" s="3" t="n">
        <v>674</v>
      </c>
      <c r="I230" s="3" t="s">
        <v>22</v>
      </c>
      <c r="J230" s="3" t="n">
        <v>0</v>
      </c>
      <c r="K230" s="3" t="n">
        <v>0.788</v>
      </c>
      <c r="L230" s="3" t="n">
        <v>29</v>
      </c>
      <c r="M230" s="3" t="s">
        <v>23</v>
      </c>
      <c r="N230" s="3" t="n">
        <v>22</v>
      </c>
      <c r="O230" s="3" t="n">
        <v>-21.6484</v>
      </c>
      <c r="P230" s="3" t="n">
        <v>168.859</v>
      </c>
      <c r="Q230" s="3" t="s">
        <v>211</v>
      </c>
      <c r="R230" s="3"/>
      <c r="S230" s="3"/>
    </row>
    <row r="231" customFormat="false" ht="13.8" hidden="false" customHeight="false" outlineLevel="0" collapsed="false">
      <c r="A231" s="3" t="s">
        <v>668</v>
      </c>
      <c r="B231" s="3" t="n">
        <v>6.7</v>
      </c>
      <c r="C231" s="3" t="s">
        <v>669</v>
      </c>
      <c r="D231" s="3" t="n">
        <v>3</v>
      </c>
      <c r="E231" s="3" t="n">
        <v>4</v>
      </c>
      <c r="F231" s="3" t="s">
        <v>21</v>
      </c>
      <c r="G231" s="3" t="n">
        <v>1</v>
      </c>
      <c r="H231" s="3" t="n">
        <v>691</v>
      </c>
      <c r="I231" s="3" t="s">
        <v>22</v>
      </c>
      <c r="J231" s="3" t="n">
        <v>0</v>
      </c>
      <c r="K231" s="3" t="n">
        <v>1.062</v>
      </c>
      <c r="L231" s="3" t="n">
        <v>55</v>
      </c>
      <c r="M231" s="3" t="s">
        <v>23</v>
      </c>
      <c r="N231" s="3" t="n">
        <v>24</v>
      </c>
      <c r="O231" s="3" t="n">
        <v>-21.6971</v>
      </c>
      <c r="P231" s="3" t="n">
        <v>169.148</v>
      </c>
      <c r="Q231" s="3" t="s">
        <v>211</v>
      </c>
      <c r="R231" s="3"/>
      <c r="S231" s="3"/>
    </row>
    <row r="232" customFormat="false" ht="13.8" hidden="false" customHeight="false" outlineLevel="0" collapsed="false">
      <c r="A232" s="3" t="s">
        <v>670</v>
      </c>
      <c r="B232" s="3" t="n">
        <v>6.7</v>
      </c>
      <c r="C232" s="3" t="s">
        <v>671</v>
      </c>
      <c r="D232" s="3" t="n">
        <v>3</v>
      </c>
      <c r="E232" s="3" t="n">
        <v>3</v>
      </c>
      <c r="F232" s="3" t="s">
        <v>21</v>
      </c>
      <c r="G232" s="3" t="n">
        <v>0</v>
      </c>
      <c r="H232" s="3" t="n">
        <v>694</v>
      </c>
      <c r="I232" s="3" t="s">
        <v>22</v>
      </c>
      <c r="J232" s="3" t="n">
        <v>0</v>
      </c>
      <c r="K232" s="3" t="n">
        <v>1.634</v>
      </c>
      <c r="L232" s="3" t="n">
        <v>16</v>
      </c>
      <c r="M232" s="3" t="s">
        <v>23</v>
      </c>
      <c r="N232" s="3" t="n">
        <v>553.81</v>
      </c>
      <c r="O232" s="3" t="n">
        <v>-7.2168</v>
      </c>
      <c r="P232" s="3" t="n">
        <v>123.074</v>
      </c>
      <c r="Q232" s="3" t="s">
        <v>672</v>
      </c>
      <c r="R232" s="3"/>
      <c r="S232" s="3" t="s">
        <v>68</v>
      </c>
    </row>
    <row r="233" customFormat="false" ht="13.8" hidden="false" customHeight="false" outlineLevel="0" collapsed="false">
      <c r="A233" s="3" t="s">
        <v>673</v>
      </c>
      <c r="B233" s="3" t="n">
        <v>6.5</v>
      </c>
      <c r="C233" s="3" t="s">
        <v>674</v>
      </c>
      <c r="D233" s="3" t="n">
        <v>3</v>
      </c>
      <c r="E233" s="3" t="n">
        <v>5</v>
      </c>
      <c r="F233" s="3" t="s">
        <v>21</v>
      </c>
      <c r="G233" s="3" t="n">
        <v>1</v>
      </c>
      <c r="H233" s="3" t="n">
        <v>651</v>
      </c>
      <c r="I233" s="3" t="s">
        <v>22</v>
      </c>
      <c r="J233" s="3" t="n">
        <v>0</v>
      </c>
      <c r="K233" s="3" t="n">
        <v>1.154</v>
      </c>
      <c r="L233" s="3" t="n">
        <v>11</v>
      </c>
      <c r="M233" s="3" t="s">
        <v>23</v>
      </c>
      <c r="N233" s="3" t="n">
        <v>119</v>
      </c>
      <c r="O233" s="3" t="n">
        <v>52.3909</v>
      </c>
      <c r="P233" s="3" t="n">
        <v>176.769</v>
      </c>
      <c r="Q233" s="3" t="s">
        <v>675</v>
      </c>
      <c r="R233" s="3" t="s">
        <v>164</v>
      </c>
      <c r="S233" s="3"/>
    </row>
    <row r="234" customFormat="false" ht="13.8" hidden="false" customHeight="false" outlineLevel="0" collapsed="false">
      <c r="A234" s="3" t="s">
        <v>676</v>
      </c>
      <c r="B234" s="3" t="n">
        <v>7.1</v>
      </c>
      <c r="C234" s="3" t="s">
        <v>677</v>
      </c>
      <c r="D234" s="3" t="n">
        <v>9</v>
      </c>
      <c r="E234" s="3" t="n">
        <v>8</v>
      </c>
      <c r="F234" s="3"/>
      <c r="G234" s="3" t="n">
        <v>0</v>
      </c>
      <c r="H234" s="3" t="n">
        <v>1686</v>
      </c>
      <c r="I234" s="3" t="s">
        <v>22</v>
      </c>
      <c r="J234" s="3" t="n">
        <v>0</v>
      </c>
      <c r="K234" s="3" t="n">
        <v>0.984</v>
      </c>
      <c r="L234" s="3" t="n">
        <v>23</v>
      </c>
      <c r="M234" s="3" t="s">
        <v>23</v>
      </c>
      <c r="N234" s="3" t="n">
        <v>48</v>
      </c>
      <c r="O234" s="3" t="n">
        <v>18.5499</v>
      </c>
      <c r="P234" s="3" t="n">
        <v>-98.4887</v>
      </c>
      <c r="Q234" s="3" t="s">
        <v>678</v>
      </c>
      <c r="R234" s="3" t="s">
        <v>164</v>
      </c>
      <c r="S234" s="3" t="s">
        <v>165</v>
      </c>
    </row>
    <row r="235" customFormat="false" ht="13.8" hidden="false" customHeight="false" outlineLevel="0" collapsed="false">
      <c r="A235" s="3" t="s">
        <v>679</v>
      </c>
      <c r="B235" s="3" t="n">
        <v>8.2</v>
      </c>
      <c r="C235" s="3" t="s">
        <v>680</v>
      </c>
      <c r="D235" s="3" t="n">
        <v>9</v>
      </c>
      <c r="E235" s="3" t="n">
        <v>7</v>
      </c>
      <c r="F235" s="3" t="s">
        <v>121</v>
      </c>
      <c r="G235" s="3" t="n">
        <v>1</v>
      </c>
      <c r="H235" s="3" t="n">
        <v>2910</v>
      </c>
      <c r="I235" s="3" t="s">
        <v>22</v>
      </c>
      <c r="J235" s="3" t="n">
        <v>0</v>
      </c>
      <c r="K235" s="3" t="n">
        <v>0.944</v>
      </c>
      <c r="L235" s="3" t="n">
        <v>22</v>
      </c>
      <c r="M235" s="3" t="s">
        <v>23</v>
      </c>
      <c r="N235" s="3" t="n">
        <v>47.39</v>
      </c>
      <c r="O235" s="3" t="n">
        <v>15.0222</v>
      </c>
      <c r="P235" s="3" t="n">
        <v>-93.8993</v>
      </c>
      <c r="Q235" s="3" t="s">
        <v>681</v>
      </c>
      <c r="R235" s="3"/>
      <c r="S235" s="3"/>
    </row>
    <row r="236" customFormat="false" ht="13.8" hidden="false" customHeight="false" outlineLevel="0" collapsed="false">
      <c r="A236" s="3" t="s">
        <v>682</v>
      </c>
      <c r="B236" s="3" t="n">
        <v>6.5</v>
      </c>
      <c r="C236" s="3" t="s">
        <v>683</v>
      </c>
      <c r="D236" s="3" t="n">
        <v>5</v>
      </c>
      <c r="E236" s="3" t="n">
        <v>7</v>
      </c>
      <c r="F236" s="3" t="s">
        <v>28</v>
      </c>
      <c r="G236" s="3" t="n">
        <v>0</v>
      </c>
      <c r="H236" s="3" t="n">
        <v>707</v>
      </c>
      <c r="I236" s="3" t="s">
        <v>22</v>
      </c>
      <c r="J236" s="3" t="n">
        <v>0</v>
      </c>
      <c r="K236" s="3" t="n">
        <v>11.411</v>
      </c>
      <c r="L236" s="3" t="n">
        <v>22</v>
      </c>
      <c r="M236" s="3" t="s">
        <v>23</v>
      </c>
      <c r="N236" s="3" t="n">
        <v>9</v>
      </c>
      <c r="O236" s="3" t="n">
        <v>33.1926</v>
      </c>
      <c r="P236" s="3" t="n">
        <v>103.855</v>
      </c>
      <c r="Q236" s="3" t="s">
        <v>684</v>
      </c>
      <c r="R236" s="3" t="s">
        <v>80</v>
      </c>
      <c r="S236" s="3" t="s">
        <v>184</v>
      </c>
    </row>
    <row r="237" customFormat="false" ht="13.8" hidden="false" customHeight="false" outlineLevel="0" collapsed="false">
      <c r="A237" s="3" t="s">
        <v>685</v>
      </c>
      <c r="B237" s="3" t="n">
        <v>6.6</v>
      </c>
      <c r="C237" s="3" t="s">
        <v>686</v>
      </c>
      <c r="D237" s="3" t="n">
        <v>7</v>
      </c>
      <c r="E237" s="3" t="n">
        <v>7</v>
      </c>
      <c r="F237" s="3" t="s">
        <v>28</v>
      </c>
      <c r="G237" s="3" t="n">
        <v>0</v>
      </c>
      <c r="H237" s="3" t="n">
        <v>1064</v>
      </c>
      <c r="I237" s="3" t="s">
        <v>22</v>
      </c>
      <c r="J237" s="3" t="n">
        <v>0</v>
      </c>
      <c r="K237" s="3" t="n">
        <v>0.913</v>
      </c>
      <c r="L237" s="3" t="n">
        <v>16</v>
      </c>
      <c r="M237" s="3" t="s">
        <v>23</v>
      </c>
      <c r="N237" s="3" t="n">
        <v>7</v>
      </c>
      <c r="O237" s="3" t="n">
        <v>36.9293</v>
      </c>
      <c r="P237" s="3" t="n">
        <v>27.4139</v>
      </c>
      <c r="Q237" s="3" t="s">
        <v>687</v>
      </c>
      <c r="R237" s="3" t="s">
        <v>80</v>
      </c>
      <c r="S237" s="3" t="s">
        <v>435</v>
      </c>
    </row>
    <row r="238" customFormat="false" ht="13.8" hidden="false" customHeight="false" outlineLevel="0" collapsed="false">
      <c r="A238" s="3" t="s">
        <v>688</v>
      </c>
      <c r="B238" s="3" t="n">
        <v>7.7</v>
      </c>
      <c r="C238" s="3" t="s">
        <v>689</v>
      </c>
      <c r="D238" s="3" t="n">
        <v>8</v>
      </c>
      <c r="E238" s="3" t="n">
        <v>7</v>
      </c>
      <c r="F238" s="3" t="s">
        <v>21</v>
      </c>
      <c r="G238" s="3" t="n">
        <v>1</v>
      </c>
      <c r="H238" s="3" t="n">
        <v>918</v>
      </c>
      <c r="I238" s="3" t="s">
        <v>22</v>
      </c>
      <c r="J238" s="3" t="n">
        <v>0</v>
      </c>
      <c r="K238" s="3" t="n">
        <v>3.564</v>
      </c>
      <c r="L238" s="3" t="n">
        <v>13</v>
      </c>
      <c r="M238" s="3" t="s">
        <v>23</v>
      </c>
      <c r="N238" s="3" t="n">
        <v>10</v>
      </c>
      <c r="O238" s="3" t="n">
        <v>54.4434</v>
      </c>
      <c r="P238" s="3" t="n">
        <v>168.857</v>
      </c>
      <c r="Q238" s="3" t="s">
        <v>690</v>
      </c>
      <c r="R238" s="3"/>
      <c r="S238" s="3"/>
    </row>
    <row r="239" customFormat="false" ht="13.8" hidden="false" customHeight="false" outlineLevel="0" collapsed="false">
      <c r="A239" s="3" t="s">
        <v>691</v>
      </c>
      <c r="B239" s="3" t="n">
        <v>6.6</v>
      </c>
      <c r="C239" s="3" t="s">
        <v>692</v>
      </c>
      <c r="D239" s="3" t="n">
        <v>5</v>
      </c>
      <c r="E239" s="3" t="n">
        <v>4</v>
      </c>
      <c r="F239" s="3" t="s">
        <v>21</v>
      </c>
      <c r="G239" s="3" t="n">
        <v>1</v>
      </c>
      <c r="H239" s="3" t="n">
        <v>704</v>
      </c>
      <c r="I239" s="3" t="s">
        <v>22</v>
      </c>
      <c r="J239" s="3" t="n">
        <v>0</v>
      </c>
      <c r="K239" s="3" t="n">
        <v>3.773</v>
      </c>
      <c r="L239" s="3" t="n">
        <v>37</v>
      </c>
      <c r="M239" s="3" t="s">
        <v>23</v>
      </c>
      <c r="N239" s="3" t="n">
        <v>10</v>
      </c>
      <c r="O239" s="3" t="n">
        <v>-49.4837</v>
      </c>
      <c r="P239" s="3" t="n">
        <v>164.016</v>
      </c>
      <c r="Q239" s="3" t="s">
        <v>693</v>
      </c>
      <c r="R239" s="3"/>
      <c r="S239" s="3"/>
    </row>
    <row r="240" customFormat="false" ht="13.8" hidden="false" customHeight="false" outlineLevel="0" collapsed="false">
      <c r="A240" s="3" t="s">
        <v>694</v>
      </c>
      <c r="B240" s="3" t="n">
        <v>6.5</v>
      </c>
      <c r="C240" s="3" t="s">
        <v>695</v>
      </c>
      <c r="D240" s="3" t="n">
        <v>9</v>
      </c>
      <c r="E240" s="3" t="n">
        <v>8</v>
      </c>
      <c r="F240" s="3" t="s">
        <v>28</v>
      </c>
      <c r="G240" s="3" t="n">
        <v>1</v>
      </c>
      <c r="H240" s="3" t="n">
        <v>740</v>
      </c>
      <c r="I240" s="3" t="s">
        <v>22</v>
      </c>
      <c r="J240" s="3" t="n">
        <v>0</v>
      </c>
      <c r="K240" s="3" t="n">
        <v>4.139</v>
      </c>
      <c r="L240" s="3" t="n">
        <v>30</v>
      </c>
      <c r="M240" s="3" t="s">
        <v>23</v>
      </c>
      <c r="N240" s="3" t="n">
        <v>9</v>
      </c>
      <c r="O240" s="3" t="n">
        <v>11.1269</v>
      </c>
      <c r="P240" s="3" t="n">
        <v>124.629</v>
      </c>
      <c r="Q240" s="3" t="s">
        <v>696</v>
      </c>
      <c r="R240" s="3"/>
      <c r="S240" s="3" t="s">
        <v>191</v>
      </c>
    </row>
    <row r="241" customFormat="false" ht="13.8" hidden="false" customHeight="false" outlineLevel="0" collapsed="false">
      <c r="A241" s="3" t="s">
        <v>697</v>
      </c>
      <c r="B241" s="3" t="n">
        <v>6.8</v>
      </c>
      <c r="C241" s="3" t="s">
        <v>698</v>
      </c>
      <c r="D241" s="3" t="n">
        <v>6</v>
      </c>
      <c r="E241" s="3" t="n">
        <v>6</v>
      </c>
      <c r="F241" s="3" t="s">
        <v>28</v>
      </c>
      <c r="G241" s="3" t="n">
        <v>1</v>
      </c>
      <c r="H241" s="3" t="n">
        <v>1034</v>
      </c>
      <c r="I241" s="3" t="s">
        <v>22</v>
      </c>
      <c r="J241" s="3" t="n">
        <v>0</v>
      </c>
      <c r="K241" s="3" t="n">
        <v>1.065</v>
      </c>
      <c r="L241" s="3" t="n">
        <v>38</v>
      </c>
      <c r="M241" s="3" t="s">
        <v>23</v>
      </c>
      <c r="N241" s="3" t="n">
        <v>38.12</v>
      </c>
      <c r="O241" s="3" t="n">
        <v>13.7174</v>
      </c>
      <c r="P241" s="3" t="n">
        <v>-90.9718</v>
      </c>
      <c r="Q241" s="3" t="s">
        <v>699</v>
      </c>
      <c r="R241" s="3"/>
      <c r="S241" s="3"/>
    </row>
    <row r="242" customFormat="false" ht="13.8" hidden="false" customHeight="false" outlineLevel="0" collapsed="false">
      <c r="A242" s="3" t="s">
        <v>700</v>
      </c>
      <c r="B242" s="3" t="n">
        <v>6.9</v>
      </c>
      <c r="C242" s="3" t="s">
        <v>701</v>
      </c>
      <c r="D242" s="3" t="n">
        <v>8</v>
      </c>
      <c r="E242" s="3" t="n">
        <v>6</v>
      </c>
      <c r="F242" s="3" t="s">
        <v>28</v>
      </c>
      <c r="G242" s="3" t="n">
        <v>1</v>
      </c>
      <c r="H242" s="3" t="n">
        <v>1188</v>
      </c>
      <c r="I242" s="3" t="s">
        <v>22</v>
      </c>
      <c r="J242" s="3" t="n">
        <v>0</v>
      </c>
      <c r="K242" s="3" t="n">
        <v>0.247</v>
      </c>
      <c r="L242" s="3" t="n">
        <v>35</v>
      </c>
      <c r="M242" s="3" t="s">
        <v>23</v>
      </c>
      <c r="N242" s="3" t="n">
        <v>93</v>
      </c>
      <c r="O242" s="3" t="n">
        <v>14.9091</v>
      </c>
      <c r="P242" s="3" t="n">
        <v>-92.0092</v>
      </c>
      <c r="Q242" s="3" t="s">
        <v>702</v>
      </c>
      <c r="R242" s="3"/>
      <c r="S242" s="3" t="s">
        <v>703</v>
      </c>
    </row>
    <row r="243" customFormat="false" ht="13.8" hidden="false" customHeight="false" outlineLevel="0" collapsed="false">
      <c r="A243" s="3" t="s">
        <v>704</v>
      </c>
      <c r="B243" s="3" t="n">
        <v>6.8</v>
      </c>
      <c r="C243" s="3" t="s">
        <v>705</v>
      </c>
      <c r="D243" s="3" t="n">
        <v>0</v>
      </c>
      <c r="E243" s="3" t="n">
        <v>4</v>
      </c>
      <c r="F243" s="3" t="s">
        <v>21</v>
      </c>
      <c r="G243" s="3" t="n">
        <v>1</v>
      </c>
      <c r="H243" s="3" t="n">
        <v>711</v>
      </c>
      <c r="I243" s="3" t="s">
        <v>22</v>
      </c>
      <c r="J243" s="3" t="n">
        <v>0</v>
      </c>
      <c r="K243" s="3" t="n">
        <v>2.308</v>
      </c>
      <c r="L243" s="3" t="n">
        <v>12</v>
      </c>
      <c r="M243" s="3" t="s">
        <v>23</v>
      </c>
      <c r="N243" s="3" t="n">
        <v>5</v>
      </c>
      <c r="O243" s="3" t="n">
        <v>54.0312</v>
      </c>
      <c r="P243" s="3" t="n">
        <v>170.92</v>
      </c>
      <c r="Q243" s="3" t="s">
        <v>675</v>
      </c>
      <c r="R243" s="3"/>
      <c r="S243" s="3"/>
    </row>
    <row r="244" customFormat="false" ht="13.8" hidden="false" customHeight="false" outlineLevel="0" collapsed="false">
      <c r="A244" s="3" t="s">
        <v>706</v>
      </c>
      <c r="B244" s="3" t="n">
        <v>6.6</v>
      </c>
      <c r="C244" s="3" t="s">
        <v>707</v>
      </c>
      <c r="D244" s="3" t="n">
        <v>7</v>
      </c>
      <c r="E244" s="3" t="n">
        <v>7</v>
      </c>
      <c r="F244" s="3" t="s">
        <v>21</v>
      </c>
      <c r="G244" s="3" t="n">
        <v>0</v>
      </c>
      <c r="H244" s="3" t="n">
        <v>678</v>
      </c>
      <c r="I244" s="3" t="s">
        <v>22</v>
      </c>
      <c r="J244" s="3" t="n">
        <v>0</v>
      </c>
      <c r="K244" s="3" t="n">
        <v>2.353</v>
      </c>
      <c r="L244" s="3" t="n">
        <v>18</v>
      </c>
      <c r="M244" s="3" t="s">
        <v>23</v>
      </c>
      <c r="N244" s="3" t="n">
        <v>12</v>
      </c>
      <c r="O244" s="3" t="n">
        <v>-1.2923</v>
      </c>
      <c r="P244" s="3" t="n">
        <v>120.431</v>
      </c>
      <c r="Q244" s="3" t="s">
        <v>708</v>
      </c>
      <c r="R244" s="3"/>
      <c r="S244" s="3" t="s">
        <v>68</v>
      </c>
    </row>
    <row r="245" customFormat="false" ht="13.8" hidden="false" customHeight="false" outlineLevel="0" collapsed="false">
      <c r="A245" s="3" t="s">
        <v>709</v>
      </c>
      <c r="B245" s="3" t="n">
        <v>6.5</v>
      </c>
      <c r="C245" s="3" t="s">
        <v>710</v>
      </c>
      <c r="D245" s="3" t="n">
        <v>0</v>
      </c>
      <c r="E245" s="3" t="n">
        <v>4</v>
      </c>
      <c r="F245" s="3" t="s">
        <v>21</v>
      </c>
      <c r="G245" s="3" t="n">
        <v>1</v>
      </c>
      <c r="H245" s="3" t="n">
        <v>650</v>
      </c>
      <c r="I245" s="3" t="s">
        <v>22</v>
      </c>
      <c r="J245" s="3" t="n">
        <v>0</v>
      </c>
      <c r="K245" s="3" t="n">
        <v>6.489</v>
      </c>
      <c r="L245" s="3" t="n">
        <v>17</v>
      </c>
      <c r="M245" s="3" t="s">
        <v>23</v>
      </c>
      <c r="N245" s="3" t="n">
        <v>15</v>
      </c>
      <c r="O245" s="3" t="n">
        <v>-56.414</v>
      </c>
      <c r="P245" s="3" t="n">
        <v>-25.7432</v>
      </c>
      <c r="Q245" s="3" t="s">
        <v>275</v>
      </c>
      <c r="R245" s="3"/>
      <c r="S245" s="3"/>
    </row>
    <row r="246" customFormat="false" ht="13.8" hidden="false" customHeight="false" outlineLevel="0" collapsed="false">
      <c r="A246" s="3" t="s">
        <v>711</v>
      </c>
      <c r="B246" s="3" t="n">
        <v>6.8</v>
      </c>
      <c r="C246" s="3" t="s">
        <v>712</v>
      </c>
      <c r="D246" s="3" t="n">
        <v>6</v>
      </c>
      <c r="E246" s="3" t="n">
        <v>5</v>
      </c>
      <c r="F246" s="3" t="s">
        <v>21</v>
      </c>
      <c r="G246" s="3" t="n">
        <v>1</v>
      </c>
      <c r="H246" s="3" t="n">
        <v>713</v>
      </c>
      <c r="I246" s="3" t="s">
        <v>22</v>
      </c>
      <c r="J246" s="3" t="n">
        <v>0</v>
      </c>
      <c r="K246" s="3" t="n">
        <v>7.495</v>
      </c>
      <c r="L246" s="3" t="n">
        <v>19</v>
      </c>
      <c r="M246" s="3" t="s">
        <v>23</v>
      </c>
      <c r="N246" s="3" t="n">
        <v>169</v>
      </c>
      <c r="O246" s="3" t="n">
        <v>-14.5884</v>
      </c>
      <c r="P246" s="3" t="n">
        <v>167.377</v>
      </c>
      <c r="Q246" s="3" t="s">
        <v>104</v>
      </c>
      <c r="R246" s="3"/>
      <c r="S246" s="3" t="s">
        <v>25</v>
      </c>
    </row>
    <row r="247" customFormat="false" ht="13.8" hidden="false" customHeight="false" outlineLevel="0" collapsed="false">
      <c r="A247" s="3" t="s">
        <v>713</v>
      </c>
      <c r="B247" s="3" t="n">
        <v>6.9</v>
      </c>
      <c r="C247" s="3" t="s">
        <v>714</v>
      </c>
      <c r="D247" s="3" t="n">
        <v>9</v>
      </c>
      <c r="E247" s="3" t="n">
        <v>6</v>
      </c>
      <c r="F247" s="3" t="s">
        <v>21</v>
      </c>
      <c r="G247" s="3" t="n">
        <v>1</v>
      </c>
      <c r="H247" s="3" t="n">
        <v>814</v>
      </c>
      <c r="I247" s="3" t="s">
        <v>22</v>
      </c>
      <c r="J247" s="3" t="n">
        <v>0</v>
      </c>
      <c r="K247" s="3" t="n">
        <v>1.636</v>
      </c>
      <c r="L247" s="3" t="n">
        <v>14</v>
      </c>
      <c r="M247" s="3" t="s">
        <v>23</v>
      </c>
      <c r="N247" s="3" t="n">
        <v>26</v>
      </c>
      <c r="O247" s="3" t="n">
        <v>5.5043</v>
      </c>
      <c r="P247" s="3" t="n">
        <v>125.066</v>
      </c>
      <c r="Q247" s="3" t="s">
        <v>715</v>
      </c>
      <c r="R247" s="3"/>
      <c r="S247" s="3" t="s">
        <v>191</v>
      </c>
    </row>
    <row r="248" customFormat="false" ht="13.8" hidden="false" customHeight="false" outlineLevel="0" collapsed="false">
      <c r="A248" s="3" t="s">
        <v>716</v>
      </c>
      <c r="B248" s="3" t="n">
        <v>6.9</v>
      </c>
      <c r="C248" s="3" t="s">
        <v>717</v>
      </c>
      <c r="D248" s="3" t="n">
        <v>9</v>
      </c>
      <c r="E248" s="3" t="n">
        <v>7</v>
      </c>
      <c r="F248" s="3" t="s">
        <v>28</v>
      </c>
      <c r="G248" s="3" t="n">
        <v>1</v>
      </c>
      <c r="H248" s="3" t="n">
        <v>1642</v>
      </c>
      <c r="I248" s="3" t="s">
        <v>22</v>
      </c>
      <c r="J248" s="3" t="n">
        <v>0</v>
      </c>
      <c r="K248" s="3" t="n">
        <v>0.356</v>
      </c>
      <c r="L248" s="3" t="n">
        <v>39</v>
      </c>
      <c r="M248" s="3" t="s">
        <v>23</v>
      </c>
      <c r="N248" s="3" t="n">
        <v>28</v>
      </c>
      <c r="O248" s="3" t="n">
        <v>-33.0375</v>
      </c>
      <c r="P248" s="3" t="n">
        <v>-72.0617</v>
      </c>
      <c r="Q248" s="3" t="s">
        <v>718</v>
      </c>
      <c r="R248" s="3"/>
      <c r="S248" s="3"/>
    </row>
    <row r="249" customFormat="false" ht="13.8" hidden="false" customHeight="false" outlineLevel="0" collapsed="false">
      <c r="A249" s="3" t="s">
        <v>719</v>
      </c>
      <c r="B249" s="3" t="n">
        <v>6.5</v>
      </c>
      <c r="C249" s="3" t="s">
        <v>720</v>
      </c>
      <c r="D249" s="3" t="n">
        <v>7</v>
      </c>
      <c r="E249" s="3" t="n">
        <v>8</v>
      </c>
      <c r="F249" s="3" t="s">
        <v>21</v>
      </c>
      <c r="G249" s="3" t="n">
        <v>0</v>
      </c>
      <c r="H249" s="3" t="n">
        <v>1297</v>
      </c>
      <c r="I249" s="3" t="s">
        <v>22</v>
      </c>
      <c r="J249" s="3" t="n">
        <v>0</v>
      </c>
      <c r="K249" s="3" t="n">
        <v>2.36</v>
      </c>
      <c r="L249" s="3" t="n">
        <v>15</v>
      </c>
      <c r="M249" s="3" t="s">
        <v>23</v>
      </c>
      <c r="N249" s="3" t="n">
        <v>29</v>
      </c>
      <c r="O249" s="3" t="n">
        <v>-22.6784</v>
      </c>
      <c r="P249" s="3" t="n">
        <v>25.1558</v>
      </c>
      <c r="Q249" s="3" t="s">
        <v>721</v>
      </c>
      <c r="R249" s="3" t="s">
        <v>722</v>
      </c>
      <c r="S249" s="3" t="s">
        <v>723</v>
      </c>
    </row>
    <row r="250" customFormat="false" ht="13.8" hidden="false" customHeight="false" outlineLevel="0" collapsed="false">
      <c r="A250" s="3" t="s">
        <v>724</v>
      </c>
      <c r="B250" s="3" t="n">
        <v>6.6</v>
      </c>
      <c r="C250" s="3" t="s">
        <v>725</v>
      </c>
      <c r="D250" s="3" t="n">
        <v>6</v>
      </c>
      <c r="E250" s="3" t="n">
        <v>7</v>
      </c>
      <c r="F250" s="3" t="s">
        <v>28</v>
      </c>
      <c r="G250" s="3" t="n">
        <v>1</v>
      </c>
      <c r="H250" s="3" t="n">
        <v>671</v>
      </c>
      <c r="I250" s="3" t="s">
        <v>22</v>
      </c>
      <c r="J250" s="3" t="n">
        <v>0</v>
      </c>
      <c r="K250" s="3" t="n">
        <v>4.591</v>
      </c>
      <c r="L250" s="3" t="n">
        <v>14</v>
      </c>
      <c r="M250" s="3" t="s">
        <v>23</v>
      </c>
      <c r="N250" s="3" t="n">
        <v>17</v>
      </c>
      <c r="O250" s="3" t="n">
        <v>56.9401</v>
      </c>
      <c r="P250" s="3" t="n">
        <v>162.786</v>
      </c>
      <c r="Q250" s="3" t="s">
        <v>334</v>
      </c>
      <c r="R250" s="3" t="s">
        <v>80</v>
      </c>
      <c r="S250" s="3" t="s">
        <v>428</v>
      </c>
    </row>
    <row r="251" customFormat="false" ht="13.8" hidden="false" customHeight="false" outlineLevel="0" collapsed="false">
      <c r="A251" s="3" t="s">
        <v>726</v>
      </c>
      <c r="B251" s="3" t="n">
        <v>6.9</v>
      </c>
      <c r="C251" s="3" t="s">
        <v>727</v>
      </c>
      <c r="D251" s="3" t="n">
        <v>2</v>
      </c>
      <c r="E251" s="3" t="n">
        <v>3</v>
      </c>
      <c r="F251" s="3" t="s">
        <v>21</v>
      </c>
      <c r="G251" s="3" t="n">
        <v>1</v>
      </c>
      <c r="H251" s="3" t="n">
        <v>733</v>
      </c>
      <c r="I251" s="3" t="s">
        <v>22</v>
      </c>
      <c r="J251" s="3" t="n">
        <v>0</v>
      </c>
      <c r="K251" s="3" t="n">
        <v>6.012</v>
      </c>
      <c r="L251" s="3" t="n">
        <v>19</v>
      </c>
      <c r="M251" s="3" t="s">
        <v>23</v>
      </c>
      <c r="N251" s="3" t="n">
        <v>414.5</v>
      </c>
      <c r="O251" s="3" t="n">
        <v>-23.2593</v>
      </c>
      <c r="P251" s="3" t="n">
        <v>-178.804</v>
      </c>
      <c r="Q251" s="3" t="s">
        <v>50</v>
      </c>
      <c r="R251" s="3"/>
      <c r="S251" s="3"/>
    </row>
    <row r="252" customFormat="false" ht="13.8" hidden="false" customHeight="false" outlineLevel="0" collapsed="false">
      <c r="A252" s="3" t="s">
        <v>728</v>
      </c>
      <c r="B252" s="3" t="n">
        <v>6.5</v>
      </c>
      <c r="C252" s="3" t="s">
        <v>729</v>
      </c>
      <c r="D252" s="3" t="n">
        <v>3</v>
      </c>
      <c r="E252" s="3" t="n">
        <v>3</v>
      </c>
      <c r="F252" s="3" t="s">
        <v>21</v>
      </c>
      <c r="G252" s="3" t="n">
        <v>0</v>
      </c>
      <c r="H252" s="3" t="n">
        <v>653</v>
      </c>
      <c r="I252" s="3" t="s">
        <v>22</v>
      </c>
      <c r="J252" s="3" t="n">
        <v>0</v>
      </c>
      <c r="K252" s="3" t="n">
        <v>4.242</v>
      </c>
      <c r="L252" s="3" t="n">
        <v>14</v>
      </c>
      <c r="M252" s="3" t="s">
        <v>23</v>
      </c>
      <c r="N252" s="3" t="n">
        <v>595.98</v>
      </c>
      <c r="O252" s="3" t="n">
        <v>-19.2814</v>
      </c>
      <c r="P252" s="3" t="n">
        <v>-63.9047</v>
      </c>
      <c r="Q252" s="3" t="s">
        <v>730</v>
      </c>
      <c r="R252" s="3" t="s">
        <v>33</v>
      </c>
      <c r="S252" s="3" t="s">
        <v>618</v>
      </c>
    </row>
    <row r="253" customFormat="false" ht="13.8" hidden="false" customHeight="false" outlineLevel="0" collapsed="false">
      <c r="A253" s="3" t="s">
        <v>731</v>
      </c>
      <c r="B253" s="3" t="n">
        <v>6.5</v>
      </c>
      <c r="C253" s="3" t="s">
        <v>732</v>
      </c>
      <c r="D253" s="3" t="n">
        <v>8</v>
      </c>
      <c r="E253" s="3" t="n">
        <v>7</v>
      </c>
      <c r="F253" s="3" t="s">
        <v>28</v>
      </c>
      <c r="G253" s="3" t="n">
        <v>1</v>
      </c>
      <c r="H253" s="3" t="n">
        <v>718</v>
      </c>
      <c r="I253" s="3" t="s">
        <v>22</v>
      </c>
      <c r="J253" s="3" t="n">
        <v>0</v>
      </c>
      <c r="K253" s="3" t="n">
        <v>2.822</v>
      </c>
      <c r="L253" s="3" t="n">
        <v>36</v>
      </c>
      <c r="M253" s="3" t="s">
        <v>23</v>
      </c>
      <c r="N253" s="3" t="n">
        <v>15</v>
      </c>
      <c r="O253" s="3" t="n">
        <v>9.9071</v>
      </c>
      <c r="P253" s="3" t="n">
        <v>125.452</v>
      </c>
      <c r="Q253" s="3" t="s">
        <v>733</v>
      </c>
      <c r="R253" s="3"/>
      <c r="S253" s="3" t="s">
        <v>191</v>
      </c>
    </row>
    <row r="254" customFormat="false" ht="13.8" hidden="false" customHeight="false" outlineLevel="0" collapsed="false">
      <c r="A254" s="3" t="s">
        <v>734</v>
      </c>
      <c r="B254" s="3" t="n">
        <v>7.9</v>
      </c>
      <c r="C254" s="3" t="s">
        <v>735</v>
      </c>
      <c r="D254" s="3" t="n">
        <v>9</v>
      </c>
      <c r="E254" s="3" t="n">
        <v>7</v>
      </c>
      <c r="F254" s="3" t="s">
        <v>28</v>
      </c>
      <c r="G254" s="3" t="n">
        <v>1</v>
      </c>
      <c r="H254" s="3" t="n">
        <v>987</v>
      </c>
      <c r="I254" s="3" t="s">
        <v>22</v>
      </c>
      <c r="J254" s="3" t="n">
        <v>0</v>
      </c>
      <c r="K254" s="3" t="n">
        <v>3.625</v>
      </c>
      <c r="L254" s="3" t="n">
        <v>9</v>
      </c>
      <c r="M254" s="3" t="s">
        <v>23</v>
      </c>
      <c r="N254" s="3" t="n">
        <v>135</v>
      </c>
      <c r="O254" s="3" t="n">
        <v>-6.2464</v>
      </c>
      <c r="P254" s="3" t="n">
        <v>155.172</v>
      </c>
      <c r="Q254" s="3" t="s">
        <v>736</v>
      </c>
      <c r="R254" s="3"/>
      <c r="S254" s="3" t="s">
        <v>85</v>
      </c>
    </row>
    <row r="255" customFormat="false" ht="13.8" hidden="false" customHeight="false" outlineLevel="0" collapsed="false">
      <c r="A255" s="3" t="s">
        <v>737</v>
      </c>
      <c r="B255" s="3" t="n">
        <v>6.5</v>
      </c>
      <c r="C255" s="3" t="s">
        <v>738</v>
      </c>
      <c r="D255" s="3" t="n">
        <v>6</v>
      </c>
      <c r="E255" s="3" t="n">
        <v>6</v>
      </c>
      <c r="F255" s="3" t="s">
        <v>21</v>
      </c>
      <c r="G255" s="3" t="n">
        <v>1</v>
      </c>
      <c r="H255" s="3" t="n">
        <v>654</v>
      </c>
      <c r="I255" s="3" t="s">
        <v>22</v>
      </c>
      <c r="J255" s="3" t="n">
        <v>0</v>
      </c>
      <c r="K255" s="3" t="n">
        <v>1.64</v>
      </c>
      <c r="L255" s="3" t="n">
        <v>21</v>
      </c>
      <c r="M255" s="3" t="s">
        <v>23</v>
      </c>
      <c r="N255" s="3" t="n">
        <v>36</v>
      </c>
      <c r="O255" s="3" t="n">
        <v>-10.3506</v>
      </c>
      <c r="P255" s="3" t="n">
        <v>161.335</v>
      </c>
      <c r="Q255" s="3" t="s">
        <v>581</v>
      </c>
      <c r="R255" s="3"/>
      <c r="S255" s="3" t="s">
        <v>140</v>
      </c>
    </row>
    <row r="256" customFormat="false" ht="13.8" hidden="false" customHeight="false" outlineLevel="0" collapsed="false">
      <c r="A256" s="3" t="s">
        <v>739</v>
      </c>
      <c r="B256" s="3" t="n">
        <v>7.3</v>
      </c>
      <c r="C256" s="3" t="s">
        <v>740</v>
      </c>
      <c r="D256" s="3" t="n">
        <v>6</v>
      </c>
      <c r="E256" s="3" t="n">
        <v>3</v>
      </c>
      <c r="F256" s="3" t="s">
        <v>21</v>
      </c>
      <c r="G256" s="3" t="n">
        <v>1</v>
      </c>
      <c r="H256" s="3" t="n">
        <v>849</v>
      </c>
      <c r="I256" s="3" t="s">
        <v>22</v>
      </c>
      <c r="J256" s="3" t="n">
        <v>0</v>
      </c>
      <c r="K256" s="3" t="n">
        <v>3.813</v>
      </c>
      <c r="L256" s="3" t="n">
        <v>18</v>
      </c>
      <c r="M256" s="3" t="s">
        <v>23</v>
      </c>
      <c r="N256" s="3" t="n">
        <v>627.17</v>
      </c>
      <c r="O256" s="3" t="n">
        <v>4.4782</v>
      </c>
      <c r="P256" s="3" t="n">
        <v>122.617</v>
      </c>
      <c r="Q256" s="3" t="s">
        <v>741</v>
      </c>
      <c r="R256" s="3"/>
      <c r="S256" s="3"/>
    </row>
    <row r="257" customFormat="false" ht="13.8" hidden="false" customHeight="false" outlineLevel="0" collapsed="false">
      <c r="A257" s="3" t="s">
        <v>742</v>
      </c>
      <c r="B257" s="3" t="n">
        <v>6.9</v>
      </c>
      <c r="C257" s="3" t="s">
        <v>743</v>
      </c>
      <c r="D257" s="3" t="n">
        <v>6</v>
      </c>
      <c r="E257" s="3" t="n">
        <v>4</v>
      </c>
      <c r="F257" s="3" t="s">
        <v>21</v>
      </c>
      <c r="G257" s="3" t="n">
        <v>1</v>
      </c>
      <c r="H257" s="3" t="n">
        <v>742</v>
      </c>
      <c r="I257" s="3" t="s">
        <v>22</v>
      </c>
      <c r="J257" s="3" t="n">
        <v>0</v>
      </c>
      <c r="K257" s="3" t="n">
        <v>2.495</v>
      </c>
      <c r="L257" s="3" t="n">
        <v>13</v>
      </c>
      <c r="M257" s="3" t="s">
        <v>23</v>
      </c>
      <c r="N257" s="3" t="n">
        <v>12</v>
      </c>
      <c r="O257" s="3" t="n">
        <v>-19.3733</v>
      </c>
      <c r="P257" s="3" t="n">
        <v>176.052</v>
      </c>
      <c r="Q257" s="3" t="s">
        <v>744</v>
      </c>
      <c r="R257" s="3"/>
      <c r="S257" s="3"/>
    </row>
    <row r="258" customFormat="false" ht="13.8" hidden="false" customHeight="false" outlineLevel="0" collapsed="false">
      <c r="A258" s="3" t="s">
        <v>745</v>
      </c>
      <c r="B258" s="3" t="n">
        <v>7.6</v>
      </c>
      <c r="C258" s="3" t="s">
        <v>746</v>
      </c>
      <c r="D258" s="3" t="n">
        <v>9</v>
      </c>
      <c r="E258" s="3" t="n">
        <v>8</v>
      </c>
      <c r="F258" s="3" t="s">
        <v>28</v>
      </c>
      <c r="G258" s="3" t="n">
        <v>1</v>
      </c>
      <c r="H258" s="3" t="n">
        <v>1152</v>
      </c>
      <c r="I258" s="3" t="s">
        <v>22</v>
      </c>
      <c r="J258" s="3" t="n">
        <v>0</v>
      </c>
      <c r="K258" s="3" t="n">
        <v>0.355</v>
      </c>
      <c r="L258" s="3" t="n">
        <v>29</v>
      </c>
      <c r="M258" s="3" t="s">
        <v>23</v>
      </c>
      <c r="N258" s="3" t="n">
        <v>38</v>
      </c>
      <c r="O258" s="3" t="n">
        <v>-43.4064</v>
      </c>
      <c r="P258" s="3" t="n">
        <v>-73.9413</v>
      </c>
      <c r="Q258" s="3" t="s">
        <v>747</v>
      </c>
      <c r="R258" s="3" t="s">
        <v>33</v>
      </c>
      <c r="S258" s="3" t="s">
        <v>373</v>
      </c>
    </row>
    <row r="259" customFormat="false" ht="13.8" hidden="false" customHeight="false" outlineLevel="0" collapsed="false">
      <c r="A259" s="3" t="s">
        <v>748</v>
      </c>
      <c r="B259" s="3" t="n">
        <v>6.7</v>
      </c>
      <c r="C259" s="3" t="s">
        <v>749</v>
      </c>
      <c r="D259" s="3" t="n">
        <v>5</v>
      </c>
      <c r="E259" s="3" t="n">
        <v>5</v>
      </c>
      <c r="F259" s="3" t="s">
        <v>21</v>
      </c>
      <c r="G259" s="3" t="n">
        <v>0</v>
      </c>
      <c r="H259" s="3" t="n">
        <v>726</v>
      </c>
      <c r="I259" s="3" t="s">
        <v>22</v>
      </c>
      <c r="J259" s="3" t="n">
        <v>0</v>
      </c>
      <c r="K259" s="3" t="n">
        <v>3.38</v>
      </c>
      <c r="L259" s="3" t="n">
        <v>17</v>
      </c>
      <c r="M259" s="3" t="s">
        <v>23</v>
      </c>
      <c r="N259" s="3" t="n">
        <v>152</v>
      </c>
      <c r="O259" s="3" t="n">
        <v>-7.5082</v>
      </c>
      <c r="P259" s="3" t="n">
        <v>127.921</v>
      </c>
      <c r="Q259" s="3" t="s">
        <v>248</v>
      </c>
      <c r="R259" s="3"/>
      <c r="S259" s="3" t="s">
        <v>68</v>
      </c>
    </row>
    <row r="260" customFormat="false" ht="13.8" hidden="false" customHeight="false" outlineLevel="0" collapsed="false">
      <c r="A260" s="3" t="s">
        <v>750</v>
      </c>
      <c r="B260" s="3" t="n">
        <v>7.9</v>
      </c>
      <c r="C260" s="3" t="s">
        <v>751</v>
      </c>
      <c r="D260" s="3" t="n">
        <v>9</v>
      </c>
      <c r="E260" s="3" t="n">
        <v>7</v>
      </c>
      <c r="F260" s="3" t="s">
        <v>28</v>
      </c>
      <c r="G260" s="3" t="n">
        <v>1</v>
      </c>
      <c r="H260" s="3" t="n">
        <v>972</v>
      </c>
      <c r="I260" s="3" t="s">
        <v>22</v>
      </c>
      <c r="J260" s="3" t="n">
        <v>0</v>
      </c>
      <c r="K260" s="3" t="n">
        <v>1.389</v>
      </c>
      <c r="L260" s="3" t="n">
        <v>13</v>
      </c>
      <c r="M260" s="3" t="s">
        <v>23</v>
      </c>
      <c r="N260" s="3" t="n">
        <v>94.54</v>
      </c>
      <c r="O260" s="3" t="n">
        <v>-4.5049</v>
      </c>
      <c r="P260" s="3" t="n">
        <v>153.522</v>
      </c>
      <c r="Q260" s="3" t="s">
        <v>625</v>
      </c>
      <c r="R260" s="3"/>
      <c r="S260" s="3" t="s">
        <v>85</v>
      </c>
    </row>
    <row r="261" customFormat="false" ht="13.8" hidden="false" customHeight="false" outlineLevel="0" collapsed="false">
      <c r="A261" s="3" t="s">
        <v>752</v>
      </c>
      <c r="B261" s="3" t="n">
        <v>6.9</v>
      </c>
      <c r="C261" s="3" t="s">
        <v>753</v>
      </c>
      <c r="D261" s="3" t="n">
        <v>8</v>
      </c>
      <c r="E261" s="3" t="n">
        <v>6</v>
      </c>
      <c r="F261" s="3" t="s">
        <v>21</v>
      </c>
      <c r="G261" s="3" t="n">
        <v>1</v>
      </c>
      <c r="H261" s="3" t="n">
        <v>737</v>
      </c>
      <c r="I261" s="3" t="s">
        <v>22</v>
      </c>
      <c r="J261" s="3" t="n">
        <v>0</v>
      </c>
      <c r="K261" s="3" t="n">
        <v>1.747</v>
      </c>
      <c r="L261" s="3" t="n">
        <v>26</v>
      </c>
      <c r="M261" s="3" t="s">
        <v>23</v>
      </c>
      <c r="N261" s="3" t="n">
        <v>19.73</v>
      </c>
      <c r="O261" s="3" t="n">
        <v>-10.749</v>
      </c>
      <c r="P261" s="3" t="n">
        <v>161.132</v>
      </c>
      <c r="Q261" s="3" t="s">
        <v>581</v>
      </c>
      <c r="R261" s="3"/>
      <c r="S261" s="3"/>
    </row>
    <row r="262" customFormat="false" ht="13.8" hidden="false" customHeight="false" outlineLevel="0" collapsed="false">
      <c r="A262" s="3" t="s">
        <v>754</v>
      </c>
      <c r="B262" s="3" t="n">
        <v>6.5</v>
      </c>
      <c r="C262" s="3" t="s">
        <v>755</v>
      </c>
      <c r="D262" s="3" t="n">
        <v>0</v>
      </c>
      <c r="E262" s="3" t="n">
        <v>5</v>
      </c>
      <c r="F262" s="3" t="s">
        <v>21</v>
      </c>
      <c r="G262" s="3" t="n">
        <v>0</v>
      </c>
      <c r="H262" s="3" t="n">
        <v>650</v>
      </c>
      <c r="I262" s="3" t="s">
        <v>22</v>
      </c>
      <c r="J262" s="3" t="n">
        <v>0</v>
      </c>
      <c r="K262" s="3" t="n">
        <v>1.937</v>
      </c>
      <c r="L262" s="3" t="n">
        <v>18</v>
      </c>
      <c r="M262" s="3" t="s">
        <v>23</v>
      </c>
      <c r="N262" s="3" t="n">
        <v>12.26</v>
      </c>
      <c r="O262" s="3" t="n">
        <v>-10.8416</v>
      </c>
      <c r="P262" s="3" t="n">
        <v>161.314</v>
      </c>
      <c r="Q262" s="3" t="s">
        <v>581</v>
      </c>
      <c r="R262" s="3"/>
      <c r="S262" s="3"/>
    </row>
    <row r="263" customFormat="false" ht="13.8" hidden="false" customHeight="false" outlineLevel="0" collapsed="false">
      <c r="A263" s="3" t="s">
        <v>756</v>
      </c>
      <c r="B263" s="3" t="n">
        <v>7.8</v>
      </c>
      <c r="C263" s="3" t="s">
        <v>757</v>
      </c>
      <c r="D263" s="3" t="n">
        <v>9</v>
      </c>
      <c r="E263" s="3" t="n">
        <v>8</v>
      </c>
      <c r="F263" s="3" t="s">
        <v>21</v>
      </c>
      <c r="G263" s="3" t="n">
        <v>1</v>
      </c>
      <c r="H263" s="3" t="n">
        <v>961</v>
      </c>
      <c r="I263" s="3" t="s">
        <v>22</v>
      </c>
      <c r="J263" s="3" t="n">
        <v>0</v>
      </c>
      <c r="K263" s="3" t="n">
        <v>1.836</v>
      </c>
      <c r="L263" s="3" t="n">
        <v>13</v>
      </c>
      <c r="M263" s="3" t="s">
        <v>23</v>
      </c>
      <c r="N263" s="3" t="n">
        <v>40</v>
      </c>
      <c r="O263" s="3" t="n">
        <v>-10.6812</v>
      </c>
      <c r="P263" s="3" t="n">
        <v>161.327</v>
      </c>
      <c r="Q263" s="3" t="s">
        <v>581</v>
      </c>
      <c r="R263" s="3"/>
      <c r="S263" s="3" t="s">
        <v>140</v>
      </c>
    </row>
    <row r="264" customFormat="false" ht="13.8" hidden="false" customHeight="false" outlineLevel="0" collapsed="false">
      <c r="A264" s="3" t="s">
        <v>758</v>
      </c>
      <c r="B264" s="3" t="n">
        <v>6.6</v>
      </c>
      <c r="C264" s="3" t="s">
        <v>759</v>
      </c>
      <c r="D264" s="3" t="n">
        <v>5</v>
      </c>
      <c r="E264" s="3" t="n">
        <v>4</v>
      </c>
      <c r="F264" s="3" t="s">
        <v>21</v>
      </c>
      <c r="G264" s="3" t="n">
        <v>1</v>
      </c>
      <c r="H264" s="3" t="n">
        <v>1120</v>
      </c>
      <c r="I264" s="3" t="s">
        <v>22</v>
      </c>
      <c r="J264" s="3" t="n">
        <v>0</v>
      </c>
      <c r="K264" s="3" t="n">
        <v>1.405</v>
      </c>
      <c r="L264" s="3" t="n">
        <v>55</v>
      </c>
      <c r="M264" s="3" t="s">
        <v>23</v>
      </c>
      <c r="N264" s="3" t="n">
        <v>8.45</v>
      </c>
      <c r="O264" s="3" t="n">
        <v>40.4535</v>
      </c>
      <c r="P264" s="3" t="n">
        <v>-126.194</v>
      </c>
      <c r="Q264" s="3" t="s">
        <v>760</v>
      </c>
      <c r="R264" s="3"/>
      <c r="S264" s="3"/>
    </row>
    <row r="265" customFormat="false" ht="13.8" hidden="false" customHeight="false" outlineLevel="0" collapsed="false">
      <c r="A265" s="3" t="s">
        <v>761</v>
      </c>
      <c r="B265" s="3" t="n">
        <v>6.5</v>
      </c>
      <c r="C265" s="3" t="s">
        <v>762</v>
      </c>
      <c r="D265" s="3" t="n">
        <v>9</v>
      </c>
      <c r="E265" s="3" t="n">
        <v>8</v>
      </c>
      <c r="F265" s="3" t="s">
        <v>28</v>
      </c>
      <c r="G265" s="3" t="n">
        <v>0</v>
      </c>
      <c r="H265" s="3" t="n">
        <v>731</v>
      </c>
      <c r="I265" s="3" t="s">
        <v>22</v>
      </c>
      <c r="J265" s="3" t="n">
        <v>0</v>
      </c>
      <c r="K265" s="3" t="n">
        <v>0.778</v>
      </c>
      <c r="L265" s="3" t="n">
        <v>27</v>
      </c>
      <c r="M265" s="3" t="s">
        <v>23</v>
      </c>
      <c r="N265" s="3" t="n">
        <v>13</v>
      </c>
      <c r="O265" s="3" t="n">
        <v>5.2834</v>
      </c>
      <c r="P265" s="3" t="n">
        <v>96.1678</v>
      </c>
      <c r="Q265" s="3" t="s">
        <v>763</v>
      </c>
      <c r="R265" s="3"/>
      <c r="S265" s="3" t="s">
        <v>68</v>
      </c>
    </row>
    <row r="266" customFormat="false" ht="13.8" hidden="false" customHeight="false" outlineLevel="0" collapsed="false">
      <c r="A266" s="3" t="s">
        <v>764</v>
      </c>
      <c r="B266" s="3" t="n">
        <v>6.6</v>
      </c>
      <c r="C266" s="3" t="s">
        <v>765</v>
      </c>
      <c r="D266" s="3" t="n">
        <v>8</v>
      </c>
      <c r="E266" s="3" t="n">
        <v>7</v>
      </c>
      <c r="F266" s="3" t="s">
        <v>21</v>
      </c>
      <c r="G266" s="3" t="n">
        <v>0</v>
      </c>
      <c r="H266" s="3" t="n">
        <v>693</v>
      </c>
      <c r="I266" s="3" t="s">
        <v>22</v>
      </c>
      <c r="J266" s="3" t="n">
        <v>0</v>
      </c>
      <c r="K266" s="3" t="n">
        <v>1.697</v>
      </c>
      <c r="L266" s="3" t="n">
        <v>20</v>
      </c>
      <c r="M266" s="3" t="s">
        <v>23</v>
      </c>
      <c r="N266" s="3" t="n">
        <v>17</v>
      </c>
      <c r="O266" s="3" t="n">
        <v>39.2732</v>
      </c>
      <c r="P266" s="3" t="n">
        <v>73.9776</v>
      </c>
      <c r="Q266" s="3" t="s">
        <v>110</v>
      </c>
      <c r="R266" s="3" t="s">
        <v>80</v>
      </c>
      <c r="S266" s="3" t="s">
        <v>184</v>
      </c>
    </row>
    <row r="267" customFormat="false" ht="13.8" hidden="false" customHeight="false" outlineLevel="0" collapsed="false">
      <c r="A267" s="3" t="s">
        <v>766</v>
      </c>
      <c r="B267" s="3" t="n">
        <v>6.9</v>
      </c>
      <c r="C267" s="3" t="s">
        <v>767</v>
      </c>
      <c r="D267" s="3" t="n">
        <v>5</v>
      </c>
      <c r="E267" s="3" t="n">
        <v>4</v>
      </c>
      <c r="F267" s="3" t="s">
        <v>21</v>
      </c>
      <c r="G267" s="3" t="n">
        <v>1</v>
      </c>
      <c r="H267" s="3" t="n">
        <v>855</v>
      </c>
      <c r="I267" s="3" t="s">
        <v>22</v>
      </c>
      <c r="J267" s="3" t="n">
        <v>0</v>
      </c>
      <c r="K267" s="3" t="n">
        <v>1.796</v>
      </c>
      <c r="L267" s="3" t="n">
        <v>20</v>
      </c>
      <c r="M267" s="3" t="s">
        <v>23</v>
      </c>
      <c r="N267" s="3" t="n">
        <v>10</v>
      </c>
      <c r="O267" s="3" t="n">
        <v>11.9097</v>
      </c>
      <c r="P267" s="3" t="n">
        <v>-88.8968</v>
      </c>
      <c r="Q267" s="3" t="s">
        <v>768</v>
      </c>
      <c r="R267" s="3"/>
      <c r="S267" s="3"/>
    </row>
    <row r="268" customFormat="false" ht="13.8" hidden="false" customHeight="false" outlineLevel="0" collapsed="false">
      <c r="A268" s="3" t="s">
        <v>769</v>
      </c>
      <c r="B268" s="3" t="n">
        <v>6.9</v>
      </c>
      <c r="C268" s="3" t="s">
        <v>770</v>
      </c>
      <c r="D268" s="3" t="n">
        <v>9</v>
      </c>
      <c r="E268" s="3" t="n">
        <v>6</v>
      </c>
      <c r="F268" s="3" t="s">
        <v>21</v>
      </c>
      <c r="G268" s="3" t="n">
        <v>1</v>
      </c>
      <c r="H268" s="3" t="n">
        <v>1144</v>
      </c>
      <c r="I268" s="3" t="s">
        <v>22</v>
      </c>
      <c r="J268" s="3" t="n">
        <v>0</v>
      </c>
      <c r="K268" s="3" t="n">
        <v>0.671</v>
      </c>
      <c r="L268" s="3" t="n">
        <v>10</v>
      </c>
      <c r="M268" s="3" t="s">
        <v>23</v>
      </c>
      <c r="N268" s="3" t="n">
        <v>9</v>
      </c>
      <c r="O268" s="3" t="n">
        <v>37.3931</v>
      </c>
      <c r="P268" s="3" t="n">
        <v>141.387</v>
      </c>
      <c r="Q268" s="3" t="s">
        <v>217</v>
      </c>
      <c r="R268" s="3" t="s">
        <v>80</v>
      </c>
      <c r="S268" s="3"/>
    </row>
    <row r="269" customFormat="false" ht="13.8" hidden="false" customHeight="false" outlineLevel="0" collapsed="false">
      <c r="A269" s="3" t="s">
        <v>771</v>
      </c>
      <c r="B269" s="3" t="n">
        <v>6.5</v>
      </c>
      <c r="C269" s="3" t="s">
        <v>772</v>
      </c>
      <c r="D269" s="3" t="n">
        <v>7</v>
      </c>
      <c r="E269" s="3" t="n">
        <v>7</v>
      </c>
      <c r="F269" s="3" t="s">
        <v>28</v>
      </c>
      <c r="G269" s="3" t="n">
        <v>1</v>
      </c>
      <c r="H269" s="3" t="n">
        <v>664</v>
      </c>
      <c r="I269" s="3" t="s">
        <v>22</v>
      </c>
      <c r="J269" s="3" t="n">
        <v>0</v>
      </c>
      <c r="K269" s="3" t="n">
        <v>0.283</v>
      </c>
      <c r="L269" s="3" t="n">
        <v>56</v>
      </c>
      <c r="M269" s="3" t="s">
        <v>23</v>
      </c>
      <c r="N269" s="3" t="n">
        <v>9</v>
      </c>
      <c r="O269" s="3" t="n">
        <v>-42.6058</v>
      </c>
      <c r="P269" s="3" t="n">
        <v>173.254</v>
      </c>
      <c r="Q269" s="3" t="s">
        <v>773</v>
      </c>
      <c r="R269" s="3"/>
      <c r="S269" s="3" t="s">
        <v>774</v>
      </c>
    </row>
    <row r="270" customFormat="false" ht="13.8" hidden="false" customHeight="false" outlineLevel="0" collapsed="false">
      <c r="A270" s="3" t="s">
        <v>775</v>
      </c>
      <c r="B270" s="3" t="n">
        <v>6.5</v>
      </c>
      <c r="C270" s="3" t="s">
        <v>776</v>
      </c>
      <c r="D270" s="3" t="n">
        <v>6</v>
      </c>
      <c r="E270" s="3" t="n">
        <v>7</v>
      </c>
      <c r="F270" s="3" t="s">
        <v>28</v>
      </c>
      <c r="G270" s="3" t="n">
        <v>1</v>
      </c>
      <c r="H270" s="3" t="n">
        <v>656</v>
      </c>
      <c r="I270" s="3" t="s">
        <v>22</v>
      </c>
      <c r="J270" s="3" t="n">
        <v>0</v>
      </c>
      <c r="K270" s="3" t="n">
        <v>0.135</v>
      </c>
      <c r="L270" s="3" t="n">
        <v>58</v>
      </c>
      <c r="M270" s="3" t="s">
        <v>23</v>
      </c>
      <c r="N270" s="3" t="n">
        <v>10</v>
      </c>
      <c r="O270" s="3" t="n">
        <v>-42.3205</v>
      </c>
      <c r="P270" s="3" t="n">
        <v>173.669</v>
      </c>
      <c r="Q270" s="3" t="s">
        <v>777</v>
      </c>
      <c r="R270" s="3"/>
      <c r="S270" s="3" t="s">
        <v>774</v>
      </c>
    </row>
    <row r="271" customFormat="false" ht="13.8" hidden="false" customHeight="false" outlineLevel="0" collapsed="false">
      <c r="A271" s="3" t="s">
        <v>778</v>
      </c>
      <c r="B271" s="3" t="n">
        <v>7.8</v>
      </c>
      <c r="C271" s="3" t="s">
        <v>779</v>
      </c>
      <c r="D271" s="3" t="n">
        <v>9</v>
      </c>
      <c r="E271" s="3" t="n">
        <v>9</v>
      </c>
      <c r="F271" s="3" t="s">
        <v>95</v>
      </c>
      <c r="G271" s="3" t="n">
        <v>1</v>
      </c>
      <c r="H271" s="3" t="n">
        <v>1545</v>
      </c>
      <c r="I271" s="3" t="s">
        <v>22</v>
      </c>
      <c r="J271" s="3" t="n">
        <v>0</v>
      </c>
      <c r="K271" s="3" t="n">
        <v>0.481</v>
      </c>
      <c r="L271" s="3" t="n">
        <v>21</v>
      </c>
      <c r="M271" s="3" t="s">
        <v>23</v>
      </c>
      <c r="N271" s="3" t="n">
        <v>15.11</v>
      </c>
      <c r="O271" s="3" t="n">
        <v>-42.7373</v>
      </c>
      <c r="P271" s="3" t="n">
        <v>173.054</v>
      </c>
      <c r="Q271" s="3" t="s">
        <v>773</v>
      </c>
      <c r="R271" s="3"/>
      <c r="S271" s="3" t="s">
        <v>774</v>
      </c>
    </row>
    <row r="272" customFormat="false" ht="13.8" hidden="false" customHeight="false" outlineLevel="0" collapsed="false">
      <c r="A272" s="3" t="s">
        <v>780</v>
      </c>
      <c r="B272" s="3" t="n">
        <v>6.6</v>
      </c>
      <c r="C272" s="3" t="s">
        <v>781</v>
      </c>
      <c r="D272" s="3" t="n">
        <v>9</v>
      </c>
      <c r="E272" s="3" t="n">
        <v>8</v>
      </c>
      <c r="F272" s="3" t="s">
        <v>121</v>
      </c>
      <c r="G272" s="3" t="n">
        <v>0</v>
      </c>
      <c r="H272" s="3" t="n">
        <v>2840</v>
      </c>
      <c r="I272" s="3" t="s">
        <v>22</v>
      </c>
      <c r="J272" s="3" t="n">
        <v>0</v>
      </c>
      <c r="K272" s="3" t="n">
        <v>0.174</v>
      </c>
      <c r="L272" s="3" t="n">
        <v>25</v>
      </c>
      <c r="M272" s="3" t="s">
        <v>23</v>
      </c>
      <c r="N272" s="3" t="n">
        <v>8</v>
      </c>
      <c r="O272" s="3" t="n">
        <v>42.8621</v>
      </c>
      <c r="P272" s="3" t="n">
        <v>13.0961</v>
      </c>
      <c r="Q272" s="3" t="s">
        <v>782</v>
      </c>
      <c r="R272" s="3" t="s">
        <v>361</v>
      </c>
      <c r="S272" s="3" t="s">
        <v>783</v>
      </c>
    </row>
    <row r="273" customFormat="false" ht="13.8" hidden="false" customHeight="false" outlineLevel="0" collapsed="false">
      <c r="A273" s="3" t="s">
        <v>784</v>
      </c>
      <c r="B273" s="3" t="n">
        <v>6.6</v>
      </c>
      <c r="C273" s="3" t="s">
        <v>785</v>
      </c>
      <c r="D273" s="3" t="n">
        <v>3</v>
      </c>
      <c r="E273" s="3" t="n">
        <v>3</v>
      </c>
      <c r="F273" s="3" t="s">
        <v>21</v>
      </c>
      <c r="G273" s="3" t="n">
        <v>0</v>
      </c>
      <c r="H273" s="3" t="n">
        <v>677</v>
      </c>
      <c r="I273" s="3" t="s">
        <v>22</v>
      </c>
      <c r="J273" s="3" t="n">
        <v>0</v>
      </c>
      <c r="K273" s="3" t="n">
        <v>2.022</v>
      </c>
      <c r="L273" s="3" t="n">
        <v>16</v>
      </c>
      <c r="M273" s="3" t="s">
        <v>23</v>
      </c>
      <c r="N273" s="3" t="n">
        <v>614</v>
      </c>
      <c r="O273" s="3" t="n">
        <v>-4.8626</v>
      </c>
      <c r="P273" s="3" t="n">
        <v>108.163</v>
      </c>
      <c r="Q273" s="3" t="s">
        <v>786</v>
      </c>
      <c r="R273" s="3"/>
      <c r="S273" s="3" t="s">
        <v>68</v>
      </c>
    </row>
    <row r="274" customFormat="false" ht="13.8" hidden="false" customHeight="false" outlineLevel="0" collapsed="false">
      <c r="A274" s="3" t="s">
        <v>787</v>
      </c>
      <c r="B274" s="3" t="n">
        <v>6.8</v>
      </c>
      <c r="C274" s="3" t="s">
        <v>788</v>
      </c>
      <c r="D274" s="3" t="n">
        <v>3</v>
      </c>
      <c r="E274" s="3" t="n">
        <v>6</v>
      </c>
      <c r="F274" s="3" t="s">
        <v>21</v>
      </c>
      <c r="G274" s="3" t="n">
        <v>1</v>
      </c>
      <c r="H274" s="3" t="n">
        <v>716</v>
      </c>
      <c r="I274" s="3" t="s">
        <v>22</v>
      </c>
      <c r="J274" s="3" t="n">
        <v>0</v>
      </c>
      <c r="K274" s="3" t="n">
        <v>3.727</v>
      </c>
      <c r="L274" s="3" t="n">
        <v>11</v>
      </c>
      <c r="M274" s="3" t="s">
        <v>23</v>
      </c>
      <c r="N274" s="3" t="n">
        <v>42</v>
      </c>
      <c r="O274" s="3" t="n">
        <v>-6.0033</v>
      </c>
      <c r="P274" s="3" t="n">
        <v>148.887</v>
      </c>
      <c r="Q274" s="3" t="s">
        <v>789</v>
      </c>
      <c r="R274" s="3"/>
      <c r="S274" s="3" t="s">
        <v>85</v>
      </c>
    </row>
    <row r="275" customFormat="false" ht="13.8" hidden="false" customHeight="false" outlineLevel="0" collapsed="false">
      <c r="A275" s="3" t="s">
        <v>790</v>
      </c>
      <c r="B275" s="3" t="n">
        <v>6.9</v>
      </c>
      <c r="C275" s="3" t="s">
        <v>791</v>
      </c>
      <c r="D275" s="3" t="n">
        <v>2</v>
      </c>
      <c r="E275" s="3" t="n">
        <v>3</v>
      </c>
      <c r="F275" s="3" t="s">
        <v>21</v>
      </c>
      <c r="G275" s="3" t="n">
        <v>1</v>
      </c>
      <c r="H275" s="3" t="n">
        <v>733</v>
      </c>
      <c r="I275" s="3" t="s">
        <v>22</v>
      </c>
      <c r="J275" s="3" t="n">
        <v>0</v>
      </c>
      <c r="K275" s="3" t="n">
        <v>4.051</v>
      </c>
      <c r="L275" s="3" t="n">
        <v>9</v>
      </c>
      <c r="M275" s="3" t="s">
        <v>23</v>
      </c>
      <c r="N275" s="3" t="n">
        <v>596.4</v>
      </c>
      <c r="O275" s="3" t="n">
        <v>-19.7819</v>
      </c>
      <c r="P275" s="3" t="n">
        <v>-178.244</v>
      </c>
      <c r="Q275" s="3" t="s">
        <v>792</v>
      </c>
      <c r="R275" s="3"/>
      <c r="S275" s="3" t="s">
        <v>146</v>
      </c>
    </row>
    <row r="276" customFormat="false" ht="13.8" hidden="false" customHeight="false" outlineLevel="0" collapsed="false">
      <c r="A276" s="3" t="s">
        <v>793</v>
      </c>
      <c r="B276" s="3" t="n">
        <v>7</v>
      </c>
      <c r="C276" s="3" t="s">
        <v>794</v>
      </c>
      <c r="D276" s="3" t="n">
        <v>5</v>
      </c>
      <c r="E276" s="3" t="n">
        <v>6</v>
      </c>
      <c r="F276" s="3" t="s">
        <v>21</v>
      </c>
      <c r="G276" s="3" t="n">
        <v>1</v>
      </c>
      <c r="H276" s="3" t="n">
        <v>897</v>
      </c>
      <c r="I276" s="3" t="s">
        <v>22</v>
      </c>
      <c r="J276" s="3" t="n">
        <v>0</v>
      </c>
      <c r="K276" s="3" t="n">
        <v>0.698</v>
      </c>
      <c r="L276" s="3" t="n">
        <v>21</v>
      </c>
      <c r="M276" s="3" t="s">
        <v>23</v>
      </c>
      <c r="N276" s="3" t="n">
        <v>19</v>
      </c>
      <c r="O276" s="3" t="n">
        <v>-37.3586</v>
      </c>
      <c r="P276" s="3" t="n">
        <v>179.146</v>
      </c>
      <c r="Q276" s="3" t="s">
        <v>342</v>
      </c>
      <c r="R276" s="3"/>
      <c r="S276" s="3"/>
    </row>
    <row r="277" customFormat="false" ht="13.8" hidden="false" customHeight="false" outlineLevel="0" collapsed="false">
      <c r="A277" s="3" t="s">
        <v>795</v>
      </c>
      <c r="B277" s="3" t="n">
        <v>6.8</v>
      </c>
      <c r="C277" s="3" t="s">
        <v>796</v>
      </c>
      <c r="D277" s="3" t="n">
        <v>4</v>
      </c>
      <c r="E277" s="3" t="n">
        <v>3</v>
      </c>
      <c r="F277" s="3" t="s">
        <v>21</v>
      </c>
      <c r="G277" s="3" t="n">
        <v>1</v>
      </c>
      <c r="H277" s="3" t="n">
        <v>713</v>
      </c>
      <c r="I277" s="3" t="s">
        <v>22</v>
      </c>
      <c r="J277" s="3" t="n">
        <v>0</v>
      </c>
      <c r="K277" s="3" t="n">
        <v>0.803</v>
      </c>
      <c r="L277" s="3" t="n">
        <v>12</v>
      </c>
      <c r="M277" s="3" t="s">
        <v>23</v>
      </c>
      <c r="N277" s="3" t="n">
        <v>476</v>
      </c>
      <c r="O277" s="3" t="n">
        <v>-3.6849</v>
      </c>
      <c r="P277" s="3" t="n">
        <v>152.792</v>
      </c>
      <c r="Q277" s="3" t="s">
        <v>797</v>
      </c>
      <c r="R277" s="3"/>
      <c r="S277" s="3" t="s">
        <v>85</v>
      </c>
    </row>
    <row r="278" customFormat="false" ht="13.8" hidden="false" customHeight="false" outlineLevel="0" collapsed="false">
      <c r="A278" s="3" t="s">
        <v>798</v>
      </c>
      <c r="B278" s="3" t="n">
        <v>6.8</v>
      </c>
      <c r="C278" s="3" t="s">
        <v>799</v>
      </c>
      <c r="D278" s="3" t="n">
        <v>6</v>
      </c>
      <c r="E278" s="3" t="n">
        <v>6</v>
      </c>
      <c r="F278" s="3" t="s">
        <v>28</v>
      </c>
      <c r="G278" s="3" t="n">
        <v>0</v>
      </c>
      <c r="H278" s="3" t="n">
        <v>981</v>
      </c>
      <c r="I278" s="3" t="s">
        <v>22</v>
      </c>
      <c r="J278" s="3" t="n">
        <v>0</v>
      </c>
      <c r="K278" s="3" t="n">
        <v>1.802</v>
      </c>
      <c r="L278" s="3" t="n">
        <v>17</v>
      </c>
      <c r="M278" s="3" t="s">
        <v>23</v>
      </c>
      <c r="N278" s="3" t="n">
        <v>82</v>
      </c>
      <c r="O278" s="3" t="n">
        <v>20.9228</v>
      </c>
      <c r="P278" s="3" t="n">
        <v>94.569</v>
      </c>
      <c r="Q278" s="3" t="s">
        <v>800</v>
      </c>
      <c r="R278" s="3" t="s">
        <v>80</v>
      </c>
      <c r="S278" s="3" t="s">
        <v>801</v>
      </c>
    </row>
    <row r="279" customFormat="false" ht="13.8" hidden="false" customHeight="false" outlineLevel="0" collapsed="false">
      <c r="A279" s="3" t="s">
        <v>802</v>
      </c>
      <c r="B279" s="3" t="n">
        <v>7.2</v>
      </c>
      <c r="C279" s="3" t="s">
        <v>803</v>
      </c>
      <c r="D279" s="3" t="n">
        <v>6</v>
      </c>
      <c r="E279" s="3" t="n">
        <v>5</v>
      </c>
      <c r="F279" s="3" t="s">
        <v>21</v>
      </c>
      <c r="G279" s="3" t="n">
        <v>1</v>
      </c>
      <c r="H279" s="3" t="n">
        <v>799</v>
      </c>
      <c r="I279" s="3" t="s">
        <v>22</v>
      </c>
      <c r="J279" s="3" t="n">
        <v>0</v>
      </c>
      <c r="K279" s="3" t="n">
        <v>4.823</v>
      </c>
      <c r="L279" s="3" t="n">
        <v>14</v>
      </c>
      <c r="M279" s="3" t="s">
        <v>23</v>
      </c>
      <c r="N279" s="3" t="n">
        <v>16.37</v>
      </c>
      <c r="O279" s="3" t="n">
        <v>-22.4765</v>
      </c>
      <c r="P279" s="3" t="n">
        <v>173.117</v>
      </c>
      <c r="Q279" s="3" t="s">
        <v>57</v>
      </c>
      <c r="R279" s="3"/>
      <c r="S279" s="3"/>
    </row>
    <row r="280" customFormat="false" ht="13.8" hidden="false" customHeight="false" outlineLevel="0" collapsed="false">
      <c r="A280" s="3" t="s">
        <v>804</v>
      </c>
      <c r="B280" s="3" t="n">
        <v>7.7</v>
      </c>
      <c r="C280" s="3" t="s">
        <v>805</v>
      </c>
      <c r="D280" s="3" t="n">
        <v>5</v>
      </c>
      <c r="E280" s="3" t="n">
        <v>6</v>
      </c>
      <c r="F280" s="3" t="s">
        <v>21</v>
      </c>
      <c r="G280" s="3" t="n">
        <v>1</v>
      </c>
      <c r="H280" s="3" t="n">
        <v>971</v>
      </c>
      <c r="I280" s="3" t="s">
        <v>22</v>
      </c>
      <c r="J280" s="3" t="n">
        <v>0</v>
      </c>
      <c r="K280" s="3" t="n">
        <v>3.294</v>
      </c>
      <c r="L280" s="3" t="n">
        <v>14</v>
      </c>
      <c r="M280" s="3" t="s">
        <v>23</v>
      </c>
      <c r="N280" s="3" t="n">
        <v>196</v>
      </c>
      <c r="O280" s="3" t="n">
        <v>18.5429</v>
      </c>
      <c r="P280" s="3" t="n">
        <v>145.507</v>
      </c>
      <c r="Q280" s="3" t="s">
        <v>806</v>
      </c>
      <c r="R280" s="3"/>
      <c r="S280" s="3"/>
    </row>
    <row r="281" customFormat="false" ht="13.8" hidden="false" customHeight="false" outlineLevel="0" collapsed="false">
      <c r="A281" s="3" t="s">
        <v>807</v>
      </c>
      <c r="B281" s="3" t="n">
        <v>6.6</v>
      </c>
      <c r="C281" s="3" t="s">
        <v>808</v>
      </c>
      <c r="D281" s="3" t="n">
        <v>4</v>
      </c>
      <c r="E281" s="3" t="n">
        <v>6</v>
      </c>
      <c r="F281" s="3" t="s">
        <v>21</v>
      </c>
      <c r="G281" s="3" t="n">
        <v>0</v>
      </c>
      <c r="H281" s="3" t="n">
        <v>671</v>
      </c>
      <c r="I281" s="3" t="s">
        <v>22</v>
      </c>
      <c r="J281" s="3" t="n">
        <v>0</v>
      </c>
      <c r="K281" s="3" t="n">
        <v>2.435</v>
      </c>
      <c r="L281" s="3" t="n">
        <v>16</v>
      </c>
      <c r="M281" s="3" t="s">
        <v>23</v>
      </c>
      <c r="N281" s="3" t="n">
        <v>50</v>
      </c>
      <c r="O281" s="3" t="n">
        <v>-2.0967</v>
      </c>
      <c r="P281" s="3" t="n">
        <v>100.665</v>
      </c>
      <c r="Q281" s="3" t="s">
        <v>809</v>
      </c>
      <c r="R281" s="3"/>
      <c r="S281" s="3" t="s">
        <v>68</v>
      </c>
    </row>
    <row r="282" customFormat="false" ht="13.8" hidden="false" customHeight="false" outlineLevel="0" collapsed="false">
      <c r="A282" s="3" t="s">
        <v>810</v>
      </c>
      <c r="B282" s="3" t="n">
        <v>7.2</v>
      </c>
      <c r="C282" s="3" t="s">
        <v>811</v>
      </c>
      <c r="D282" s="3" t="n">
        <v>1</v>
      </c>
      <c r="E282" s="3" t="n">
        <v>6</v>
      </c>
      <c r="F282" s="3" t="s">
        <v>21</v>
      </c>
      <c r="G282" s="3" t="n">
        <v>1</v>
      </c>
      <c r="H282" s="3" t="n">
        <v>798</v>
      </c>
      <c r="I282" s="3" t="s">
        <v>22</v>
      </c>
      <c r="J282" s="3" t="n">
        <v>0</v>
      </c>
      <c r="K282" s="3" t="n">
        <v>5.803</v>
      </c>
      <c r="L282" s="3" t="n">
        <v>24</v>
      </c>
      <c r="M282" s="3" t="s">
        <v>23</v>
      </c>
      <c r="N282" s="3" t="n">
        <v>78</v>
      </c>
      <c r="O282" s="3" t="n">
        <v>-56.2409</v>
      </c>
      <c r="P282" s="3" t="n">
        <v>-26.9353</v>
      </c>
      <c r="Q282" s="3" t="s">
        <v>275</v>
      </c>
      <c r="R282" s="3"/>
      <c r="S282" s="3"/>
    </row>
    <row r="283" customFormat="false" ht="13.8" hidden="false" customHeight="false" outlineLevel="0" collapsed="false">
      <c r="A283" s="3" t="s">
        <v>200</v>
      </c>
      <c r="B283" s="3" t="n">
        <v>6.9</v>
      </c>
      <c r="C283" s="3" t="s">
        <v>812</v>
      </c>
      <c r="D283" s="3" t="n">
        <v>3</v>
      </c>
      <c r="E283" s="3" t="n">
        <v>3</v>
      </c>
      <c r="F283" s="3" t="s">
        <v>21</v>
      </c>
      <c r="G283" s="3" t="n">
        <v>1</v>
      </c>
      <c r="H283" s="3" t="n">
        <v>733</v>
      </c>
      <c r="I283" s="3" t="s">
        <v>22</v>
      </c>
      <c r="J283" s="3" t="n">
        <v>0</v>
      </c>
      <c r="K283" s="3" t="n">
        <v>5.485</v>
      </c>
      <c r="L283" s="3" t="n">
        <v>19</v>
      </c>
      <c r="M283" s="3" t="s">
        <v>23</v>
      </c>
      <c r="N283" s="3" t="n">
        <v>405.69</v>
      </c>
      <c r="O283" s="3" t="n">
        <v>-21.9724</v>
      </c>
      <c r="P283" s="3" t="n">
        <v>-178.204</v>
      </c>
      <c r="Q283" s="3"/>
      <c r="R283" s="3"/>
      <c r="S283" s="3"/>
    </row>
    <row r="284" customFormat="false" ht="13.8" hidden="false" customHeight="false" outlineLevel="0" collapsed="false">
      <c r="A284" s="3" t="s">
        <v>813</v>
      </c>
      <c r="B284" s="3" t="n">
        <v>6.9</v>
      </c>
      <c r="C284" s="3" t="s">
        <v>814</v>
      </c>
      <c r="D284" s="3" t="n">
        <v>8</v>
      </c>
      <c r="E284" s="3" t="n">
        <v>7</v>
      </c>
      <c r="F284" s="3" t="s">
        <v>21</v>
      </c>
      <c r="G284" s="3" t="n">
        <v>1</v>
      </c>
      <c r="H284" s="3" t="n">
        <v>780</v>
      </c>
      <c r="I284" s="3" t="s">
        <v>22</v>
      </c>
      <c r="J284" s="3" t="n">
        <v>0</v>
      </c>
      <c r="K284" s="3" t="n">
        <v>1.192</v>
      </c>
      <c r="L284" s="3" t="n">
        <v>17</v>
      </c>
      <c r="M284" s="3" t="s">
        <v>23</v>
      </c>
      <c r="N284" s="3" t="n">
        <v>29.95</v>
      </c>
      <c r="O284" s="3" t="n">
        <v>0.4947</v>
      </c>
      <c r="P284" s="3" t="n">
        <v>-79.616</v>
      </c>
      <c r="Q284" s="3" t="s">
        <v>815</v>
      </c>
      <c r="R284" s="3" t="s">
        <v>33</v>
      </c>
      <c r="S284" s="3" t="s">
        <v>96</v>
      </c>
    </row>
    <row r="285" customFormat="false" ht="13.8" hidden="false" customHeight="false" outlineLevel="0" collapsed="false">
      <c r="A285" s="3" t="s">
        <v>816</v>
      </c>
      <c r="B285" s="3" t="n">
        <v>6.7</v>
      </c>
      <c r="C285" s="3" t="s">
        <v>817</v>
      </c>
      <c r="D285" s="3" t="n">
        <v>5</v>
      </c>
      <c r="E285" s="3" t="n">
        <v>7</v>
      </c>
      <c r="F285" s="3" t="s">
        <v>21</v>
      </c>
      <c r="G285" s="3" t="n">
        <v>1</v>
      </c>
      <c r="H285" s="3" t="n">
        <v>744</v>
      </c>
      <c r="I285" s="3" t="s">
        <v>22</v>
      </c>
      <c r="J285" s="3" t="n">
        <v>0</v>
      </c>
      <c r="K285" s="3" t="n">
        <v>1.352</v>
      </c>
      <c r="L285" s="3" t="n">
        <v>21</v>
      </c>
      <c r="M285" s="3" t="s">
        <v>23</v>
      </c>
      <c r="N285" s="3" t="n">
        <v>16</v>
      </c>
      <c r="O285" s="3" t="n">
        <v>0.4261</v>
      </c>
      <c r="P285" s="3" t="n">
        <v>-79.7899</v>
      </c>
      <c r="Q285" s="3" t="s">
        <v>818</v>
      </c>
      <c r="R285" s="3" t="s">
        <v>33</v>
      </c>
      <c r="S285" s="3" t="s">
        <v>96</v>
      </c>
    </row>
    <row r="286" customFormat="false" ht="13.8" hidden="false" customHeight="false" outlineLevel="0" collapsed="false">
      <c r="A286" s="3" t="s">
        <v>819</v>
      </c>
      <c r="B286" s="3" t="n">
        <v>7</v>
      </c>
      <c r="C286" s="3" t="s">
        <v>820</v>
      </c>
      <c r="D286" s="3" t="n">
        <v>7</v>
      </c>
      <c r="E286" s="3" t="n">
        <v>7</v>
      </c>
      <c r="F286" s="3" t="s">
        <v>21</v>
      </c>
      <c r="G286" s="3" t="n">
        <v>1</v>
      </c>
      <c r="H286" s="3" t="n">
        <v>755</v>
      </c>
      <c r="I286" s="3" t="s">
        <v>22</v>
      </c>
      <c r="J286" s="3" t="n">
        <v>0</v>
      </c>
      <c r="K286" s="3" t="n">
        <v>0.616</v>
      </c>
      <c r="L286" s="3" t="n">
        <v>14</v>
      </c>
      <c r="M286" s="3" t="s">
        <v>23</v>
      </c>
      <c r="N286" s="3" t="n">
        <v>24</v>
      </c>
      <c r="O286" s="3" t="n">
        <v>-16.0429</v>
      </c>
      <c r="P286" s="3" t="n">
        <v>167.379</v>
      </c>
      <c r="Q286" s="3" t="s">
        <v>821</v>
      </c>
      <c r="R286" s="3"/>
      <c r="S286" s="3" t="s">
        <v>25</v>
      </c>
    </row>
    <row r="287" customFormat="false" ht="13.8" hidden="false" customHeight="false" outlineLevel="0" collapsed="false">
      <c r="A287" s="3" t="s">
        <v>822</v>
      </c>
      <c r="B287" s="3" t="n">
        <v>7.8</v>
      </c>
      <c r="C287" s="3" t="s">
        <v>823</v>
      </c>
      <c r="D287" s="3" t="n">
        <v>9</v>
      </c>
      <c r="E287" s="3" t="n">
        <v>9</v>
      </c>
      <c r="F287" s="3" t="s">
        <v>95</v>
      </c>
      <c r="G287" s="3" t="n">
        <v>1</v>
      </c>
      <c r="H287" s="3" t="n">
        <v>1163</v>
      </c>
      <c r="I287" s="3" t="s">
        <v>22</v>
      </c>
      <c r="J287" s="3" t="n">
        <v>0</v>
      </c>
      <c r="K287" s="3" t="n">
        <v>1.44</v>
      </c>
      <c r="L287" s="3" t="n">
        <v>15</v>
      </c>
      <c r="M287" s="3" t="s">
        <v>23</v>
      </c>
      <c r="N287" s="3" t="n">
        <v>20.59</v>
      </c>
      <c r="O287" s="3" t="n">
        <v>0.3819</v>
      </c>
      <c r="P287" s="3" t="n">
        <v>-79.9218</v>
      </c>
      <c r="Q287" s="3" t="s">
        <v>818</v>
      </c>
      <c r="R287" s="3" t="s">
        <v>33</v>
      </c>
      <c r="S287" s="3" t="s">
        <v>96</v>
      </c>
    </row>
    <row r="288" customFormat="false" ht="13.8" hidden="false" customHeight="false" outlineLevel="0" collapsed="false">
      <c r="A288" s="3" t="s">
        <v>824</v>
      </c>
      <c r="B288" s="3" t="n">
        <v>7</v>
      </c>
      <c r="C288" s="3" t="s">
        <v>825</v>
      </c>
      <c r="D288" s="3" t="n">
        <v>9</v>
      </c>
      <c r="E288" s="3" t="n">
        <v>9</v>
      </c>
      <c r="F288" s="3" t="s">
        <v>121</v>
      </c>
      <c r="G288" s="3" t="n">
        <v>1</v>
      </c>
      <c r="H288" s="3" t="n">
        <v>2074</v>
      </c>
      <c r="I288" s="3" t="s">
        <v>22</v>
      </c>
      <c r="J288" s="3" t="n">
        <v>0</v>
      </c>
      <c r="K288" s="3" t="n">
        <v>0.349</v>
      </c>
      <c r="L288" s="3" t="n">
        <v>32</v>
      </c>
      <c r="M288" s="3" t="s">
        <v>23</v>
      </c>
      <c r="N288" s="3" t="n">
        <v>10</v>
      </c>
      <c r="O288" s="3" t="n">
        <v>32.7906</v>
      </c>
      <c r="P288" s="3" t="n">
        <v>130.754</v>
      </c>
      <c r="Q288" s="3" t="s">
        <v>826</v>
      </c>
      <c r="R288" s="3" t="s">
        <v>80</v>
      </c>
      <c r="S288" s="3" t="s">
        <v>322</v>
      </c>
    </row>
    <row r="289" customFormat="false" ht="13.8" hidden="false" customHeight="false" outlineLevel="0" collapsed="false">
      <c r="A289" s="3" t="s">
        <v>827</v>
      </c>
      <c r="B289" s="3" t="n">
        <v>6.9</v>
      </c>
      <c r="C289" s="3" t="s">
        <v>828</v>
      </c>
      <c r="D289" s="3" t="n">
        <v>6</v>
      </c>
      <c r="E289" s="3" t="n">
        <v>6</v>
      </c>
      <c r="F289" s="3" t="s">
        <v>28</v>
      </c>
      <c r="G289" s="3" t="n">
        <v>0</v>
      </c>
      <c r="H289" s="3" t="n">
        <v>903</v>
      </c>
      <c r="I289" s="3" t="s">
        <v>22</v>
      </c>
      <c r="J289" s="3" t="n">
        <v>0</v>
      </c>
      <c r="K289" s="3" t="n">
        <v>3.001</v>
      </c>
      <c r="L289" s="3" t="n">
        <v>14</v>
      </c>
      <c r="M289" s="3" t="s">
        <v>23</v>
      </c>
      <c r="N289" s="3" t="n">
        <v>136</v>
      </c>
      <c r="O289" s="3" t="n">
        <v>23.0944</v>
      </c>
      <c r="P289" s="3" t="n">
        <v>94.8654</v>
      </c>
      <c r="Q289" s="3" t="s">
        <v>829</v>
      </c>
      <c r="R289" s="3" t="s">
        <v>80</v>
      </c>
      <c r="S289" s="3" t="s">
        <v>801</v>
      </c>
    </row>
    <row r="290" customFormat="false" ht="13.8" hidden="false" customHeight="false" outlineLevel="0" collapsed="false">
      <c r="A290" s="3" t="s">
        <v>830</v>
      </c>
      <c r="B290" s="3" t="n">
        <v>6.6</v>
      </c>
      <c r="C290" s="3" t="s">
        <v>831</v>
      </c>
      <c r="D290" s="3" t="n">
        <v>6</v>
      </c>
      <c r="E290" s="3" t="n">
        <v>4</v>
      </c>
      <c r="F290" s="3" t="s">
        <v>21</v>
      </c>
      <c r="G290" s="3" t="n">
        <v>0</v>
      </c>
      <c r="H290" s="3" t="n">
        <v>738</v>
      </c>
      <c r="I290" s="3" t="s">
        <v>22</v>
      </c>
      <c r="J290" s="3" t="n">
        <v>0</v>
      </c>
      <c r="K290" s="3" t="n">
        <v>0.789</v>
      </c>
      <c r="L290" s="3" t="n">
        <v>17</v>
      </c>
      <c r="M290" s="3" t="s">
        <v>23</v>
      </c>
      <c r="N290" s="3" t="n">
        <v>212</v>
      </c>
      <c r="O290" s="3" t="n">
        <v>36.4725</v>
      </c>
      <c r="P290" s="3" t="n">
        <v>71.1311</v>
      </c>
      <c r="Q290" s="3" t="s">
        <v>832</v>
      </c>
      <c r="R290" s="3" t="s">
        <v>80</v>
      </c>
      <c r="S290" s="3" t="s">
        <v>92</v>
      </c>
    </row>
    <row r="291" customFormat="false" ht="13.8" hidden="false" customHeight="false" outlineLevel="0" collapsed="false">
      <c r="A291" s="3" t="s">
        <v>833</v>
      </c>
      <c r="B291" s="3" t="n">
        <v>6.7</v>
      </c>
      <c r="C291" s="3" t="s">
        <v>834</v>
      </c>
      <c r="D291" s="3" t="n">
        <v>7</v>
      </c>
      <c r="E291" s="3" t="n">
        <v>5</v>
      </c>
      <c r="F291" s="3" t="s">
        <v>21</v>
      </c>
      <c r="G291" s="3" t="n">
        <v>1</v>
      </c>
      <c r="H291" s="3" t="n">
        <v>692</v>
      </c>
      <c r="I291" s="3" t="s">
        <v>22</v>
      </c>
      <c r="J291" s="3" t="n">
        <v>0</v>
      </c>
      <c r="K291" s="3" t="n">
        <v>6.787</v>
      </c>
      <c r="L291" s="3" t="n">
        <v>25</v>
      </c>
      <c r="M291" s="3" t="s">
        <v>23</v>
      </c>
      <c r="N291" s="3" t="n">
        <v>27.59</v>
      </c>
      <c r="O291" s="3" t="n">
        <v>-13.9805</v>
      </c>
      <c r="P291" s="3" t="n">
        <v>166.594</v>
      </c>
      <c r="Q291" s="3" t="s">
        <v>24</v>
      </c>
      <c r="R291" s="3"/>
      <c r="S291" s="3" t="s">
        <v>25</v>
      </c>
    </row>
    <row r="292" customFormat="false" ht="13.8" hidden="false" customHeight="false" outlineLevel="0" collapsed="false">
      <c r="A292" s="3" t="s">
        <v>835</v>
      </c>
      <c r="B292" s="3" t="n">
        <v>6.7</v>
      </c>
      <c r="C292" s="3" t="s">
        <v>836</v>
      </c>
      <c r="D292" s="3" t="n">
        <v>7</v>
      </c>
      <c r="E292" s="3" t="n">
        <v>6</v>
      </c>
      <c r="F292" s="3" t="s">
        <v>21</v>
      </c>
      <c r="G292" s="3" t="n">
        <v>1</v>
      </c>
      <c r="H292" s="3" t="n">
        <v>691</v>
      </c>
      <c r="I292" s="3" t="s">
        <v>22</v>
      </c>
      <c r="J292" s="3" t="n">
        <v>0</v>
      </c>
      <c r="K292" s="3" t="n">
        <v>6.697</v>
      </c>
      <c r="L292" s="3" t="n">
        <v>19</v>
      </c>
      <c r="M292" s="3" t="s">
        <v>23</v>
      </c>
      <c r="N292" s="3" t="n">
        <v>24</v>
      </c>
      <c r="O292" s="3" t="n">
        <v>-14.0683</v>
      </c>
      <c r="P292" s="3" t="n">
        <v>166.624</v>
      </c>
      <c r="Q292" s="3" t="s">
        <v>24</v>
      </c>
      <c r="R292" s="3"/>
      <c r="S292" s="3" t="s">
        <v>25</v>
      </c>
    </row>
    <row r="293" customFormat="false" ht="13.8" hidden="false" customHeight="false" outlineLevel="0" collapsed="false">
      <c r="A293" s="3" t="s">
        <v>837</v>
      </c>
      <c r="B293" s="3" t="n">
        <v>6.9</v>
      </c>
      <c r="C293" s="3" t="s">
        <v>838</v>
      </c>
      <c r="D293" s="3" t="n">
        <v>7</v>
      </c>
      <c r="E293" s="3" t="n">
        <v>6</v>
      </c>
      <c r="F293" s="3" t="s">
        <v>21</v>
      </c>
      <c r="G293" s="3" t="n">
        <v>1</v>
      </c>
      <c r="H293" s="3" t="n">
        <v>734</v>
      </c>
      <c r="I293" s="3" t="s">
        <v>22</v>
      </c>
      <c r="J293" s="3" t="n">
        <v>0</v>
      </c>
      <c r="K293" s="3" t="n">
        <v>1.166</v>
      </c>
      <c r="L293" s="3" t="n">
        <v>25</v>
      </c>
      <c r="M293" s="3" t="s">
        <v>23</v>
      </c>
      <c r="N293" s="3" t="n">
        <v>26</v>
      </c>
      <c r="O293" s="3" t="n">
        <v>-14.3235</v>
      </c>
      <c r="P293" s="3" t="n">
        <v>166.855</v>
      </c>
      <c r="Q293" s="3" t="s">
        <v>104</v>
      </c>
      <c r="R293" s="3"/>
      <c r="S293" s="3" t="s">
        <v>25</v>
      </c>
    </row>
    <row r="294" customFormat="false" ht="13.8" hidden="false" customHeight="false" outlineLevel="0" collapsed="false">
      <c r="A294" s="3" t="s">
        <v>839</v>
      </c>
      <c r="B294" s="3" t="n">
        <v>7.8</v>
      </c>
      <c r="C294" s="3" t="s">
        <v>840</v>
      </c>
      <c r="D294" s="3" t="n">
        <v>4</v>
      </c>
      <c r="E294" s="3" t="n">
        <v>3</v>
      </c>
      <c r="F294" s="3" t="s">
        <v>21</v>
      </c>
      <c r="G294" s="3" t="n">
        <v>0</v>
      </c>
      <c r="H294" s="3" t="n">
        <v>948</v>
      </c>
      <c r="I294" s="3" t="s">
        <v>22</v>
      </c>
      <c r="J294" s="3" t="n">
        <v>0</v>
      </c>
      <c r="K294" s="3" t="n">
        <v>7.009</v>
      </c>
      <c r="L294" s="3" t="n">
        <v>20</v>
      </c>
      <c r="M294" s="3" t="s">
        <v>23</v>
      </c>
      <c r="N294" s="3" t="n">
        <v>24</v>
      </c>
      <c r="O294" s="3" t="n">
        <v>-4.9521</v>
      </c>
      <c r="P294" s="3" t="n">
        <v>94.3299</v>
      </c>
      <c r="Q294" s="3" t="s">
        <v>841</v>
      </c>
      <c r="R294" s="3"/>
      <c r="S294" s="3"/>
    </row>
    <row r="295" customFormat="false" ht="13.8" hidden="false" customHeight="false" outlineLevel="0" collapsed="false">
      <c r="A295" s="3" t="s">
        <v>842</v>
      </c>
      <c r="B295" s="3" t="n">
        <v>7.2</v>
      </c>
      <c r="C295" s="3" t="s">
        <v>843</v>
      </c>
      <c r="D295" s="3" t="n">
        <v>3</v>
      </c>
      <c r="E295" s="3" t="n">
        <v>7</v>
      </c>
      <c r="F295" s="3" t="s">
        <v>21</v>
      </c>
      <c r="G295" s="3" t="n">
        <v>1</v>
      </c>
      <c r="H295" s="3" t="n">
        <v>799</v>
      </c>
      <c r="I295" s="3" t="s">
        <v>22</v>
      </c>
      <c r="J295" s="3" t="n">
        <v>0</v>
      </c>
      <c r="K295" s="3" t="n">
        <v>0.958</v>
      </c>
      <c r="L295" s="3" t="n">
        <v>17</v>
      </c>
      <c r="M295" s="3" t="s">
        <v>23</v>
      </c>
      <c r="N295" s="3" t="n">
        <v>177</v>
      </c>
      <c r="O295" s="3" t="n">
        <v>53.9776</v>
      </c>
      <c r="P295" s="3" t="n">
        <v>158.546</v>
      </c>
      <c r="Q295" s="3" t="s">
        <v>844</v>
      </c>
      <c r="R295" s="3" t="s">
        <v>80</v>
      </c>
      <c r="S295" s="3" t="s">
        <v>428</v>
      </c>
    </row>
    <row r="296" customFormat="false" ht="13.8" hidden="false" customHeight="false" outlineLevel="0" collapsed="false">
      <c r="A296" s="3" t="s">
        <v>845</v>
      </c>
      <c r="B296" s="3" t="n">
        <v>7.1</v>
      </c>
      <c r="C296" s="3" t="s">
        <v>846</v>
      </c>
      <c r="D296" s="3" t="n">
        <v>7</v>
      </c>
      <c r="E296" s="3" t="n">
        <v>7</v>
      </c>
      <c r="F296" s="3" t="s">
        <v>21</v>
      </c>
      <c r="G296" s="3" t="n">
        <v>1</v>
      </c>
      <c r="H296" s="3" t="n">
        <v>1496</v>
      </c>
      <c r="I296" s="3" t="s">
        <v>259</v>
      </c>
      <c r="J296" s="3" t="n">
        <v>0</v>
      </c>
      <c r="K296" s="3" t="n">
        <v>0</v>
      </c>
      <c r="L296" s="3" t="n">
        <v>0</v>
      </c>
      <c r="M296" s="3" t="s">
        <v>485</v>
      </c>
      <c r="N296" s="3" t="n">
        <v>125.6</v>
      </c>
      <c r="O296" s="3" t="n">
        <v>59.6204</v>
      </c>
      <c r="P296" s="3" t="n">
        <v>-153.339</v>
      </c>
      <c r="Q296" s="3" t="s">
        <v>847</v>
      </c>
      <c r="R296" s="3" t="s">
        <v>164</v>
      </c>
      <c r="S296" s="3" t="s">
        <v>261</v>
      </c>
    </row>
    <row r="297" customFormat="false" ht="13.8" hidden="false" customHeight="false" outlineLevel="0" collapsed="false">
      <c r="A297" s="3" t="s">
        <v>848</v>
      </c>
      <c r="B297" s="3" t="n">
        <v>6.6</v>
      </c>
      <c r="C297" s="3" t="s">
        <v>849</v>
      </c>
      <c r="D297" s="3" t="n">
        <v>3</v>
      </c>
      <c r="E297" s="3" t="n">
        <v>4</v>
      </c>
      <c r="F297" s="3" t="s">
        <v>21</v>
      </c>
      <c r="G297" s="3" t="n">
        <v>1</v>
      </c>
      <c r="H297" s="3" t="n">
        <v>673</v>
      </c>
      <c r="I297" s="3" t="s">
        <v>22</v>
      </c>
      <c r="J297" s="3" t="n">
        <v>0</v>
      </c>
      <c r="K297" s="3" t="n">
        <v>2.413</v>
      </c>
      <c r="L297" s="3" t="n">
        <v>74</v>
      </c>
      <c r="M297" s="3" t="s">
        <v>23</v>
      </c>
      <c r="N297" s="3" t="n">
        <v>10</v>
      </c>
      <c r="O297" s="3" t="n">
        <v>18.8239</v>
      </c>
      <c r="P297" s="3" t="n">
        <v>-106.934</v>
      </c>
      <c r="Q297" s="3" t="s">
        <v>850</v>
      </c>
      <c r="R297" s="3"/>
      <c r="S297" s="3"/>
    </row>
    <row r="298" customFormat="false" ht="13.8" hidden="false" customHeight="false" outlineLevel="0" collapsed="false">
      <c r="A298" s="3" t="s">
        <v>851</v>
      </c>
      <c r="B298" s="3" t="n">
        <v>6.7</v>
      </c>
      <c r="C298" s="3" t="s">
        <v>852</v>
      </c>
      <c r="D298" s="3" t="n">
        <v>5</v>
      </c>
      <c r="E298" s="3" t="n">
        <v>6</v>
      </c>
      <c r="F298" s="3" t="s">
        <v>21</v>
      </c>
      <c r="G298" s="3" t="n">
        <v>1</v>
      </c>
      <c r="H298" s="3" t="n">
        <v>717</v>
      </c>
      <c r="I298" s="3" t="s">
        <v>22</v>
      </c>
      <c r="J298" s="3" t="n">
        <v>0</v>
      </c>
      <c r="K298" s="3" t="n">
        <v>0.281</v>
      </c>
      <c r="L298" s="3" t="n">
        <v>22</v>
      </c>
      <c r="M298" s="3" t="s">
        <v>23</v>
      </c>
      <c r="N298" s="3" t="n">
        <v>46</v>
      </c>
      <c r="O298" s="3" t="n">
        <v>41.9723</v>
      </c>
      <c r="P298" s="3" t="n">
        <v>142.781</v>
      </c>
      <c r="Q298" s="3" t="s">
        <v>853</v>
      </c>
      <c r="R298" s="3" t="s">
        <v>80</v>
      </c>
      <c r="S298" s="3" t="s">
        <v>322</v>
      </c>
    </row>
    <row r="299" customFormat="false" ht="13.8" hidden="false" customHeight="false" outlineLevel="0" collapsed="false">
      <c r="A299" s="3" t="s">
        <v>854</v>
      </c>
      <c r="B299" s="3" t="n">
        <v>6.5</v>
      </c>
      <c r="C299" s="3" t="s">
        <v>855</v>
      </c>
      <c r="D299" s="3" t="n">
        <v>3</v>
      </c>
      <c r="E299" s="3" t="n">
        <v>6</v>
      </c>
      <c r="F299" s="3" t="s">
        <v>21</v>
      </c>
      <c r="G299" s="3" t="n">
        <v>1</v>
      </c>
      <c r="H299" s="3" t="n">
        <v>651</v>
      </c>
      <c r="I299" s="3" t="s">
        <v>22</v>
      </c>
      <c r="J299" s="3" t="n">
        <v>0</v>
      </c>
      <c r="K299" s="3" t="n">
        <v>3.144</v>
      </c>
      <c r="L299" s="3" t="n">
        <v>22</v>
      </c>
      <c r="M299" s="3" t="s">
        <v>23</v>
      </c>
      <c r="N299" s="3" t="n">
        <v>13</v>
      </c>
      <c r="O299" s="3" t="n">
        <v>3.8965</v>
      </c>
      <c r="P299" s="3" t="n">
        <v>126.862</v>
      </c>
      <c r="Q299" s="3" t="s">
        <v>856</v>
      </c>
      <c r="R299" s="3"/>
      <c r="S299" s="3" t="s">
        <v>68</v>
      </c>
    </row>
    <row r="300" customFormat="false" ht="13.8" hidden="false" customHeight="false" outlineLevel="0" collapsed="false">
      <c r="A300" s="3" t="s">
        <v>857</v>
      </c>
      <c r="B300" s="3" t="n">
        <v>6.7</v>
      </c>
      <c r="C300" s="3" t="s">
        <v>858</v>
      </c>
      <c r="D300" s="3" t="n">
        <v>8</v>
      </c>
      <c r="E300" s="3" t="n">
        <v>7</v>
      </c>
      <c r="F300" s="3" t="s">
        <v>95</v>
      </c>
      <c r="G300" s="3" t="n">
        <v>0</v>
      </c>
      <c r="H300" s="3" t="n">
        <v>1515</v>
      </c>
      <c r="I300" s="3" t="s">
        <v>22</v>
      </c>
      <c r="J300" s="3" t="n">
        <v>0</v>
      </c>
      <c r="K300" s="3" t="n">
        <v>1.794</v>
      </c>
      <c r="L300" s="3" t="n">
        <v>16</v>
      </c>
      <c r="M300" s="3" t="s">
        <v>23</v>
      </c>
      <c r="N300" s="3" t="n">
        <v>55</v>
      </c>
      <c r="O300" s="3" t="n">
        <v>24.8036</v>
      </c>
      <c r="P300" s="3" t="n">
        <v>93.6505</v>
      </c>
      <c r="Q300" s="3" t="s">
        <v>859</v>
      </c>
      <c r="R300" s="3" t="s">
        <v>80</v>
      </c>
      <c r="S300" s="3" t="s">
        <v>860</v>
      </c>
    </row>
    <row r="301" customFormat="false" ht="13.8" hidden="false" customHeight="false" outlineLevel="0" collapsed="false">
      <c r="A301" s="3" t="s">
        <v>861</v>
      </c>
      <c r="B301" s="3" t="n">
        <v>6.6</v>
      </c>
      <c r="C301" s="3" t="s">
        <v>862</v>
      </c>
      <c r="D301" s="3" t="n">
        <v>8</v>
      </c>
      <c r="E301" s="3" t="n">
        <v>6</v>
      </c>
      <c r="F301" s="3" t="s">
        <v>21</v>
      </c>
      <c r="G301" s="3" t="n">
        <v>1</v>
      </c>
      <c r="H301" s="3" t="n">
        <v>765</v>
      </c>
      <c r="I301" s="3" t="s">
        <v>22</v>
      </c>
      <c r="J301" s="3" t="n">
        <v>0</v>
      </c>
      <c r="K301" s="3" t="n">
        <v>0.41</v>
      </c>
      <c r="L301" s="3" t="n">
        <v>35</v>
      </c>
      <c r="M301" s="3" t="s">
        <v>23</v>
      </c>
      <c r="N301" s="3" t="n">
        <v>85</v>
      </c>
      <c r="O301" s="3" t="n">
        <v>15.8015</v>
      </c>
      <c r="P301" s="3" t="n">
        <v>-93.633</v>
      </c>
      <c r="Q301" s="3" t="s">
        <v>863</v>
      </c>
      <c r="R301" s="3"/>
      <c r="S301" s="3" t="s">
        <v>165</v>
      </c>
    </row>
    <row r="302" customFormat="false" ht="13.8" hidden="false" customHeight="false" outlineLevel="0" collapsed="false">
      <c r="A302" s="3" t="s">
        <v>864</v>
      </c>
      <c r="B302" s="3" t="n">
        <v>6.9</v>
      </c>
      <c r="C302" s="3" t="s">
        <v>865</v>
      </c>
      <c r="D302" s="3" t="n">
        <v>8</v>
      </c>
      <c r="E302" s="3" t="n">
        <v>5</v>
      </c>
      <c r="F302" s="3" t="s">
        <v>21</v>
      </c>
      <c r="G302" s="3" t="n">
        <v>0</v>
      </c>
      <c r="H302" s="3" t="n">
        <v>738</v>
      </c>
      <c r="I302" s="3" t="s">
        <v>22</v>
      </c>
      <c r="J302" s="3" t="n">
        <v>0</v>
      </c>
      <c r="K302" s="3" t="n">
        <v>2.979</v>
      </c>
      <c r="L302" s="3" t="n">
        <v>14</v>
      </c>
      <c r="M302" s="3" t="s">
        <v>23</v>
      </c>
      <c r="N302" s="3" t="n">
        <v>21</v>
      </c>
      <c r="O302" s="3" t="n">
        <v>-4.1064</v>
      </c>
      <c r="P302" s="3" t="n">
        <v>129.508</v>
      </c>
      <c r="Q302" s="3" t="s">
        <v>866</v>
      </c>
      <c r="R302" s="3"/>
      <c r="S302" s="3" t="s">
        <v>68</v>
      </c>
    </row>
    <row r="303" customFormat="false" ht="13.8" hidden="false" customHeight="false" outlineLevel="0" collapsed="false">
      <c r="A303" s="3" t="s">
        <v>867</v>
      </c>
      <c r="B303" s="3" t="n">
        <v>7.2</v>
      </c>
      <c r="C303" s="3" t="s">
        <v>868</v>
      </c>
      <c r="D303" s="3" t="n">
        <v>4</v>
      </c>
      <c r="E303" s="3" t="n">
        <v>7</v>
      </c>
      <c r="F303" s="3" t="s">
        <v>21</v>
      </c>
      <c r="G303" s="3" t="n">
        <v>0</v>
      </c>
      <c r="H303" s="3" t="n">
        <v>827</v>
      </c>
      <c r="I303" s="3" t="s">
        <v>22</v>
      </c>
      <c r="J303" s="3" t="n">
        <v>0</v>
      </c>
      <c r="K303" s="3" t="n">
        <v>1.116</v>
      </c>
      <c r="L303" s="3" t="n">
        <v>18</v>
      </c>
      <c r="M303" s="3" t="s">
        <v>23</v>
      </c>
      <c r="N303" s="3" t="n">
        <v>22</v>
      </c>
      <c r="O303" s="3" t="n">
        <v>38.2107</v>
      </c>
      <c r="P303" s="3" t="n">
        <v>72.7797</v>
      </c>
      <c r="Q303" s="3" t="s">
        <v>110</v>
      </c>
      <c r="R303" s="3" t="s">
        <v>80</v>
      </c>
      <c r="S303" s="3" t="s">
        <v>111</v>
      </c>
    </row>
    <row r="304" customFormat="false" ht="13.8" hidden="false" customHeight="false" outlineLevel="0" collapsed="false">
      <c r="A304" s="3" t="s">
        <v>869</v>
      </c>
      <c r="B304" s="3" t="n">
        <v>6.7</v>
      </c>
      <c r="C304" s="3" t="s">
        <v>870</v>
      </c>
      <c r="D304" s="3" t="n">
        <v>2</v>
      </c>
      <c r="E304" s="3" t="n">
        <v>3</v>
      </c>
      <c r="F304" s="3" t="s">
        <v>21</v>
      </c>
      <c r="G304" s="3" t="n">
        <v>0</v>
      </c>
      <c r="H304" s="3" t="n">
        <v>691</v>
      </c>
      <c r="I304" s="3" t="s">
        <v>22</v>
      </c>
      <c r="J304" s="3" t="n">
        <v>0</v>
      </c>
      <c r="K304" s="3" t="n">
        <v>2.033</v>
      </c>
      <c r="L304" s="3" t="n">
        <v>19</v>
      </c>
      <c r="M304" s="3" t="s">
        <v>23</v>
      </c>
      <c r="N304" s="3" t="n">
        <v>602.75</v>
      </c>
      <c r="O304" s="3" t="n">
        <v>-9.1825</v>
      </c>
      <c r="P304" s="3" t="n">
        <v>-71.2574</v>
      </c>
      <c r="Q304" s="3" t="s">
        <v>194</v>
      </c>
      <c r="R304" s="3" t="s">
        <v>33</v>
      </c>
      <c r="S304" s="3" t="s">
        <v>195</v>
      </c>
    </row>
    <row r="305" customFormat="false" ht="13.8" hidden="false" customHeight="false" outlineLevel="0" collapsed="false">
      <c r="A305" s="3" t="s">
        <v>871</v>
      </c>
      <c r="B305" s="3" t="n">
        <v>7.6</v>
      </c>
      <c r="C305" s="3" t="s">
        <v>872</v>
      </c>
      <c r="D305" s="3" t="n">
        <v>5</v>
      </c>
      <c r="E305" s="3" t="n">
        <v>4</v>
      </c>
      <c r="F305" s="3" t="s">
        <v>21</v>
      </c>
      <c r="G305" s="3" t="n">
        <v>0</v>
      </c>
      <c r="H305" s="3" t="n">
        <v>896</v>
      </c>
      <c r="I305" s="3" t="s">
        <v>22</v>
      </c>
      <c r="J305" s="3" t="n">
        <v>0</v>
      </c>
      <c r="K305" s="3" t="n">
        <v>2.852</v>
      </c>
      <c r="L305" s="3" t="n">
        <v>10</v>
      </c>
      <c r="M305" s="3" t="s">
        <v>23</v>
      </c>
      <c r="N305" s="3" t="n">
        <v>620.56</v>
      </c>
      <c r="O305" s="3" t="n">
        <v>-10.0598</v>
      </c>
      <c r="P305" s="3" t="n">
        <v>-71.0184</v>
      </c>
      <c r="Q305" s="3" t="s">
        <v>591</v>
      </c>
      <c r="R305" s="3" t="s">
        <v>33</v>
      </c>
      <c r="S305" s="3" t="s">
        <v>199</v>
      </c>
    </row>
    <row r="306" customFormat="false" ht="13.8" hidden="false" customHeight="false" outlineLevel="0" collapsed="false">
      <c r="A306" s="3" t="s">
        <v>873</v>
      </c>
      <c r="B306" s="3" t="n">
        <v>7.6</v>
      </c>
      <c r="C306" s="3" t="s">
        <v>874</v>
      </c>
      <c r="D306" s="3" t="n">
        <v>6</v>
      </c>
      <c r="E306" s="3" t="n">
        <v>5</v>
      </c>
      <c r="F306" s="3" t="s">
        <v>21</v>
      </c>
      <c r="G306" s="3" t="n">
        <v>1</v>
      </c>
      <c r="H306" s="3" t="n">
        <v>957</v>
      </c>
      <c r="I306" s="3" t="s">
        <v>22</v>
      </c>
      <c r="J306" s="3" t="n">
        <v>0</v>
      </c>
      <c r="K306" s="3" t="n">
        <v>3.287</v>
      </c>
      <c r="L306" s="3" t="n">
        <v>10</v>
      </c>
      <c r="M306" s="3" t="s">
        <v>23</v>
      </c>
      <c r="N306" s="3" t="n">
        <v>606.21</v>
      </c>
      <c r="O306" s="3" t="n">
        <v>-10.5372</v>
      </c>
      <c r="P306" s="3" t="n">
        <v>-70.9437</v>
      </c>
      <c r="Q306" s="3" t="s">
        <v>591</v>
      </c>
      <c r="R306" s="3" t="s">
        <v>33</v>
      </c>
      <c r="S306" s="3" t="s">
        <v>199</v>
      </c>
    </row>
    <row r="307" customFormat="false" ht="13.8" hidden="false" customHeight="false" outlineLevel="0" collapsed="false">
      <c r="A307" s="3" t="s">
        <v>875</v>
      </c>
      <c r="B307" s="3" t="n">
        <v>6.8</v>
      </c>
      <c r="C307" s="3" t="s">
        <v>876</v>
      </c>
      <c r="D307" s="3" t="n">
        <v>5</v>
      </c>
      <c r="E307" s="3" t="n">
        <v>6</v>
      </c>
      <c r="F307" s="3" t="s">
        <v>21</v>
      </c>
      <c r="G307" s="3" t="n">
        <v>1</v>
      </c>
      <c r="H307" s="3" t="n">
        <v>715</v>
      </c>
      <c r="I307" s="3" t="s">
        <v>22</v>
      </c>
      <c r="J307" s="3" t="n">
        <v>0</v>
      </c>
      <c r="K307" s="3" t="n">
        <v>1.599</v>
      </c>
      <c r="L307" s="3" t="n">
        <v>19</v>
      </c>
      <c r="M307" s="3" t="s">
        <v>23</v>
      </c>
      <c r="N307" s="3" t="n">
        <v>12.59</v>
      </c>
      <c r="O307" s="3" t="n">
        <v>-8.8994</v>
      </c>
      <c r="P307" s="3" t="n">
        <v>158.422</v>
      </c>
      <c r="Q307" s="3" t="s">
        <v>877</v>
      </c>
      <c r="R307" s="3"/>
      <c r="S307" s="3" t="s">
        <v>140</v>
      </c>
    </row>
    <row r="308" customFormat="false" ht="13.8" hidden="false" customHeight="false" outlineLevel="0" collapsed="false">
      <c r="A308" s="3" t="s">
        <v>878</v>
      </c>
      <c r="B308" s="3" t="n">
        <v>6.5</v>
      </c>
      <c r="C308" s="3" t="s">
        <v>879</v>
      </c>
      <c r="D308" s="3" t="n">
        <v>7</v>
      </c>
      <c r="E308" s="3" t="n">
        <v>7</v>
      </c>
      <c r="F308" s="3" t="s">
        <v>95</v>
      </c>
      <c r="G308" s="3" t="n">
        <v>0</v>
      </c>
      <c r="H308" s="3" t="n">
        <v>1018</v>
      </c>
      <c r="I308" s="3" t="s">
        <v>22</v>
      </c>
      <c r="J308" s="3" t="n">
        <v>0</v>
      </c>
      <c r="K308" s="3" t="n">
        <v>0</v>
      </c>
      <c r="L308" s="3" t="n">
        <v>0</v>
      </c>
      <c r="M308" s="3" t="s">
        <v>23</v>
      </c>
      <c r="N308" s="3" t="n">
        <v>11</v>
      </c>
      <c r="O308" s="3" t="n">
        <v>38.67</v>
      </c>
      <c r="P308" s="3" t="n">
        <v>20.6</v>
      </c>
      <c r="Q308" s="3" t="s">
        <v>880</v>
      </c>
      <c r="R308" s="3" t="s">
        <v>361</v>
      </c>
      <c r="S308" s="3" t="s">
        <v>362</v>
      </c>
    </row>
    <row r="309" customFormat="false" ht="13.8" hidden="false" customHeight="false" outlineLevel="0" collapsed="false">
      <c r="A309" s="3" t="s">
        <v>881</v>
      </c>
      <c r="B309" s="3" t="n">
        <v>6.7</v>
      </c>
      <c r="C309" s="3" t="s">
        <v>882</v>
      </c>
      <c r="D309" s="3" t="n">
        <v>5</v>
      </c>
      <c r="E309" s="3" t="n">
        <v>4</v>
      </c>
      <c r="F309" s="3" t="s">
        <v>21</v>
      </c>
      <c r="G309" s="3" t="n">
        <v>0</v>
      </c>
      <c r="H309" s="3" t="n">
        <v>702</v>
      </c>
      <c r="I309" s="3" t="s">
        <v>22</v>
      </c>
      <c r="J309" s="3" t="n">
        <v>0</v>
      </c>
      <c r="K309" s="3" t="n">
        <v>1.444</v>
      </c>
      <c r="L309" s="3" t="n">
        <v>17</v>
      </c>
      <c r="M309" s="3" t="s">
        <v>23</v>
      </c>
      <c r="N309" s="3" t="n">
        <v>12</v>
      </c>
      <c r="O309" s="3" t="n">
        <v>31.0009</v>
      </c>
      <c r="P309" s="3" t="n">
        <v>128.873</v>
      </c>
      <c r="Q309" s="3" t="s">
        <v>883</v>
      </c>
      <c r="R309" s="3"/>
      <c r="S309" s="3"/>
    </row>
    <row r="310" customFormat="false" ht="13.8" hidden="false" customHeight="false" outlineLevel="0" collapsed="false">
      <c r="A310" s="3" t="s">
        <v>884</v>
      </c>
      <c r="B310" s="3" t="n">
        <v>6.9</v>
      </c>
      <c r="C310" s="3" t="s">
        <v>885</v>
      </c>
      <c r="D310" s="3" t="n">
        <v>5</v>
      </c>
      <c r="E310" s="3" t="n">
        <v>6</v>
      </c>
      <c r="F310" s="3" t="s">
        <v>21</v>
      </c>
      <c r="G310" s="3" t="n">
        <v>0</v>
      </c>
      <c r="H310" s="3" t="n">
        <v>744</v>
      </c>
      <c r="I310" s="3" t="s">
        <v>22</v>
      </c>
      <c r="J310" s="3" t="n">
        <v>0</v>
      </c>
      <c r="K310" s="3" t="n">
        <v>0.821</v>
      </c>
      <c r="L310" s="3" t="n">
        <v>43</v>
      </c>
      <c r="M310" s="3" t="s">
        <v>23</v>
      </c>
      <c r="N310" s="3" t="n">
        <v>10</v>
      </c>
      <c r="O310" s="3" t="n">
        <v>-29.5097</v>
      </c>
      <c r="P310" s="3" t="n">
        <v>-72.0585</v>
      </c>
      <c r="Q310" s="3" t="s">
        <v>523</v>
      </c>
      <c r="R310" s="3"/>
      <c r="S310" s="3"/>
    </row>
    <row r="311" customFormat="false" ht="13.8" hidden="false" customHeight="false" outlineLevel="0" collapsed="false">
      <c r="A311" s="3" t="s">
        <v>886</v>
      </c>
      <c r="B311" s="3" t="n">
        <v>6.9</v>
      </c>
      <c r="C311" s="3" t="s">
        <v>887</v>
      </c>
      <c r="D311" s="3" t="n">
        <v>6</v>
      </c>
      <c r="E311" s="3" t="n">
        <v>6</v>
      </c>
      <c r="F311" s="3" t="s">
        <v>21</v>
      </c>
      <c r="G311" s="3" t="n">
        <v>1</v>
      </c>
      <c r="H311" s="3" t="n">
        <v>761</v>
      </c>
      <c r="I311" s="3" t="s">
        <v>22</v>
      </c>
      <c r="J311" s="3" t="n">
        <v>0</v>
      </c>
      <c r="K311" s="3" t="n">
        <v>0.784</v>
      </c>
      <c r="L311" s="3" t="n">
        <v>32</v>
      </c>
      <c r="M311" s="3" t="s">
        <v>23</v>
      </c>
      <c r="N311" s="3" t="n">
        <v>12</v>
      </c>
      <c r="O311" s="3" t="n">
        <v>-29.5067</v>
      </c>
      <c r="P311" s="3" t="n">
        <v>-72.0068</v>
      </c>
      <c r="Q311" s="3" t="s">
        <v>523</v>
      </c>
      <c r="R311" s="3"/>
      <c r="S311" s="3"/>
    </row>
    <row r="312" customFormat="false" ht="13.8" hidden="false" customHeight="false" outlineLevel="0" collapsed="false">
      <c r="A312" s="3" t="s">
        <v>888</v>
      </c>
      <c r="B312" s="3" t="n">
        <v>6.6</v>
      </c>
      <c r="C312" s="3" t="s">
        <v>889</v>
      </c>
      <c r="D312" s="3" t="n">
        <v>7</v>
      </c>
      <c r="E312" s="3" t="n">
        <v>4</v>
      </c>
      <c r="F312" s="3" t="s">
        <v>21</v>
      </c>
      <c r="G312" s="3" t="n">
        <v>0</v>
      </c>
      <c r="H312" s="3" t="n">
        <v>675</v>
      </c>
      <c r="I312" s="3" t="s">
        <v>22</v>
      </c>
      <c r="J312" s="3" t="n">
        <v>0</v>
      </c>
      <c r="K312" s="3" t="n">
        <v>2.792</v>
      </c>
      <c r="L312" s="3" t="n">
        <v>31</v>
      </c>
      <c r="M312" s="3" t="s">
        <v>23</v>
      </c>
      <c r="N312" s="3" t="n">
        <v>10</v>
      </c>
      <c r="O312" s="3" t="n">
        <v>6.8431</v>
      </c>
      <c r="P312" s="3" t="n">
        <v>94.648</v>
      </c>
      <c r="Q312" s="3" t="s">
        <v>890</v>
      </c>
      <c r="R312" s="3"/>
      <c r="S312" s="3"/>
    </row>
    <row r="313" customFormat="false" ht="13.8" hidden="false" customHeight="false" outlineLevel="0" collapsed="false">
      <c r="A313" s="3" t="s">
        <v>891</v>
      </c>
      <c r="B313" s="3" t="n">
        <v>6.8</v>
      </c>
      <c r="C313" s="3" t="s">
        <v>892</v>
      </c>
      <c r="D313" s="3" t="n">
        <v>7</v>
      </c>
      <c r="E313" s="3" t="n">
        <v>7</v>
      </c>
      <c r="F313" s="3" t="s">
        <v>21</v>
      </c>
      <c r="G313" s="3" t="n">
        <v>1</v>
      </c>
      <c r="H313" s="3" t="n">
        <v>841</v>
      </c>
      <c r="I313" s="3" t="s">
        <v>22</v>
      </c>
      <c r="J313" s="3" t="n">
        <v>0</v>
      </c>
      <c r="K313" s="3" t="n">
        <v>0.258</v>
      </c>
      <c r="L313" s="3" t="n">
        <v>41</v>
      </c>
      <c r="M313" s="3" t="s">
        <v>23</v>
      </c>
      <c r="N313" s="3" t="n">
        <v>46</v>
      </c>
      <c r="O313" s="3" t="n">
        <v>-30.8796</v>
      </c>
      <c r="P313" s="3" t="n">
        <v>-71.4519</v>
      </c>
      <c r="Q313" s="3" t="s">
        <v>893</v>
      </c>
      <c r="R313" s="3" t="s">
        <v>33</v>
      </c>
      <c r="S313" s="3" t="s">
        <v>373</v>
      </c>
    </row>
    <row r="314" customFormat="false" ht="13.8" hidden="false" customHeight="false" outlineLevel="0" collapsed="false">
      <c r="A314" s="3" t="s">
        <v>894</v>
      </c>
      <c r="B314" s="3" t="n">
        <v>6.5</v>
      </c>
      <c r="C314" s="3" t="s">
        <v>895</v>
      </c>
      <c r="D314" s="3" t="n">
        <v>5</v>
      </c>
      <c r="E314" s="3" t="n">
        <v>7</v>
      </c>
      <c r="F314" s="3" t="s">
        <v>21</v>
      </c>
      <c r="G314" s="3" t="n">
        <v>0</v>
      </c>
      <c r="H314" s="3" t="n">
        <v>657</v>
      </c>
      <c r="I314" s="3" t="s">
        <v>22</v>
      </c>
      <c r="J314" s="3" t="n">
        <v>0</v>
      </c>
      <c r="K314" s="3" t="n">
        <v>1.53</v>
      </c>
      <c r="L314" s="3" t="n">
        <v>21</v>
      </c>
      <c r="M314" s="3" t="s">
        <v>23</v>
      </c>
      <c r="N314" s="3" t="n">
        <v>20</v>
      </c>
      <c r="O314" s="3" t="n">
        <v>-8.3381</v>
      </c>
      <c r="P314" s="3" t="n">
        <v>124.875</v>
      </c>
      <c r="Q314" s="3" t="s">
        <v>896</v>
      </c>
      <c r="R314" s="3"/>
      <c r="S314" s="3" t="s">
        <v>68</v>
      </c>
    </row>
    <row r="315" customFormat="false" ht="13.8" hidden="false" customHeight="false" outlineLevel="0" collapsed="false">
      <c r="A315" s="3" t="s">
        <v>897</v>
      </c>
      <c r="B315" s="3" t="n">
        <v>7.5</v>
      </c>
      <c r="C315" s="3" t="s">
        <v>898</v>
      </c>
      <c r="D315" s="3" t="n">
        <v>8</v>
      </c>
      <c r="E315" s="3" t="n">
        <v>7</v>
      </c>
      <c r="F315" s="3" t="s">
        <v>95</v>
      </c>
      <c r="G315" s="3" t="n">
        <v>0</v>
      </c>
      <c r="H315" s="3" t="n">
        <v>1448</v>
      </c>
      <c r="I315" s="3" t="s">
        <v>22</v>
      </c>
      <c r="J315" s="3" t="n">
        <v>0</v>
      </c>
      <c r="K315" s="3" t="n">
        <v>0.622</v>
      </c>
      <c r="L315" s="3" t="n">
        <v>18</v>
      </c>
      <c r="M315" s="3" t="s">
        <v>23</v>
      </c>
      <c r="N315" s="3" t="n">
        <v>231</v>
      </c>
      <c r="O315" s="3" t="n">
        <v>36.5244</v>
      </c>
      <c r="P315" s="3" t="n">
        <v>70.3676</v>
      </c>
      <c r="Q315" s="3" t="s">
        <v>899</v>
      </c>
      <c r="R315" s="3" t="s">
        <v>80</v>
      </c>
      <c r="S315" s="3" t="s">
        <v>92</v>
      </c>
    </row>
    <row r="316" customFormat="false" ht="13.8" hidden="false" customHeight="false" outlineLevel="0" collapsed="false">
      <c r="A316" s="3" t="s">
        <v>900</v>
      </c>
      <c r="B316" s="3" t="n">
        <v>7.1</v>
      </c>
      <c r="C316" s="3" t="s">
        <v>901</v>
      </c>
      <c r="D316" s="3" t="n">
        <v>6</v>
      </c>
      <c r="E316" s="3" t="n">
        <v>6</v>
      </c>
      <c r="F316" s="3" t="s">
        <v>21</v>
      </c>
      <c r="G316" s="3" t="n">
        <v>1</v>
      </c>
      <c r="H316" s="3" t="n">
        <v>780</v>
      </c>
      <c r="I316" s="3" t="s">
        <v>22</v>
      </c>
      <c r="J316" s="3" t="n">
        <v>0</v>
      </c>
      <c r="K316" s="3" t="n">
        <v>0.592</v>
      </c>
      <c r="L316" s="3" t="n">
        <v>11</v>
      </c>
      <c r="M316" s="3" t="s">
        <v>23</v>
      </c>
      <c r="N316" s="3" t="n">
        <v>135</v>
      </c>
      <c r="O316" s="3" t="n">
        <v>-14.8595</v>
      </c>
      <c r="P316" s="3" t="n">
        <v>167.303</v>
      </c>
      <c r="Q316" s="3" t="s">
        <v>104</v>
      </c>
      <c r="R316" s="3"/>
      <c r="S316" s="3" t="s">
        <v>25</v>
      </c>
    </row>
    <row r="317" customFormat="false" ht="13.8" hidden="false" customHeight="false" outlineLevel="0" collapsed="false">
      <c r="A317" s="3" t="s">
        <v>902</v>
      </c>
      <c r="B317" s="3" t="n">
        <v>6.6</v>
      </c>
      <c r="C317" s="3" t="s">
        <v>903</v>
      </c>
      <c r="D317" s="3" t="n">
        <v>7</v>
      </c>
      <c r="E317" s="3" t="n">
        <v>7</v>
      </c>
      <c r="F317" s="3" t="s">
        <v>21</v>
      </c>
      <c r="G317" s="3" t="n">
        <v>0</v>
      </c>
      <c r="H317" s="3" t="n">
        <v>671</v>
      </c>
      <c r="I317" s="3" t="s">
        <v>22</v>
      </c>
      <c r="J317" s="3" t="n">
        <v>0</v>
      </c>
      <c r="K317" s="3" t="n">
        <v>2.486</v>
      </c>
      <c r="L317" s="3" t="n">
        <v>13</v>
      </c>
      <c r="M317" s="3" t="s">
        <v>23</v>
      </c>
      <c r="N317" s="3" t="n">
        <v>18</v>
      </c>
      <c r="O317" s="3" t="n">
        <v>-0.6212</v>
      </c>
      <c r="P317" s="3" t="n">
        <v>131.262</v>
      </c>
      <c r="Q317" s="3" t="s">
        <v>904</v>
      </c>
      <c r="R317" s="3"/>
      <c r="S317" s="3" t="s">
        <v>68</v>
      </c>
    </row>
    <row r="318" customFormat="false" ht="13.8" hidden="false" customHeight="false" outlineLevel="0" collapsed="false">
      <c r="A318" s="3" t="s">
        <v>905</v>
      </c>
      <c r="B318" s="3" t="n">
        <v>6.6</v>
      </c>
      <c r="C318" s="3" t="s">
        <v>906</v>
      </c>
      <c r="D318" s="3" t="n">
        <v>5</v>
      </c>
      <c r="E318" s="3" t="n">
        <v>7</v>
      </c>
      <c r="F318" s="3" t="s">
        <v>21</v>
      </c>
      <c r="G318" s="3" t="n">
        <v>1</v>
      </c>
      <c r="H318" s="3" t="n">
        <v>820</v>
      </c>
      <c r="I318" s="3" t="s">
        <v>22</v>
      </c>
      <c r="J318" s="3" t="n">
        <v>0</v>
      </c>
      <c r="K318" s="3" t="n">
        <v>1.064</v>
      </c>
      <c r="L318" s="3" t="n">
        <v>14</v>
      </c>
      <c r="M318" s="3" t="s">
        <v>23</v>
      </c>
      <c r="N318" s="3" t="n">
        <v>35</v>
      </c>
      <c r="O318" s="3" t="n">
        <v>-31.7275</v>
      </c>
      <c r="P318" s="3" t="n">
        <v>-71.3792</v>
      </c>
      <c r="Q318" s="3" t="s">
        <v>907</v>
      </c>
      <c r="R318" s="3" t="s">
        <v>33</v>
      </c>
      <c r="S318" s="3" t="s">
        <v>373</v>
      </c>
    </row>
    <row r="319" customFormat="false" ht="13.8" hidden="false" customHeight="false" outlineLevel="0" collapsed="false">
      <c r="A319" s="3" t="s">
        <v>908</v>
      </c>
      <c r="B319" s="3" t="n">
        <v>6.7</v>
      </c>
      <c r="C319" s="3" t="s">
        <v>909</v>
      </c>
      <c r="D319" s="3" t="n">
        <v>5</v>
      </c>
      <c r="E319" s="3" t="n">
        <v>7</v>
      </c>
      <c r="F319" s="3" t="s">
        <v>21</v>
      </c>
      <c r="G319" s="3" t="n">
        <v>0</v>
      </c>
      <c r="H319" s="3" t="n">
        <v>718</v>
      </c>
      <c r="I319" s="3" t="s">
        <v>22</v>
      </c>
      <c r="J319" s="3" t="n">
        <v>0</v>
      </c>
      <c r="K319" s="3" t="n">
        <v>0.853</v>
      </c>
      <c r="L319" s="3" t="n">
        <v>35</v>
      </c>
      <c r="M319" s="3" t="s">
        <v>23</v>
      </c>
      <c r="N319" s="3" t="n">
        <v>23</v>
      </c>
      <c r="O319" s="3" t="n">
        <v>-31.5173</v>
      </c>
      <c r="P319" s="3" t="n">
        <v>-71.804</v>
      </c>
      <c r="Q319" s="3" t="s">
        <v>907</v>
      </c>
      <c r="R319" s="3"/>
      <c r="S319" s="3" t="s">
        <v>373</v>
      </c>
    </row>
    <row r="320" customFormat="false" ht="13.8" hidden="false" customHeight="false" outlineLevel="0" collapsed="false">
      <c r="A320" s="3" t="s">
        <v>910</v>
      </c>
      <c r="B320" s="3" t="n">
        <v>6.5</v>
      </c>
      <c r="C320" s="3" t="s">
        <v>911</v>
      </c>
      <c r="D320" s="3" t="n">
        <v>6</v>
      </c>
      <c r="E320" s="3" t="n">
        <v>7</v>
      </c>
      <c r="F320" s="3" t="s">
        <v>21</v>
      </c>
      <c r="G320" s="3" t="n">
        <v>0</v>
      </c>
      <c r="H320" s="3" t="n">
        <v>657</v>
      </c>
      <c r="I320" s="3" t="s">
        <v>22</v>
      </c>
      <c r="J320" s="3" t="n">
        <v>0</v>
      </c>
      <c r="K320" s="3" t="n">
        <v>0.749</v>
      </c>
      <c r="L320" s="3" t="n">
        <v>62</v>
      </c>
      <c r="M320" s="3" t="s">
        <v>23</v>
      </c>
      <c r="N320" s="3" t="n">
        <v>27</v>
      </c>
      <c r="O320" s="3" t="n">
        <v>-31.4244</v>
      </c>
      <c r="P320" s="3" t="n">
        <v>-71.6876</v>
      </c>
      <c r="Q320" s="3" t="s">
        <v>907</v>
      </c>
      <c r="R320" s="3"/>
      <c r="S320" s="3" t="s">
        <v>373</v>
      </c>
    </row>
    <row r="321" customFormat="false" ht="13.8" hidden="false" customHeight="false" outlineLevel="0" collapsed="false">
      <c r="A321" s="3" t="s">
        <v>912</v>
      </c>
      <c r="B321" s="3" t="n">
        <v>7</v>
      </c>
      <c r="C321" s="3" t="s">
        <v>913</v>
      </c>
      <c r="D321" s="3" t="n">
        <v>8</v>
      </c>
      <c r="E321" s="3" t="n">
        <v>7</v>
      </c>
      <c r="F321" s="3" t="s">
        <v>21</v>
      </c>
      <c r="G321" s="3" t="n">
        <v>0</v>
      </c>
      <c r="H321" s="3" t="n">
        <v>799</v>
      </c>
      <c r="I321" s="3" t="s">
        <v>22</v>
      </c>
      <c r="J321" s="3" t="n">
        <v>0</v>
      </c>
      <c r="K321" s="3" t="n">
        <v>0.903</v>
      </c>
      <c r="L321" s="3" t="n">
        <v>13</v>
      </c>
      <c r="M321" s="3" t="s">
        <v>23</v>
      </c>
      <c r="N321" s="3" t="n">
        <v>28.41</v>
      </c>
      <c r="O321" s="3" t="n">
        <v>-31.5622</v>
      </c>
      <c r="P321" s="3" t="n">
        <v>-71.4262</v>
      </c>
      <c r="Q321" s="3" t="s">
        <v>907</v>
      </c>
      <c r="R321" s="3" t="s">
        <v>33</v>
      </c>
      <c r="S321" s="3" t="s">
        <v>373</v>
      </c>
    </row>
    <row r="322" customFormat="false" ht="13.8" hidden="false" customHeight="false" outlineLevel="0" collapsed="false">
      <c r="A322" s="3" t="s">
        <v>914</v>
      </c>
      <c r="B322" s="3" t="n">
        <v>8.3</v>
      </c>
      <c r="C322" s="3" t="s">
        <v>915</v>
      </c>
      <c r="D322" s="3" t="n">
        <v>9</v>
      </c>
      <c r="E322" s="3" t="n">
        <v>8</v>
      </c>
      <c r="F322" s="3" t="s">
        <v>95</v>
      </c>
      <c r="G322" s="3" t="n">
        <v>1</v>
      </c>
      <c r="H322" s="3" t="n">
        <v>1960</v>
      </c>
      <c r="I322" s="3" t="s">
        <v>22</v>
      </c>
      <c r="J322" s="3" t="n">
        <v>0</v>
      </c>
      <c r="K322" s="3" t="n">
        <v>0.684</v>
      </c>
      <c r="L322" s="3" t="n">
        <v>19</v>
      </c>
      <c r="M322" s="3" t="s">
        <v>23</v>
      </c>
      <c r="N322" s="3" t="n">
        <v>22.44</v>
      </c>
      <c r="O322" s="3" t="n">
        <v>-31.5729</v>
      </c>
      <c r="P322" s="3" t="n">
        <v>-71.6744</v>
      </c>
      <c r="Q322" s="3" t="s">
        <v>907</v>
      </c>
      <c r="R322" s="3"/>
      <c r="S322" s="3" t="s">
        <v>373</v>
      </c>
    </row>
    <row r="323" customFormat="false" ht="13.8" hidden="false" customHeight="false" outlineLevel="0" collapsed="false">
      <c r="A323" s="3" t="s">
        <v>916</v>
      </c>
      <c r="B323" s="3" t="n">
        <v>6.7</v>
      </c>
      <c r="C323" s="3" t="s">
        <v>917</v>
      </c>
      <c r="D323" s="3" t="n">
        <v>5</v>
      </c>
      <c r="E323" s="3" t="n">
        <v>5</v>
      </c>
      <c r="F323" s="3" t="s">
        <v>21</v>
      </c>
      <c r="G323" s="3" t="n">
        <v>1</v>
      </c>
      <c r="H323" s="3" t="n">
        <v>708</v>
      </c>
      <c r="I323" s="3" t="s">
        <v>22</v>
      </c>
      <c r="J323" s="3" t="n">
        <v>0</v>
      </c>
      <c r="K323" s="3" t="n">
        <v>1.256</v>
      </c>
      <c r="L323" s="3" t="n">
        <v>123</v>
      </c>
      <c r="M323" s="3" t="s">
        <v>23</v>
      </c>
      <c r="N323" s="3" t="n">
        <v>10</v>
      </c>
      <c r="O323" s="3" t="n">
        <v>24.913</v>
      </c>
      <c r="P323" s="3" t="n">
        <v>-109.623</v>
      </c>
      <c r="Q323" s="3" t="s">
        <v>918</v>
      </c>
      <c r="R323" s="3"/>
      <c r="S323" s="3"/>
    </row>
    <row r="324" customFormat="false" ht="13.8" hidden="false" customHeight="false" outlineLevel="0" collapsed="false">
      <c r="A324" s="3" t="s">
        <v>919</v>
      </c>
      <c r="B324" s="3" t="n">
        <v>6.5</v>
      </c>
      <c r="C324" s="3" t="s">
        <v>920</v>
      </c>
      <c r="D324" s="3" t="n">
        <v>0</v>
      </c>
      <c r="E324" s="3" t="n">
        <v>5</v>
      </c>
      <c r="F324" s="3" t="s">
        <v>21</v>
      </c>
      <c r="G324" s="3" t="n">
        <v>1</v>
      </c>
      <c r="H324" s="3" t="n">
        <v>650</v>
      </c>
      <c r="I324" s="3" t="s">
        <v>22</v>
      </c>
      <c r="J324" s="3" t="n">
        <v>0</v>
      </c>
      <c r="K324" s="3" t="n">
        <v>2.045</v>
      </c>
      <c r="L324" s="3" t="n">
        <v>16</v>
      </c>
      <c r="M324" s="3" t="s">
        <v>23</v>
      </c>
      <c r="N324" s="3" t="n">
        <v>6.43</v>
      </c>
      <c r="O324" s="3" t="n">
        <v>-9.3293</v>
      </c>
      <c r="P324" s="3" t="n">
        <v>157.877</v>
      </c>
      <c r="Q324" s="3" t="s">
        <v>921</v>
      </c>
      <c r="R324" s="3"/>
      <c r="S324" s="3"/>
    </row>
    <row r="325" customFormat="false" ht="13.8" hidden="false" customHeight="false" outlineLevel="0" collapsed="false">
      <c r="A325" s="3" t="s">
        <v>922</v>
      </c>
      <c r="B325" s="3" t="n">
        <v>6.6</v>
      </c>
      <c r="C325" s="3" t="s">
        <v>923</v>
      </c>
      <c r="D325" s="3" t="n">
        <v>3</v>
      </c>
      <c r="E325" s="3" t="n">
        <v>5</v>
      </c>
      <c r="F325" s="3" t="s">
        <v>21</v>
      </c>
      <c r="G325" s="3" t="n">
        <v>1</v>
      </c>
      <c r="H325" s="3" t="n">
        <v>671</v>
      </c>
      <c r="I325" s="3" t="s">
        <v>22</v>
      </c>
      <c r="J325" s="3" t="n">
        <v>0</v>
      </c>
      <c r="K325" s="3" t="n">
        <v>1.872</v>
      </c>
      <c r="L325" s="3" t="n">
        <v>20</v>
      </c>
      <c r="M325" s="3" t="s">
        <v>23</v>
      </c>
      <c r="N325" s="3" t="n">
        <v>22</v>
      </c>
      <c r="O325" s="3" t="n">
        <v>-9.3438</v>
      </c>
      <c r="P325" s="3" t="n">
        <v>158.053</v>
      </c>
      <c r="Q325" s="3" t="s">
        <v>138</v>
      </c>
      <c r="R325" s="3"/>
      <c r="S325" s="3"/>
    </row>
    <row r="326" customFormat="false" ht="13.8" hidden="false" customHeight="false" outlineLevel="0" collapsed="false">
      <c r="A326" s="3" t="s">
        <v>924</v>
      </c>
      <c r="B326" s="3" t="n">
        <v>7</v>
      </c>
      <c r="C326" s="3" t="s">
        <v>925</v>
      </c>
      <c r="D326" s="3" t="n">
        <v>9</v>
      </c>
      <c r="E326" s="3" t="n">
        <v>7</v>
      </c>
      <c r="F326" s="3" t="s">
        <v>21</v>
      </c>
      <c r="G326" s="3" t="n">
        <v>1</v>
      </c>
      <c r="H326" s="3" t="n">
        <v>762</v>
      </c>
      <c r="I326" s="3" t="s">
        <v>22</v>
      </c>
      <c r="J326" s="3" t="n">
        <v>0</v>
      </c>
      <c r="K326" s="3" t="n">
        <v>6.278</v>
      </c>
      <c r="L326" s="3" t="n">
        <v>12</v>
      </c>
      <c r="M326" s="3" t="s">
        <v>23</v>
      </c>
      <c r="N326" s="3" t="n">
        <v>48</v>
      </c>
      <c r="O326" s="3" t="n">
        <v>-2.6286</v>
      </c>
      <c r="P326" s="3" t="n">
        <v>138.528</v>
      </c>
      <c r="Q326" s="3" t="s">
        <v>926</v>
      </c>
      <c r="R326" s="3"/>
      <c r="S326" s="3" t="s">
        <v>68</v>
      </c>
    </row>
    <row r="327" customFormat="false" ht="13.8" hidden="false" customHeight="false" outlineLevel="0" collapsed="false">
      <c r="A327" s="3" t="s">
        <v>927</v>
      </c>
      <c r="B327" s="3" t="n">
        <v>6.9</v>
      </c>
      <c r="C327" s="3" t="s">
        <v>928</v>
      </c>
      <c r="D327" s="3" t="n">
        <v>4</v>
      </c>
      <c r="E327" s="3" t="n">
        <v>7</v>
      </c>
      <c r="F327" s="3" t="s">
        <v>21</v>
      </c>
      <c r="G327" s="3" t="n">
        <v>1</v>
      </c>
      <c r="H327" s="3" t="n">
        <v>734</v>
      </c>
      <c r="I327" s="3" t="s">
        <v>22</v>
      </c>
      <c r="J327" s="3" t="n">
        <v>0</v>
      </c>
      <c r="K327" s="3" t="n">
        <v>0.444</v>
      </c>
      <c r="L327" s="3" t="n">
        <v>39</v>
      </c>
      <c r="M327" s="3" t="s">
        <v>23</v>
      </c>
      <c r="N327" s="3" t="n">
        <v>29</v>
      </c>
      <c r="O327" s="3" t="n">
        <v>52.376</v>
      </c>
      <c r="P327" s="3" t="n">
        <v>-169.446</v>
      </c>
      <c r="Q327" s="3" t="s">
        <v>929</v>
      </c>
      <c r="R327" s="3"/>
      <c r="S327" s="3"/>
    </row>
    <row r="328" customFormat="false" ht="13.8" hidden="false" customHeight="false" outlineLevel="0" collapsed="false">
      <c r="A328" s="3" t="s">
        <v>930</v>
      </c>
      <c r="B328" s="3" t="n">
        <v>7</v>
      </c>
      <c r="C328" s="3" t="s">
        <v>931</v>
      </c>
      <c r="D328" s="3" t="n">
        <v>8</v>
      </c>
      <c r="E328" s="3" t="n">
        <v>6</v>
      </c>
      <c r="F328" s="3" t="s">
        <v>21</v>
      </c>
      <c r="G328" s="3" t="n">
        <v>1</v>
      </c>
      <c r="H328" s="3" t="n">
        <v>759</v>
      </c>
      <c r="I328" s="3" t="s">
        <v>22</v>
      </c>
      <c r="J328" s="3" t="n">
        <v>0</v>
      </c>
      <c r="K328" s="3" t="n">
        <v>5.205</v>
      </c>
      <c r="L328" s="3" t="n">
        <v>22</v>
      </c>
      <c r="M328" s="3" t="s">
        <v>23</v>
      </c>
      <c r="N328" s="3" t="n">
        <v>11</v>
      </c>
      <c r="O328" s="3" t="n">
        <v>-10.4012</v>
      </c>
      <c r="P328" s="3" t="n">
        <v>165.141</v>
      </c>
      <c r="Q328" s="3" t="s">
        <v>412</v>
      </c>
      <c r="R328" s="3"/>
      <c r="S328" s="3"/>
    </row>
    <row r="329" customFormat="false" ht="13.8" hidden="false" customHeight="false" outlineLevel="0" collapsed="false">
      <c r="A329" s="3" t="s">
        <v>932</v>
      </c>
      <c r="B329" s="3" t="n">
        <v>6.5</v>
      </c>
      <c r="C329" s="3" t="s">
        <v>933</v>
      </c>
      <c r="D329" s="3" t="n">
        <v>4</v>
      </c>
      <c r="E329" s="3" t="n">
        <v>4</v>
      </c>
      <c r="F329" s="3" t="s">
        <v>21</v>
      </c>
      <c r="G329" s="3" t="n">
        <v>1</v>
      </c>
      <c r="H329" s="3" t="n">
        <v>686</v>
      </c>
      <c r="I329" s="3" t="s">
        <v>22</v>
      </c>
      <c r="J329" s="3" t="n">
        <v>0</v>
      </c>
      <c r="K329" s="3" t="n">
        <v>1.218</v>
      </c>
      <c r="L329" s="3" t="n">
        <v>20</v>
      </c>
      <c r="M329" s="3" t="s">
        <v>23</v>
      </c>
      <c r="N329" s="3" t="n">
        <v>20</v>
      </c>
      <c r="O329" s="3" t="n">
        <v>13.8672</v>
      </c>
      <c r="P329" s="3" t="n">
        <v>-58.5479</v>
      </c>
      <c r="Q329" s="3" t="s">
        <v>934</v>
      </c>
      <c r="R329" s="3"/>
      <c r="S329" s="3"/>
    </row>
    <row r="330" customFormat="false" ht="13.8" hidden="false" customHeight="false" outlineLevel="0" collapsed="false">
      <c r="A330" s="3" t="s">
        <v>935</v>
      </c>
      <c r="B330" s="3" t="n">
        <v>6.7</v>
      </c>
      <c r="C330" s="3" t="s">
        <v>936</v>
      </c>
      <c r="D330" s="3" t="n">
        <v>4</v>
      </c>
      <c r="E330" s="3" t="n">
        <v>5</v>
      </c>
      <c r="F330" s="3" t="s">
        <v>21</v>
      </c>
      <c r="G330" s="3" t="n">
        <v>1</v>
      </c>
      <c r="H330" s="3" t="n">
        <v>691</v>
      </c>
      <c r="I330" s="3" t="s">
        <v>22</v>
      </c>
      <c r="J330" s="3" t="n">
        <v>0</v>
      </c>
      <c r="K330" s="3" t="n">
        <v>1.529</v>
      </c>
      <c r="L330" s="3" t="n">
        <v>11</v>
      </c>
      <c r="M330" s="3" t="s">
        <v>23</v>
      </c>
      <c r="N330" s="3" t="n">
        <v>12</v>
      </c>
      <c r="O330" s="3" t="n">
        <v>-9.307</v>
      </c>
      <c r="P330" s="3" t="n">
        <v>158.403</v>
      </c>
      <c r="Q330" s="3" t="s">
        <v>138</v>
      </c>
      <c r="R330" s="3"/>
      <c r="S330" s="3" t="s">
        <v>140</v>
      </c>
    </row>
    <row r="331" customFormat="false" ht="13.8" hidden="false" customHeight="false" outlineLevel="0" collapsed="false">
      <c r="A331" s="3" t="s">
        <v>937</v>
      </c>
      <c r="B331" s="3" t="n">
        <v>6.5</v>
      </c>
      <c r="C331" s="3" t="s">
        <v>938</v>
      </c>
      <c r="D331" s="3" t="n">
        <v>3</v>
      </c>
      <c r="E331" s="3" t="n">
        <v>4</v>
      </c>
      <c r="F331" s="3" t="s">
        <v>21</v>
      </c>
      <c r="G331" s="3" t="n">
        <v>0</v>
      </c>
      <c r="H331" s="3" t="n">
        <v>652</v>
      </c>
      <c r="I331" s="3" t="s">
        <v>22</v>
      </c>
      <c r="J331" s="3" t="n">
        <v>0</v>
      </c>
      <c r="K331" s="3" t="n">
        <v>2.277</v>
      </c>
      <c r="L331" s="3" t="n">
        <v>11</v>
      </c>
      <c r="M331" s="3" t="s">
        <v>23</v>
      </c>
      <c r="N331" s="3" t="n">
        <v>460</v>
      </c>
      <c r="O331" s="3" t="n">
        <v>27.7375</v>
      </c>
      <c r="P331" s="3" t="n">
        <v>139.725</v>
      </c>
      <c r="Q331" s="3" t="s">
        <v>939</v>
      </c>
      <c r="R331" s="3"/>
      <c r="S331" s="3"/>
    </row>
    <row r="332" customFormat="false" ht="13.8" hidden="false" customHeight="false" outlineLevel="0" collapsed="false">
      <c r="A332" s="3" t="s">
        <v>940</v>
      </c>
      <c r="B332" s="3" t="n">
        <v>7.8</v>
      </c>
      <c r="C332" s="3" t="s">
        <v>941</v>
      </c>
      <c r="D332" s="3" t="n">
        <v>6</v>
      </c>
      <c r="E332" s="3" t="n">
        <v>3</v>
      </c>
      <c r="F332" s="3" t="s">
        <v>21</v>
      </c>
      <c r="G332" s="3" t="n">
        <v>1</v>
      </c>
      <c r="H332" s="3" t="n">
        <v>1151</v>
      </c>
      <c r="I332" s="3" t="s">
        <v>22</v>
      </c>
      <c r="J332" s="3" t="n">
        <v>0</v>
      </c>
      <c r="K332" s="3" t="n">
        <v>1.675</v>
      </c>
      <c r="L332" s="3" t="n">
        <v>12</v>
      </c>
      <c r="M332" s="3" t="s">
        <v>23</v>
      </c>
      <c r="N332" s="3" t="n">
        <v>664</v>
      </c>
      <c r="O332" s="3" t="n">
        <v>27.8386</v>
      </c>
      <c r="P332" s="3" t="n">
        <v>140.493</v>
      </c>
      <c r="Q332" s="3" t="s">
        <v>939</v>
      </c>
      <c r="R332" s="3"/>
      <c r="S332" s="3"/>
    </row>
    <row r="333" customFormat="false" ht="13.8" hidden="false" customHeight="false" outlineLevel="0" collapsed="false">
      <c r="A333" s="3" t="s">
        <v>942</v>
      </c>
      <c r="B333" s="3" t="n">
        <v>6.8</v>
      </c>
      <c r="C333" s="3" t="s">
        <v>943</v>
      </c>
      <c r="D333" s="3" t="n">
        <v>5</v>
      </c>
      <c r="E333" s="3" t="n">
        <v>6</v>
      </c>
      <c r="F333" s="3" t="s">
        <v>21</v>
      </c>
      <c r="G333" s="3" t="n">
        <v>1</v>
      </c>
      <c r="H333" s="3" t="n">
        <v>762</v>
      </c>
      <c r="I333" s="3" t="s">
        <v>259</v>
      </c>
      <c r="J333" s="3" t="n">
        <v>0</v>
      </c>
      <c r="K333" s="3" t="n">
        <v>0</v>
      </c>
      <c r="L333" s="3" t="n">
        <v>0</v>
      </c>
      <c r="M333" s="3" t="s">
        <v>485</v>
      </c>
      <c r="N333" s="3" t="n">
        <v>72.6</v>
      </c>
      <c r="O333" s="3" t="n">
        <v>56.594</v>
      </c>
      <c r="P333" s="3" t="n">
        <v>-156.43</v>
      </c>
      <c r="Q333" s="3" t="s">
        <v>944</v>
      </c>
      <c r="R333" s="3"/>
      <c r="S333" s="3"/>
    </row>
    <row r="334" customFormat="false" ht="13.8" hidden="false" customHeight="false" outlineLevel="0" collapsed="false">
      <c r="A334" s="3" t="s">
        <v>945</v>
      </c>
      <c r="B334" s="3" t="n">
        <v>6.8</v>
      </c>
      <c r="C334" s="3" t="s">
        <v>946</v>
      </c>
      <c r="D334" s="3" t="n">
        <v>1</v>
      </c>
      <c r="E334" s="3" t="n">
        <v>5</v>
      </c>
      <c r="F334" s="3" t="s">
        <v>21</v>
      </c>
      <c r="G334" s="3" t="n">
        <v>1</v>
      </c>
      <c r="H334" s="3" t="n">
        <v>711</v>
      </c>
      <c r="I334" s="3" t="s">
        <v>22</v>
      </c>
      <c r="J334" s="3" t="n">
        <v>0</v>
      </c>
      <c r="K334" s="3" t="n">
        <v>3.619</v>
      </c>
      <c r="L334" s="3" t="n">
        <v>18</v>
      </c>
      <c r="M334" s="3" t="s">
        <v>23</v>
      </c>
      <c r="N334" s="3" t="n">
        <v>10</v>
      </c>
      <c r="O334" s="3" t="n">
        <v>-11.1093</v>
      </c>
      <c r="P334" s="3" t="n">
        <v>163.215</v>
      </c>
      <c r="Q334" s="3" t="s">
        <v>581</v>
      </c>
      <c r="R334" s="3"/>
      <c r="S334" s="3"/>
    </row>
    <row r="335" customFormat="false" ht="13.8" hidden="false" customHeight="false" outlineLevel="0" collapsed="false">
      <c r="A335" s="3" t="s">
        <v>947</v>
      </c>
      <c r="B335" s="3" t="n">
        <v>6.9</v>
      </c>
      <c r="C335" s="3" t="s">
        <v>948</v>
      </c>
      <c r="D335" s="3" t="n">
        <v>1</v>
      </c>
      <c r="E335" s="3" t="n">
        <v>4</v>
      </c>
      <c r="F335" s="3" t="s">
        <v>21</v>
      </c>
      <c r="G335" s="3" t="n">
        <v>1</v>
      </c>
      <c r="H335" s="3" t="n">
        <v>732</v>
      </c>
      <c r="I335" s="3" t="s">
        <v>22</v>
      </c>
      <c r="J335" s="3" t="n">
        <v>0</v>
      </c>
      <c r="K335" s="3" t="n">
        <v>4.024</v>
      </c>
      <c r="L335" s="3" t="n">
        <v>22</v>
      </c>
      <c r="M335" s="3" t="s">
        <v>23</v>
      </c>
      <c r="N335" s="3" t="n">
        <v>11.19</v>
      </c>
      <c r="O335" s="3" t="n">
        <v>-11.0559</v>
      </c>
      <c r="P335" s="3" t="n">
        <v>163.696</v>
      </c>
      <c r="Q335" s="3" t="s">
        <v>581</v>
      </c>
      <c r="R335" s="3"/>
      <c r="S335" s="3"/>
    </row>
    <row r="336" customFormat="false" ht="13.8" hidden="false" customHeight="false" outlineLevel="0" collapsed="false">
      <c r="A336" s="3" t="s">
        <v>949</v>
      </c>
      <c r="B336" s="3" t="n">
        <v>6.8</v>
      </c>
      <c r="C336" s="3" t="s">
        <v>950</v>
      </c>
      <c r="D336" s="3" t="n">
        <v>1</v>
      </c>
      <c r="E336" s="3" t="n">
        <v>4</v>
      </c>
      <c r="F336" s="3" t="s">
        <v>21</v>
      </c>
      <c r="G336" s="3" t="n">
        <v>1</v>
      </c>
      <c r="H336" s="3" t="n">
        <v>711</v>
      </c>
      <c r="I336" s="3" t="s">
        <v>22</v>
      </c>
      <c r="J336" s="3" t="n">
        <v>0</v>
      </c>
      <c r="K336" s="3" t="n">
        <v>4.395</v>
      </c>
      <c r="L336" s="3" t="n">
        <v>15</v>
      </c>
      <c r="M336" s="3" t="s">
        <v>23</v>
      </c>
      <c r="N336" s="3" t="n">
        <v>11</v>
      </c>
      <c r="O336" s="3" t="n">
        <v>-10.8759</v>
      </c>
      <c r="P336" s="3" t="n">
        <v>164.169</v>
      </c>
      <c r="Q336" s="3" t="s">
        <v>412</v>
      </c>
      <c r="R336" s="3"/>
      <c r="S336" s="3"/>
    </row>
    <row r="337" customFormat="false" ht="13.8" hidden="false" customHeight="false" outlineLevel="0" collapsed="false">
      <c r="A337" s="3" t="s">
        <v>951</v>
      </c>
      <c r="B337" s="3" t="n">
        <v>6.8</v>
      </c>
      <c r="C337" s="3" t="s">
        <v>952</v>
      </c>
      <c r="D337" s="3" t="n">
        <v>8</v>
      </c>
      <c r="E337" s="3" t="n">
        <v>6</v>
      </c>
      <c r="F337" s="3" t="s">
        <v>21</v>
      </c>
      <c r="G337" s="3" t="n">
        <v>1</v>
      </c>
      <c r="H337" s="3" t="n">
        <v>831</v>
      </c>
      <c r="I337" s="3" t="s">
        <v>22</v>
      </c>
      <c r="J337" s="3" t="n">
        <v>0</v>
      </c>
      <c r="K337" s="3" t="n">
        <v>1.422</v>
      </c>
      <c r="L337" s="3" t="n">
        <v>8</v>
      </c>
      <c r="M337" s="3" t="s">
        <v>23</v>
      </c>
      <c r="N337" s="3" t="n">
        <v>35</v>
      </c>
      <c r="O337" s="3" t="n">
        <v>38.9056</v>
      </c>
      <c r="P337" s="3" t="n">
        <v>142.032</v>
      </c>
      <c r="Q337" s="3" t="s">
        <v>953</v>
      </c>
      <c r="R337" s="3" t="s">
        <v>80</v>
      </c>
      <c r="S337" s="3" t="s">
        <v>322</v>
      </c>
    </row>
    <row r="338" customFormat="false" ht="13.8" hidden="false" customHeight="false" outlineLevel="0" collapsed="false">
      <c r="A338" s="3" t="s">
        <v>954</v>
      </c>
      <c r="B338" s="3" t="n">
        <v>7.3</v>
      </c>
      <c r="C338" s="3" t="s">
        <v>955</v>
      </c>
      <c r="D338" s="3" t="n">
        <v>8</v>
      </c>
      <c r="E338" s="3" t="n">
        <v>7</v>
      </c>
      <c r="F338" s="3" t="s">
        <v>95</v>
      </c>
      <c r="G338" s="3" t="n">
        <v>0</v>
      </c>
      <c r="H338" s="3" t="n">
        <v>1563</v>
      </c>
      <c r="I338" s="3" t="s">
        <v>22</v>
      </c>
      <c r="J338" s="3" t="n">
        <v>0</v>
      </c>
      <c r="K338" s="3" t="n">
        <v>0.677</v>
      </c>
      <c r="L338" s="3" t="n">
        <v>11</v>
      </c>
      <c r="M338" s="3" t="s">
        <v>23</v>
      </c>
      <c r="N338" s="3" t="n">
        <v>15</v>
      </c>
      <c r="O338" s="3" t="n">
        <v>27.8087</v>
      </c>
      <c r="P338" s="3" t="n">
        <v>86.0655</v>
      </c>
      <c r="Q338" s="3" t="s">
        <v>956</v>
      </c>
      <c r="R338" s="3" t="s">
        <v>80</v>
      </c>
      <c r="S338" s="3" t="s">
        <v>956</v>
      </c>
    </row>
    <row r="339" customFormat="false" ht="13.8" hidden="false" customHeight="false" outlineLevel="0" collapsed="false">
      <c r="A339" s="3" t="s">
        <v>957</v>
      </c>
      <c r="B339" s="3" t="n">
        <v>7.1</v>
      </c>
      <c r="C339" s="3" t="s">
        <v>958</v>
      </c>
      <c r="D339" s="3" t="n">
        <v>1</v>
      </c>
      <c r="E339" s="3" t="n">
        <v>6</v>
      </c>
      <c r="F339" s="3" t="s">
        <v>21</v>
      </c>
      <c r="G339" s="3" t="n">
        <v>1</v>
      </c>
      <c r="H339" s="3" t="n">
        <v>776</v>
      </c>
      <c r="I339" s="3" t="s">
        <v>22</v>
      </c>
      <c r="J339" s="3" t="n">
        <v>0</v>
      </c>
      <c r="K339" s="3" t="n">
        <v>3.835</v>
      </c>
      <c r="L339" s="3" t="n">
        <v>11</v>
      </c>
      <c r="M339" s="3" t="s">
        <v>23</v>
      </c>
      <c r="N339" s="3" t="n">
        <v>10</v>
      </c>
      <c r="O339" s="3" t="n">
        <v>-7.2175</v>
      </c>
      <c r="P339" s="3" t="n">
        <v>154.557</v>
      </c>
      <c r="Q339" s="3" t="s">
        <v>736</v>
      </c>
      <c r="R339" s="3"/>
      <c r="S339" s="3"/>
    </row>
    <row r="340" customFormat="false" ht="13.8" hidden="false" customHeight="false" outlineLevel="0" collapsed="false">
      <c r="A340" s="3" t="s">
        <v>959</v>
      </c>
      <c r="B340" s="3" t="n">
        <v>7.5</v>
      </c>
      <c r="C340" s="3" t="s">
        <v>960</v>
      </c>
      <c r="D340" s="3" t="n">
        <v>7</v>
      </c>
      <c r="E340" s="3" t="n">
        <v>8</v>
      </c>
      <c r="F340" s="3" t="s">
        <v>21</v>
      </c>
      <c r="G340" s="3" t="n">
        <v>1</v>
      </c>
      <c r="H340" s="3" t="n">
        <v>869</v>
      </c>
      <c r="I340" s="3" t="s">
        <v>22</v>
      </c>
      <c r="J340" s="3" t="n">
        <v>0</v>
      </c>
      <c r="K340" s="3" t="n">
        <v>1.295</v>
      </c>
      <c r="L340" s="3" t="n">
        <v>22</v>
      </c>
      <c r="M340" s="3" t="s">
        <v>23</v>
      </c>
      <c r="N340" s="3" t="n">
        <v>55</v>
      </c>
      <c r="O340" s="3" t="n">
        <v>-5.4624</v>
      </c>
      <c r="P340" s="3" t="n">
        <v>151.875</v>
      </c>
      <c r="Q340" s="3" t="s">
        <v>625</v>
      </c>
      <c r="R340" s="3"/>
      <c r="S340" s="3" t="s">
        <v>85</v>
      </c>
    </row>
    <row r="341" customFormat="false" ht="13.8" hidden="false" customHeight="false" outlineLevel="0" collapsed="false">
      <c r="A341" s="3" t="s">
        <v>961</v>
      </c>
      <c r="B341" s="3" t="n">
        <v>6.8</v>
      </c>
      <c r="C341" s="3" t="s">
        <v>962</v>
      </c>
      <c r="D341" s="3" t="n">
        <v>5</v>
      </c>
      <c r="E341" s="3" t="n">
        <v>6</v>
      </c>
      <c r="F341" s="3" t="s">
        <v>21</v>
      </c>
      <c r="G341" s="3" t="n">
        <v>1</v>
      </c>
      <c r="H341" s="3" t="n">
        <v>714</v>
      </c>
      <c r="I341" s="3" t="s">
        <v>22</v>
      </c>
      <c r="J341" s="3" t="n">
        <v>0</v>
      </c>
      <c r="K341" s="3" t="n">
        <v>1.074</v>
      </c>
      <c r="L341" s="3" t="n">
        <v>23</v>
      </c>
      <c r="M341" s="3" t="s">
        <v>23</v>
      </c>
      <c r="N341" s="3" t="n">
        <v>44</v>
      </c>
      <c r="O341" s="3" t="n">
        <v>-5.2005</v>
      </c>
      <c r="P341" s="3" t="n">
        <v>151.777</v>
      </c>
      <c r="Q341" s="3" t="s">
        <v>625</v>
      </c>
      <c r="R341" s="3"/>
      <c r="S341" s="3" t="s">
        <v>85</v>
      </c>
    </row>
    <row r="342" customFormat="false" ht="13.8" hidden="false" customHeight="false" outlineLevel="0" collapsed="false">
      <c r="A342" s="3" t="s">
        <v>963</v>
      </c>
      <c r="B342" s="3" t="n">
        <v>6.7</v>
      </c>
      <c r="C342" s="3" t="s">
        <v>964</v>
      </c>
      <c r="D342" s="3" t="n">
        <v>5</v>
      </c>
      <c r="E342" s="3" t="n">
        <v>6</v>
      </c>
      <c r="F342" s="3" t="s">
        <v>21</v>
      </c>
      <c r="G342" s="3" t="n">
        <v>1</v>
      </c>
      <c r="H342" s="3" t="n">
        <v>692</v>
      </c>
      <c r="I342" s="3" t="s">
        <v>22</v>
      </c>
      <c r="J342" s="3" t="n">
        <v>0</v>
      </c>
      <c r="K342" s="3" t="n">
        <v>1.239</v>
      </c>
      <c r="L342" s="3" t="n">
        <v>12</v>
      </c>
      <c r="M342" s="3" t="s">
        <v>23</v>
      </c>
      <c r="N342" s="3" t="n">
        <v>31</v>
      </c>
      <c r="O342" s="3" t="n">
        <v>-5.375</v>
      </c>
      <c r="P342" s="3" t="n">
        <v>151.771</v>
      </c>
      <c r="Q342" s="3" t="s">
        <v>625</v>
      </c>
      <c r="R342" s="3"/>
      <c r="S342" s="3" t="s">
        <v>85</v>
      </c>
    </row>
    <row r="343" customFormat="false" ht="13.8" hidden="false" customHeight="false" outlineLevel="0" collapsed="false">
      <c r="A343" s="3" t="s">
        <v>965</v>
      </c>
      <c r="B343" s="3" t="n">
        <v>6.7</v>
      </c>
      <c r="C343" s="3" t="s">
        <v>966</v>
      </c>
      <c r="D343" s="3" t="n">
        <v>7</v>
      </c>
      <c r="E343" s="3" t="n">
        <v>7</v>
      </c>
      <c r="F343" s="3" t="s">
        <v>28</v>
      </c>
      <c r="G343" s="3" t="n">
        <v>0</v>
      </c>
      <c r="H343" s="3" t="n">
        <v>1016</v>
      </c>
      <c r="I343" s="3" t="s">
        <v>22</v>
      </c>
      <c r="J343" s="3" t="n">
        <v>0</v>
      </c>
      <c r="K343" s="3" t="n">
        <v>0.727</v>
      </c>
      <c r="L343" s="3" t="n">
        <v>13</v>
      </c>
      <c r="M343" s="3" t="s">
        <v>23</v>
      </c>
      <c r="N343" s="3" t="n">
        <v>22.91</v>
      </c>
      <c r="O343" s="3" t="n">
        <v>27.7711</v>
      </c>
      <c r="P343" s="3" t="n">
        <v>86.0173</v>
      </c>
      <c r="Q343" s="3" t="s">
        <v>967</v>
      </c>
      <c r="R343" s="3" t="s">
        <v>80</v>
      </c>
      <c r="S343" s="3" t="s">
        <v>956</v>
      </c>
    </row>
    <row r="344" customFormat="false" ht="13.8" hidden="false" customHeight="false" outlineLevel="0" collapsed="false">
      <c r="A344" s="3" t="s">
        <v>968</v>
      </c>
      <c r="B344" s="3" t="n">
        <v>6.6</v>
      </c>
      <c r="C344" s="3" t="s">
        <v>969</v>
      </c>
      <c r="D344" s="3" t="n">
        <v>8</v>
      </c>
      <c r="E344" s="3" t="n">
        <v>7</v>
      </c>
      <c r="F344" s="3" t="s">
        <v>28</v>
      </c>
      <c r="G344" s="3" t="n">
        <v>0</v>
      </c>
      <c r="H344" s="3" t="n">
        <v>733</v>
      </c>
      <c r="I344" s="3" t="s">
        <v>22</v>
      </c>
      <c r="J344" s="3" t="n">
        <v>0</v>
      </c>
      <c r="K344" s="3" t="n">
        <v>1.778</v>
      </c>
      <c r="L344" s="3" t="n">
        <v>16</v>
      </c>
      <c r="M344" s="3" t="s">
        <v>23</v>
      </c>
      <c r="N344" s="3" t="n">
        <v>10</v>
      </c>
      <c r="O344" s="3" t="n">
        <v>28.2244</v>
      </c>
      <c r="P344" s="3" t="n">
        <v>84.8216</v>
      </c>
      <c r="Q344" s="3" t="s">
        <v>970</v>
      </c>
      <c r="R344" s="3" t="s">
        <v>80</v>
      </c>
      <c r="S344" s="3" t="s">
        <v>956</v>
      </c>
    </row>
    <row r="345" customFormat="false" ht="13.8" hidden="false" customHeight="false" outlineLevel="0" collapsed="false">
      <c r="A345" s="3" t="s">
        <v>971</v>
      </c>
      <c r="B345" s="3" t="n">
        <v>7.8</v>
      </c>
      <c r="C345" s="3" t="s">
        <v>972</v>
      </c>
      <c r="D345" s="3" t="n">
        <v>8</v>
      </c>
      <c r="E345" s="3" t="n">
        <v>9</v>
      </c>
      <c r="F345" s="3" t="s">
        <v>121</v>
      </c>
      <c r="G345" s="3" t="n">
        <v>0</v>
      </c>
      <c r="H345" s="3" t="n">
        <v>2820</v>
      </c>
      <c r="I345" s="3" t="s">
        <v>22</v>
      </c>
      <c r="J345" s="3" t="n">
        <v>0</v>
      </c>
      <c r="K345" s="3" t="n">
        <v>1.857</v>
      </c>
      <c r="L345" s="3" t="n">
        <v>12</v>
      </c>
      <c r="M345" s="3" t="s">
        <v>23</v>
      </c>
      <c r="N345" s="3" t="n">
        <v>8.22</v>
      </c>
      <c r="O345" s="3" t="n">
        <v>28.2305</v>
      </c>
      <c r="P345" s="3" t="n">
        <v>84.7314</v>
      </c>
      <c r="Q345" s="3" t="s">
        <v>970</v>
      </c>
      <c r="R345" s="3" t="s">
        <v>80</v>
      </c>
      <c r="S345" s="3" t="s">
        <v>956</v>
      </c>
    </row>
    <row r="346" customFormat="false" ht="13.8" hidden="false" customHeight="false" outlineLevel="0" collapsed="false">
      <c r="A346" s="3" t="s">
        <v>973</v>
      </c>
      <c r="B346" s="3" t="n">
        <v>6.5</v>
      </c>
      <c r="C346" s="3" t="s">
        <v>974</v>
      </c>
      <c r="D346" s="3" t="n">
        <v>0</v>
      </c>
      <c r="E346" s="3" t="n">
        <v>5</v>
      </c>
      <c r="F346" s="3" t="s">
        <v>21</v>
      </c>
      <c r="G346" s="3" t="n">
        <v>1</v>
      </c>
      <c r="H346" s="3" t="n">
        <v>650</v>
      </c>
      <c r="I346" s="3" t="s">
        <v>22</v>
      </c>
      <c r="J346" s="3" t="n">
        <v>0</v>
      </c>
      <c r="K346" s="3" t="n">
        <v>3.702</v>
      </c>
      <c r="L346" s="3" t="n">
        <v>42</v>
      </c>
      <c r="M346" s="3" t="s">
        <v>23</v>
      </c>
      <c r="N346" s="3" t="n">
        <v>10</v>
      </c>
      <c r="O346" s="3" t="n">
        <v>-15.8815</v>
      </c>
      <c r="P346" s="3" t="n">
        <v>-178.6</v>
      </c>
      <c r="Q346" s="3" t="s">
        <v>311</v>
      </c>
      <c r="R346" s="3"/>
      <c r="S346" s="3"/>
    </row>
    <row r="347" customFormat="false" ht="13.8" hidden="false" customHeight="false" outlineLevel="0" collapsed="false">
      <c r="A347" s="3" t="s">
        <v>975</v>
      </c>
      <c r="B347" s="3" t="n">
        <v>6.5</v>
      </c>
      <c r="C347" s="3" t="s">
        <v>976</v>
      </c>
      <c r="D347" s="3" t="n">
        <v>2</v>
      </c>
      <c r="E347" s="3" t="n">
        <v>5</v>
      </c>
      <c r="F347" s="3" t="s">
        <v>21</v>
      </c>
      <c r="G347" s="3" t="n">
        <v>1</v>
      </c>
      <c r="H347" s="3" t="n">
        <v>650</v>
      </c>
      <c r="I347" s="3" t="s">
        <v>22</v>
      </c>
      <c r="J347" s="3" t="n">
        <v>0</v>
      </c>
      <c r="K347" s="3" t="n">
        <v>4.629</v>
      </c>
      <c r="L347" s="3" t="n">
        <v>36</v>
      </c>
      <c r="M347" s="3" t="s">
        <v>23</v>
      </c>
      <c r="N347" s="3" t="n">
        <v>11</v>
      </c>
      <c r="O347" s="3" t="n">
        <v>-15.4994</v>
      </c>
      <c r="P347" s="3" t="n">
        <v>-173.029</v>
      </c>
      <c r="Q347" s="3" t="s">
        <v>62</v>
      </c>
      <c r="R347" s="3"/>
      <c r="S347" s="3"/>
    </row>
    <row r="348" customFormat="false" ht="13.8" hidden="false" customHeight="false" outlineLevel="0" collapsed="false">
      <c r="A348" s="3" t="s">
        <v>977</v>
      </c>
      <c r="B348" s="3" t="n">
        <v>7.5</v>
      </c>
      <c r="C348" s="3" t="s">
        <v>978</v>
      </c>
      <c r="D348" s="3" t="n">
        <v>6</v>
      </c>
      <c r="E348" s="3" t="n">
        <v>7</v>
      </c>
      <c r="F348" s="3" t="s">
        <v>21</v>
      </c>
      <c r="G348" s="3" t="n">
        <v>1</v>
      </c>
      <c r="H348" s="3" t="n">
        <v>872</v>
      </c>
      <c r="I348" s="3" t="s">
        <v>22</v>
      </c>
      <c r="J348" s="3" t="n">
        <v>0</v>
      </c>
      <c r="K348" s="3" t="n">
        <v>0.666</v>
      </c>
      <c r="L348" s="3" t="n">
        <v>19</v>
      </c>
      <c r="M348" s="3" t="s">
        <v>23</v>
      </c>
      <c r="N348" s="3" t="n">
        <v>41</v>
      </c>
      <c r="O348" s="3" t="n">
        <v>-4.7294</v>
      </c>
      <c r="P348" s="3" t="n">
        <v>152.562</v>
      </c>
      <c r="Q348" s="3" t="s">
        <v>625</v>
      </c>
      <c r="R348" s="3"/>
      <c r="S348" s="3" t="s">
        <v>85</v>
      </c>
    </row>
    <row r="349" customFormat="false" ht="13.8" hidden="false" customHeight="false" outlineLevel="0" collapsed="false">
      <c r="A349" s="3" t="s">
        <v>979</v>
      </c>
      <c r="B349" s="3" t="n">
        <v>7</v>
      </c>
      <c r="C349" s="3" t="s">
        <v>980</v>
      </c>
      <c r="D349" s="3" t="n">
        <v>4</v>
      </c>
      <c r="E349" s="3" t="n">
        <v>6</v>
      </c>
      <c r="F349" s="3" t="s">
        <v>21</v>
      </c>
      <c r="G349" s="3" t="n">
        <v>0</v>
      </c>
      <c r="H349" s="3" t="n">
        <v>760</v>
      </c>
      <c r="I349" s="3" t="s">
        <v>22</v>
      </c>
      <c r="J349" s="3" t="n">
        <v>0</v>
      </c>
      <c r="K349" s="3" t="n">
        <v>1.362</v>
      </c>
      <c r="L349" s="3" t="n">
        <v>12</v>
      </c>
      <c r="M349" s="3" t="s">
        <v>23</v>
      </c>
      <c r="N349" s="3" t="n">
        <v>552.06</v>
      </c>
      <c r="O349" s="3" t="n">
        <v>-7.2968</v>
      </c>
      <c r="P349" s="3" t="n">
        <v>122.535</v>
      </c>
      <c r="Q349" s="3" t="s">
        <v>672</v>
      </c>
      <c r="R349" s="3"/>
      <c r="S349" s="3" t="s">
        <v>68</v>
      </c>
    </row>
    <row r="350" customFormat="false" ht="13.8" hidden="false" customHeight="false" outlineLevel="0" collapsed="false">
      <c r="A350" s="3" t="s">
        <v>981</v>
      </c>
      <c r="B350" s="3" t="n">
        <v>6.7</v>
      </c>
      <c r="C350" s="3" t="s">
        <v>982</v>
      </c>
      <c r="D350" s="3" t="n">
        <v>5</v>
      </c>
      <c r="E350" s="3" t="n">
        <v>5</v>
      </c>
      <c r="F350" s="3" t="s">
        <v>21</v>
      </c>
      <c r="G350" s="3" t="n">
        <v>1</v>
      </c>
      <c r="H350" s="3" t="n">
        <v>714</v>
      </c>
      <c r="I350" s="3" t="s">
        <v>22</v>
      </c>
      <c r="J350" s="3" t="n">
        <v>0</v>
      </c>
      <c r="K350" s="3" t="n">
        <v>1.925</v>
      </c>
      <c r="L350" s="3" t="n">
        <v>20</v>
      </c>
      <c r="M350" s="3" t="s">
        <v>23</v>
      </c>
      <c r="N350" s="3" t="n">
        <v>23</v>
      </c>
      <c r="O350" s="3" t="n">
        <v>39.8558</v>
      </c>
      <c r="P350" s="3" t="n">
        <v>142.881</v>
      </c>
      <c r="Q350" s="3" t="s">
        <v>983</v>
      </c>
      <c r="R350" s="3"/>
      <c r="S350" s="3"/>
    </row>
    <row r="351" customFormat="false" ht="13.8" hidden="false" customHeight="false" outlineLevel="0" collapsed="false">
      <c r="A351" s="3" t="s">
        <v>984</v>
      </c>
      <c r="B351" s="3" t="n">
        <v>6.7</v>
      </c>
      <c r="C351" s="3" t="s">
        <v>985</v>
      </c>
      <c r="D351" s="3" t="n">
        <v>4</v>
      </c>
      <c r="E351" s="3" t="n">
        <v>6</v>
      </c>
      <c r="F351" s="3" t="s">
        <v>21</v>
      </c>
      <c r="G351" s="3" t="n">
        <v>1</v>
      </c>
      <c r="H351" s="3" t="n">
        <v>700</v>
      </c>
      <c r="I351" s="3" t="s">
        <v>22</v>
      </c>
      <c r="J351" s="3" t="n">
        <v>0</v>
      </c>
      <c r="K351" s="3" t="n">
        <v>2.11</v>
      </c>
      <c r="L351" s="3" t="n">
        <v>16</v>
      </c>
      <c r="M351" s="3" t="s">
        <v>23</v>
      </c>
      <c r="N351" s="3" t="n">
        <v>223</v>
      </c>
      <c r="O351" s="3" t="n">
        <v>-23.1125</v>
      </c>
      <c r="P351" s="3" t="n">
        <v>-66.688</v>
      </c>
      <c r="Q351" s="3" t="s">
        <v>986</v>
      </c>
      <c r="R351" s="3" t="s">
        <v>33</v>
      </c>
      <c r="S351" s="3" t="s">
        <v>34</v>
      </c>
    </row>
    <row r="352" customFormat="false" ht="13.8" hidden="false" customHeight="false" outlineLevel="0" collapsed="false">
      <c r="A352" s="3" t="s">
        <v>987</v>
      </c>
      <c r="B352" s="3" t="n">
        <v>6.8</v>
      </c>
      <c r="C352" s="3" t="s">
        <v>988</v>
      </c>
      <c r="D352" s="3" t="n">
        <v>1</v>
      </c>
      <c r="E352" s="3" t="n">
        <v>4</v>
      </c>
      <c r="F352" s="3" t="s">
        <v>21</v>
      </c>
      <c r="G352" s="3" t="n">
        <v>1</v>
      </c>
      <c r="H352" s="3" t="n">
        <v>711</v>
      </c>
      <c r="I352" s="3" t="s">
        <v>22</v>
      </c>
      <c r="J352" s="3" t="n">
        <v>0</v>
      </c>
      <c r="K352" s="3" t="n">
        <v>2.019</v>
      </c>
      <c r="L352" s="3" t="n">
        <v>13</v>
      </c>
      <c r="M352" s="3" t="s">
        <v>23</v>
      </c>
      <c r="N352" s="3" t="n">
        <v>219.96</v>
      </c>
      <c r="O352" s="3" t="n">
        <v>-17.0309</v>
      </c>
      <c r="P352" s="3" t="n">
        <v>168.52</v>
      </c>
      <c r="Q352" s="3" t="s">
        <v>989</v>
      </c>
      <c r="R352" s="3"/>
      <c r="S352" s="3" t="s">
        <v>25</v>
      </c>
    </row>
    <row r="353" customFormat="false" ht="13.8" hidden="false" customHeight="false" outlineLevel="0" collapsed="false">
      <c r="A353" s="3" t="s">
        <v>990</v>
      </c>
      <c r="B353" s="3" t="n">
        <v>6.5</v>
      </c>
      <c r="C353" s="3" t="s">
        <v>991</v>
      </c>
      <c r="D353" s="3" t="n">
        <v>1</v>
      </c>
      <c r="E353" s="3" t="n">
        <v>4</v>
      </c>
      <c r="F353" s="3" t="s">
        <v>21</v>
      </c>
      <c r="G353" s="3" t="n">
        <v>1</v>
      </c>
      <c r="H353" s="3" t="n">
        <v>650</v>
      </c>
      <c r="I353" s="3" t="s">
        <v>22</v>
      </c>
      <c r="J353" s="3" t="n">
        <v>0</v>
      </c>
      <c r="K353" s="3" t="n">
        <v>4.318</v>
      </c>
      <c r="L353" s="3" t="n">
        <v>61</v>
      </c>
      <c r="M353" s="3" t="s">
        <v>23</v>
      </c>
      <c r="N353" s="3" t="n">
        <v>8</v>
      </c>
      <c r="O353" s="3" t="n">
        <v>5.9045</v>
      </c>
      <c r="P353" s="3" t="n">
        <v>-82.6576</v>
      </c>
      <c r="Q353" s="3" t="s">
        <v>992</v>
      </c>
      <c r="R353" s="3"/>
      <c r="S353" s="3"/>
    </row>
    <row r="354" customFormat="false" ht="13.8" hidden="false" customHeight="false" outlineLevel="0" collapsed="false">
      <c r="A354" s="3" t="s">
        <v>993</v>
      </c>
      <c r="B354" s="3" t="n">
        <v>6.6</v>
      </c>
      <c r="C354" s="3" t="s">
        <v>994</v>
      </c>
      <c r="D354" s="3" t="n">
        <v>7</v>
      </c>
      <c r="E354" s="3" t="n">
        <v>6</v>
      </c>
      <c r="F354" s="3" t="s">
        <v>21</v>
      </c>
      <c r="G354" s="3" t="n">
        <v>1</v>
      </c>
      <c r="H354" s="3" t="n">
        <v>709</v>
      </c>
      <c r="I354" s="3" t="s">
        <v>22</v>
      </c>
      <c r="J354" s="3" t="n">
        <v>0</v>
      </c>
      <c r="K354" s="3" t="n">
        <v>2.485</v>
      </c>
      <c r="L354" s="3" t="n">
        <v>43</v>
      </c>
      <c r="M354" s="3" t="s">
        <v>23</v>
      </c>
      <c r="N354" s="3" t="n">
        <v>20</v>
      </c>
      <c r="O354" s="3" t="n">
        <v>7.9401</v>
      </c>
      <c r="P354" s="3" t="n">
        <v>-82.6865</v>
      </c>
      <c r="Q354" s="3" t="s">
        <v>992</v>
      </c>
      <c r="R354" s="3"/>
      <c r="S354" s="3" t="s">
        <v>160</v>
      </c>
    </row>
    <row r="355" customFormat="false" ht="13.8" hidden="false" customHeight="false" outlineLevel="0" collapsed="false">
      <c r="A355" s="3" t="s">
        <v>995</v>
      </c>
      <c r="B355" s="3" t="n">
        <v>6.6</v>
      </c>
      <c r="C355" s="3" t="s">
        <v>996</v>
      </c>
      <c r="D355" s="3" t="n">
        <v>1</v>
      </c>
      <c r="E355" s="3" t="n">
        <v>5</v>
      </c>
      <c r="F355" s="3" t="s">
        <v>21</v>
      </c>
      <c r="G355" s="3" t="n">
        <v>1</v>
      </c>
      <c r="H355" s="3" t="n">
        <v>670</v>
      </c>
      <c r="I355" s="3" t="s">
        <v>22</v>
      </c>
      <c r="J355" s="3" t="n">
        <v>0</v>
      </c>
      <c r="K355" s="3" t="n">
        <v>3.246</v>
      </c>
      <c r="L355" s="3" t="n">
        <v>12</v>
      </c>
      <c r="M355" s="3" t="s">
        <v>23</v>
      </c>
      <c r="N355" s="3" t="n">
        <v>23</v>
      </c>
      <c r="O355" s="3" t="n">
        <v>-6.5108</v>
      </c>
      <c r="P355" s="3" t="n">
        <v>154.46</v>
      </c>
      <c r="Q355" s="3" t="s">
        <v>736</v>
      </c>
      <c r="R355" s="3"/>
      <c r="S355" s="3"/>
    </row>
    <row r="356" customFormat="false" ht="13.8" hidden="false" customHeight="false" outlineLevel="0" collapsed="false">
      <c r="A356" s="3" t="s">
        <v>997</v>
      </c>
      <c r="B356" s="3" t="n">
        <v>6.6</v>
      </c>
      <c r="C356" s="3" t="s">
        <v>998</v>
      </c>
      <c r="D356" s="3" t="n">
        <v>1</v>
      </c>
      <c r="E356" s="3" t="n">
        <v>3</v>
      </c>
      <c r="F356" s="3" t="s">
        <v>21</v>
      </c>
      <c r="G356" s="3" t="n">
        <v>0</v>
      </c>
      <c r="H356" s="3" t="n">
        <v>670</v>
      </c>
      <c r="I356" s="3" t="s">
        <v>22</v>
      </c>
      <c r="J356" s="3" t="n">
        <v>0</v>
      </c>
      <c r="K356" s="3" t="n">
        <v>2.6</v>
      </c>
      <c r="L356" s="3" t="n">
        <v>9</v>
      </c>
      <c r="M356" s="3" t="s">
        <v>23</v>
      </c>
      <c r="N356" s="3" t="n">
        <v>614</v>
      </c>
      <c r="O356" s="3" t="n">
        <v>6.1572</v>
      </c>
      <c r="P356" s="3" t="n">
        <v>123.126</v>
      </c>
      <c r="Q356" s="3" t="s">
        <v>999</v>
      </c>
      <c r="R356" s="3"/>
      <c r="S356" s="3" t="s">
        <v>191</v>
      </c>
    </row>
    <row r="357" customFormat="false" ht="13.8" hidden="false" customHeight="false" outlineLevel="0" collapsed="false">
      <c r="A357" s="3" t="s">
        <v>1000</v>
      </c>
      <c r="B357" s="3" t="n">
        <v>6.8</v>
      </c>
      <c r="C357" s="3" t="s">
        <v>1001</v>
      </c>
      <c r="D357" s="3" t="n">
        <v>6</v>
      </c>
      <c r="E357" s="3" t="n">
        <v>5</v>
      </c>
      <c r="F357" s="3" t="s">
        <v>21</v>
      </c>
      <c r="G357" s="3" t="n">
        <v>1</v>
      </c>
      <c r="H357" s="3" t="n">
        <v>713</v>
      </c>
      <c r="I357" s="3" t="s">
        <v>22</v>
      </c>
      <c r="J357" s="3" t="n">
        <v>0</v>
      </c>
      <c r="K357" s="3" t="n">
        <v>1.421</v>
      </c>
      <c r="L357" s="3" t="n">
        <v>19</v>
      </c>
      <c r="M357" s="3" t="s">
        <v>23</v>
      </c>
      <c r="N357" s="3" t="n">
        <v>39</v>
      </c>
      <c r="O357" s="3" t="n">
        <v>1.9604</v>
      </c>
      <c r="P357" s="3" t="n">
        <v>126.575</v>
      </c>
      <c r="Q357" s="3" t="s">
        <v>1002</v>
      </c>
      <c r="R357" s="3"/>
      <c r="S357" s="3" t="s">
        <v>68</v>
      </c>
    </row>
    <row r="358" customFormat="false" ht="13.8" hidden="false" customHeight="false" outlineLevel="0" collapsed="false">
      <c r="A358" s="3" t="s">
        <v>1003</v>
      </c>
      <c r="B358" s="3" t="n">
        <v>6.5</v>
      </c>
      <c r="C358" s="3" t="s">
        <v>1004</v>
      </c>
      <c r="D358" s="3" t="n">
        <v>5</v>
      </c>
      <c r="E358" s="3" t="n">
        <v>5</v>
      </c>
      <c r="F358" s="3" t="s">
        <v>21</v>
      </c>
      <c r="G358" s="3" t="n">
        <v>1</v>
      </c>
      <c r="H358" s="3" t="n">
        <v>652</v>
      </c>
      <c r="I358" s="3" t="s">
        <v>22</v>
      </c>
      <c r="J358" s="3" t="n">
        <v>0</v>
      </c>
      <c r="K358" s="3" t="n">
        <v>1.549</v>
      </c>
      <c r="L358" s="3" t="n">
        <v>9</v>
      </c>
      <c r="M358" s="3" t="s">
        <v>23</v>
      </c>
      <c r="N358" s="3" t="n">
        <v>35</v>
      </c>
      <c r="O358" s="3" t="n">
        <v>2.2999</v>
      </c>
      <c r="P358" s="3" t="n">
        <v>127.056</v>
      </c>
      <c r="Q358" s="3" t="s">
        <v>128</v>
      </c>
      <c r="R358" s="3"/>
      <c r="S358" s="3" t="s">
        <v>68</v>
      </c>
    </row>
    <row r="359" customFormat="false" ht="13.8" hidden="false" customHeight="false" outlineLevel="0" collapsed="false">
      <c r="A359" s="3" t="s">
        <v>1005</v>
      </c>
      <c r="B359" s="3" t="n">
        <v>6.7</v>
      </c>
      <c r="C359" s="3" t="s">
        <v>1006</v>
      </c>
      <c r="D359" s="3" t="n">
        <v>7</v>
      </c>
      <c r="E359" s="3" t="n">
        <v>4</v>
      </c>
      <c r="F359" s="3" t="s">
        <v>21</v>
      </c>
      <c r="G359" s="3" t="n">
        <v>1</v>
      </c>
      <c r="H359" s="3" t="n">
        <v>698</v>
      </c>
      <c r="I359" s="3" t="s">
        <v>22</v>
      </c>
      <c r="J359" s="3" t="n">
        <v>0</v>
      </c>
      <c r="K359" s="3" t="n">
        <v>1.079</v>
      </c>
      <c r="L359" s="3" t="n">
        <v>25</v>
      </c>
      <c r="M359" s="3" t="s">
        <v>23</v>
      </c>
      <c r="N359" s="3" t="n">
        <v>22</v>
      </c>
      <c r="O359" s="3" t="n">
        <v>-37.6478</v>
      </c>
      <c r="P359" s="3" t="n">
        <v>179.662</v>
      </c>
      <c r="Q359" s="3" t="s">
        <v>342</v>
      </c>
      <c r="R359" s="3"/>
      <c r="S359" s="3"/>
    </row>
    <row r="360" customFormat="false" ht="13.8" hidden="false" customHeight="false" outlineLevel="0" collapsed="false">
      <c r="A360" s="3" t="s">
        <v>1007</v>
      </c>
      <c r="B360" s="3" t="n">
        <v>7.1</v>
      </c>
      <c r="C360" s="3" t="s">
        <v>1008</v>
      </c>
      <c r="D360" s="3" t="n">
        <v>4</v>
      </c>
      <c r="E360" s="3" t="n">
        <v>6</v>
      </c>
      <c r="F360" s="3" t="s">
        <v>21</v>
      </c>
      <c r="G360" s="3" t="n">
        <v>1</v>
      </c>
      <c r="H360" s="3" t="n">
        <v>779</v>
      </c>
      <c r="I360" s="3" t="s">
        <v>22</v>
      </c>
      <c r="J360" s="3" t="n">
        <v>0</v>
      </c>
      <c r="K360" s="3" t="n">
        <v>1.397</v>
      </c>
      <c r="L360" s="3" t="n">
        <v>18</v>
      </c>
      <c r="M360" s="3" t="s">
        <v>23</v>
      </c>
      <c r="N360" s="3" t="n">
        <v>45</v>
      </c>
      <c r="O360" s="3" t="n">
        <v>1.8929</v>
      </c>
      <c r="P360" s="3" t="n">
        <v>126.522</v>
      </c>
      <c r="Q360" s="3" t="s">
        <v>1002</v>
      </c>
      <c r="R360" s="3"/>
      <c r="S360" s="3" t="s">
        <v>68</v>
      </c>
    </row>
    <row r="361" customFormat="false" ht="13.8" hidden="false" customHeight="false" outlineLevel="0" collapsed="false">
      <c r="A361" s="3" t="s">
        <v>1009</v>
      </c>
      <c r="B361" s="3" t="n">
        <v>6.6</v>
      </c>
      <c r="C361" s="3" t="s">
        <v>1010</v>
      </c>
      <c r="D361" s="3" t="n">
        <v>2</v>
      </c>
      <c r="E361" s="3" t="n">
        <v>6</v>
      </c>
      <c r="F361" s="3" t="s">
        <v>21</v>
      </c>
      <c r="G361" s="3" t="n">
        <v>1</v>
      </c>
      <c r="H361" s="3" t="n">
        <v>671</v>
      </c>
      <c r="I361" s="3" t="s">
        <v>22</v>
      </c>
      <c r="J361" s="3" t="n">
        <v>0</v>
      </c>
      <c r="K361" s="3" t="n">
        <v>3.557</v>
      </c>
      <c r="L361" s="3" t="n">
        <v>13</v>
      </c>
      <c r="M361" s="3" t="s">
        <v>23</v>
      </c>
      <c r="N361" s="3" t="n">
        <v>53.19</v>
      </c>
      <c r="O361" s="3" t="n">
        <v>-5.9873</v>
      </c>
      <c r="P361" s="3" t="n">
        <v>148.232</v>
      </c>
      <c r="Q361" s="3" t="s">
        <v>1011</v>
      </c>
      <c r="R361" s="3"/>
      <c r="S361" s="3" t="s">
        <v>85</v>
      </c>
    </row>
    <row r="362" customFormat="false" ht="13.8" hidden="false" customHeight="false" outlineLevel="0" collapsed="false">
      <c r="A362" s="3" t="s">
        <v>1012</v>
      </c>
      <c r="B362" s="3" t="n">
        <v>7.1</v>
      </c>
      <c r="C362" s="3" t="s">
        <v>1013</v>
      </c>
      <c r="D362" s="3" t="n">
        <v>3</v>
      </c>
      <c r="E362" s="3" t="n">
        <v>6</v>
      </c>
      <c r="F362" s="3" t="s">
        <v>21</v>
      </c>
      <c r="G362" s="3" t="n">
        <v>1</v>
      </c>
      <c r="H362" s="3" t="n">
        <v>776</v>
      </c>
      <c r="I362" s="3" t="s">
        <v>22</v>
      </c>
      <c r="J362" s="3" t="n">
        <v>0</v>
      </c>
      <c r="K362" s="3" t="n">
        <v>4.415</v>
      </c>
      <c r="L362" s="3" t="n">
        <v>13</v>
      </c>
      <c r="M362" s="3" t="s">
        <v>23</v>
      </c>
      <c r="N362" s="3" t="n">
        <v>434</v>
      </c>
      <c r="O362" s="3" t="n">
        <v>-19.6903</v>
      </c>
      <c r="P362" s="3" t="n">
        <v>-177.759</v>
      </c>
      <c r="Q362" s="3" t="s">
        <v>792</v>
      </c>
      <c r="R362" s="3"/>
      <c r="S362" s="3"/>
    </row>
    <row r="363" customFormat="false" ht="13.8" hidden="false" customHeight="false" outlineLevel="0" collapsed="false">
      <c r="A363" s="3" t="s">
        <v>1014</v>
      </c>
      <c r="B363" s="3" t="n">
        <v>7.3</v>
      </c>
      <c r="C363" s="3" t="s">
        <v>1015</v>
      </c>
      <c r="D363" s="3" t="n">
        <v>8</v>
      </c>
      <c r="E363" s="3" t="n">
        <v>6</v>
      </c>
      <c r="F363" s="3" t="s">
        <v>28</v>
      </c>
      <c r="G363" s="3" t="n">
        <v>1</v>
      </c>
      <c r="H363" s="3" t="n">
        <v>982</v>
      </c>
      <c r="I363" s="3" t="s">
        <v>22</v>
      </c>
      <c r="J363" s="3" t="n">
        <v>0</v>
      </c>
      <c r="K363" s="3" t="n">
        <v>1.078</v>
      </c>
      <c r="L363" s="3" t="n">
        <v>18</v>
      </c>
      <c r="M363" s="3" t="s">
        <v>23</v>
      </c>
      <c r="N363" s="3" t="n">
        <v>40</v>
      </c>
      <c r="O363" s="3" t="n">
        <v>12.5262</v>
      </c>
      <c r="P363" s="3" t="n">
        <v>-88.1225</v>
      </c>
      <c r="Q363" s="3" t="s">
        <v>29</v>
      </c>
      <c r="R363" s="3"/>
      <c r="S363" s="3"/>
    </row>
    <row r="364" customFormat="false" ht="13.8" hidden="false" customHeight="false" outlineLevel="0" collapsed="false">
      <c r="A364" s="3" t="s">
        <v>1016</v>
      </c>
      <c r="B364" s="3" t="n">
        <v>6.7</v>
      </c>
      <c r="C364" s="3" t="s">
        <v>1017</v>
      </c>
      <c r="D364" s="3" t="n">
        <v>5</v>
      </c>
      <c r="E364" s="3" t="n">
        <v>5</v>
      </c>
      <c r="F364" s="3" t="s">
        <v>21</v>
      </c>
      <c r="G364" s="3" t="n">
        <v>1</v>
      </c>
      <c r="H364" s="3" t="n">
        <v>724</v>
      </c>
      <c r="I364" s="3" t="s">
        <v>22</v>
      </c>
      <c r="J364" s="3" t="n">
        <v>0</v>
      </c>
      <c r="K364" s="3" t="n">
        <v>0.46</v>
      </c>
      <c r="L364" s="3" t="n">
        <v>11</v>
      </c>
      <c r="M364" s="3" t="s">
        <v>23</v>
      </c>
      <c r="N364" s="3" t="n">
        <v>130</v>
      </c>
      <c r="O364" s="3" t="n">
        <v>13.7641</v>
      </c>
      <c r="P364" s="3" t="n">
        <v>144.429</v>
      </c>
      <c r="Q364" s="3" t="s">
        <v>1018</v>
      </c>
      <c r="R364" s="3"/>
      <c r="S364" s="3"/>
    </row>
    <row r="365" customFormat="false" ht="13.8" hidden="false" customHeight="false" outlineLevel="0" collapsed="false">
      <c r="A365" s="3" t="s">
        <v>1019</v>
      </c>
      <c r="B365" s="3" t="n">
        <v>6.8</v>
      </c>
      <c r="C365" s="3" t="s">
        <v>1020</v>
      </c>
      <c r="D365" s="3" t="n">
        <v>6</v>
      </c>
      <c r="E365" s="3" t="n">
        <v>6</v>
      </c>
      <c r="F365" s="3" t="s">
        <v>21</v>
      </c>
      <c r="G365" s="3" t="n">
        <v>1</v>
      </c>
      <c r="H365" s="3" t="n">
        <v>741</v>
      </c>
      <c r="I365" s="3" t="s">
        <v>22</v>
      </c>
      <c r="J365" s="3" t="n">
        <v>0</v>
      </c>
      <c r="K365" s="3" t="n">
        <v>4.107</v>
      </c>
      <c r="L365" s="3" t="n">
        <v>18</v>
      </c>
      <c r="M365" s="3" t="s">
        <v>23</v>
      </c>
      <c r="N365" s="3" t="n">
        <v>101</v>
      </c>
      <c r="O365" s="3" t="n">
        <v>-14.598</v>
      </c>
      <c r="P365" s="3" t="n">
        <v>-73.5714</v>
      </c>
      <c r="Q365" s="3" t="s">
        <v>1021</v>
      </c>
      <c r="R365" s="3" t="s">
        <v>33</v>
      </c>
      <c r="S365" s="3" t="s">
        <v>199</v>
      </c>
    </row>
    <row r="366" customFormat="false" ht="13.8" hidden="false" customHeight="false" outlineLevel="0" collapsed="false">
      <c r="A366" s="3" t="s">
        <v>1022</v>
      </c>
      <c r="B366" s="3" t="n">
        <v>6.9</v>
      </c>
      <c r="C366" s="3" t="s">
        <v>1023</v>
      </c>
      <c r="D366" s="3" t="n">
        <v>0</v>
      </c>
      <c r="E366" s="3" t="n">
        <v>4</v>
      </c>
      <c r="F366" s="3" t="s">
        <v>21</v>
      </c>
      <c r="G366" s="3" t="n">
        <v>1</v>
      </c>
      <c r="H366" s="3" t="n">
        <v>732</v>
      </c>
      <c r="I366" s="3" t="s">
        <v>22</v>
      </c>
      <c r="J366" s="3" t="n">
        <v>0</v>
      </c>
      <c r="K366" s="3" t="n">
        <v>6.393</v>
      </c>
      <c r="L366" s="3" t="n">
        <v>12</v>
      </c>
      <c r="M366" s="3" t="s">
        <v>23</v>
      </c>
      <c r="N366" s="3" t="n">
        <v>13</v>
      </c>
      <c r="O366" s="3" t="n">
        <v>0.8295</v>
      </c>
      <c r="P366" s="3" t="n">
        <v>146.169</v>
      </c>
      <c r="Q366" s="3" t="s">
        <v>1024</v>
      </c>
      <c r="R366" s="3"/>
      <c r="S366" s="3"/>
    </row>
    <row r="367" customFormat="false" ht="13.8" hidden="false" customHeight="false" outlineLevel="0" collapsed="false">
      <c r="A367" s="3" t="s">
        <v>790</v>
      </c>
      <c r="B367" s="3" t="n">
        <v>6.9</v>
      </c>
      <c r="C367" s="3" t="s">
        <v>1025</v>
      </c>
      <c r="D367" s="3" t="n">
        <v>0</v>
      </c>
      <c r="E367" s="3" t="n">
        <v>6</v>
      </c>
      <c r="F367" s="3" t="s">
        <v>21</v>
      </c>
      <c r="G367" s="3" t="n">
        <v>1</v>
      </c>
      <c r="H367" s="3" t="n">
        <v>732</v>
      </c>
      <c r="I367" s="3" t="s">
        <v>22</v>
      </c>
      <c r="J367" s="3" t="n">
        <v>0</v>
      </c>
      <c r="K367" s="3" t="n">
        <v>3.934</v>
      </c>
      <c r="L367" s="3" t="n">
        <v>15</v>
      </c>
      <c r="M367" s="3" t="s">
        <v>23</v>
      </c>
      <c r="N367" s="3" t="n">
        <v>615.42</v>
      </c>
      <c r="O367" s="3" t="n">
        <v>-19.8015</v>
      </c>
      <c r="P367" s="3" t="n">
        <v>-178.4</v>
      </c>
      <c r="Q367" s="3" t="s">
        <v>792</v>
      </c>
      <c r="R367" s="3"/>
      <c r="S367" s="3" t="s">
        <v>146</v>
      </c>
    </row>
    <row r="368" customFormat="false" ht="13.8" hidden="false" customHeight="false" outlineLevel="0" collapsed="false">
      <c r="A368" s="3" t="s">
        <v>1026</v>
      </c>
      <c r="B368" s="3" t="n">
        <v>6.5</v>
      </c>
      <c r="C368" s="3" t="s">
        <v>1027</v>
      </c>
      <c r="D368" s="3" t="n">
        <v>5</v>
      </c>
      <c r="E368" s="3" t="n">
        <v>4</v>
      </c>
      <c r="F368" s="3" t="s">
        <v>21</v>
      </c>
      <c r="G368" s="3" t="n">
        <v>1</v>
      </c>
      <c r="H368" s="3" t="n">
        <v>706</v>
      </c>
      <c r="I368" s="3" t="s">
        <v>22</v>
      </c>
      <c r="J368" s="3" t="n">
        <v>0</v>
      </c>
      <c r="K368" s="3" t="n">
        <v>2.421</v>
      </c>
      <c r="L368" s="3" t="n">
        <v>9</v>
      </c>
      <c r="M368" s="3" t="s">
        <v>23</v>
      </c>
      <c r="N368" s="3" t="n">
        <v>20</v>
      </c>
      <c r="O368" s="3" t="n">
        <v>37.0052</v>
      </c>
      <c r="P368" s="3" t="n">
        <v>142.452</v>
      </c>
      <c r="Q368" s="3" t="s">
        <v>217</v>
      </c>
      <c r="R368" s="3"/>
      <c r="S368" s="3"/>
    </row>
    <row r="369" customFormat="false" ht="13.8" hidden="false" customHeight="false" outlineLevel="0" collapsed="false">
      <c r="A369" s="3" t="s">
        <v>1028</v>
      </c>
      <c r="B369" s="3" t="n">
        <v>6.9</v>
      </c>
      <c r="C369" s="3" t="s">
        <v>1029</v>
      </c>
      <c r="D369" s="3" t="n">
        <v>8</v>
      </c>
      <c r="E369" s="3" t="n">
        <v>7</v>
      </c>
      <c r="F369" s="3" t="s">
        <v>95</v>
      </c>
      <c r="G369" s="3" t="n">
        <v>1</v>
      </c>
      <c r="H369" s="3" t="n">
        <v>1079</v>
      </c>
      <c r="I369" s="3" t="s">
        <v>22</v>
      </c>
      <c r="J369" s="3" t="n">
        <v>0</v>
      </c>
      <c r="K369" s="3" t="n">
        <v>0.263</v>
      </c>
      <c r="L369" s="3" t="n">
        <v>51</v>
      </c>
      <c r="M369" s="3" t="s">
        <v>23</v>
      </c>
      <c r="N369" s="3" t="n">
        <v>53</v>
      </c>
      <c r="O369" s="3" t="n">
        <v>14.724</v>
      </c>
      <c r="P369" s="3" t="n">
        <v>-92.4614</v>
      </c>
      <c r="Q369" s="3" t="s">
        <v>517</v>
      </c>
      <c r="R369" s="3"/>
      <c r="S369" s="3" t="s">
        <v>165</v>
      </c>
    </row>
    <row r="370" customFormat="false" ht="13.8" hidden="false" customHeight="false" outlineLevel="0" collapsed="false">
      <c r="A370" s="3" t="s">
        <v>1030</v>
      </c>
      <c r="B370" s="3" t="n">
        <v>6.5</v>
      </c>
      <c r="C370" s="3" t="s">
        <v>1031</v>
      </c>
      <c r="D370" s="3" t="n">
        <v>0</v>
      </c>
      <c r="E370" s="3" t="n">
        <v>4</v>
      </c>
      <c r="F370" s="3" t="s">
        <v>21</v>
      </c>
      <c r="G370" s="3" t="n">
        <v>1</v>
      </c>
      <c r="H370" s="3" t="n">
        <v>650</v>
      </c>
      <c r="I370" s="3" t="s">
        <v>22</v>
      </c>
      <c r="J370" s="3" t="n">
        <v>0</v>
      </c>
      <c r="K370" s="3" t="n">
        <v>2.124</v>
      </c>
      <c r="L370" s="3" t="n">
        <v>15</v>
      </c>
      <c r="M370" s="3" t="s">
        <v>23</v>
      </c>
      <c r="N370" s="3" t="n">
        <v>20</v>
      </c>
      <c r="O370" s="3" t="n">
        <v>-6.2304</v>
      </c>
      <c r="P370" s="3" t="n">
        <v>152.807</v>
      </c>
      <c r="Q370" s="3" t="s">
        <v>625</v>
      </c>
      <c r="R370" s="3"/>
      <c r="S370" s="3"/>
    </row>
    <row r="371" customFormat="false" ht="13.8" hidden="false" customHeight="false" outlineLevel="0" collapsed="false">
      <c r="A371" s="3" t="s">
        <v>1032</v>
      </c>
      <c r="B371" s="3" t="n">
        <v>6.7</v>
      </c>
      <c r="C371" s="3" t="s">
        <v>1033</v>
      </c>
      <c r="D371" s="3" t="n">
        <v>0</v>
      </c>
      <c r="E371" s="3" t="n">
        <v>5</v>
      </c>
      <c r="F371" s="3" t="s">
        <v>21</v>
      </c>
      <c r="G371" s="3" t="n">
        <v>1</v>
      </c>
      <c r="H371" s="3" t="n">
        <v>691</v>
      </c>
      <c r="I371" s="3" t="s">
        <v>22</v>
      </c>
      <c r="J371" s="3" t="n">
        <v>0</v>
      </c>
      <c r="K371" s="3" t="n">
        <v>6.713</v>
      </c>
      <c r="L371" s="3" t="n">
        <v>45</v>
      </c>
      <c r="M371" s="3" t="s">
        <v>23</v>
      </c>
      <c r="N371" s="3" t="n">
        <v>18</v>
      </c>
      <c r="O371" s="3" t="n">
        <v>-14.9831</v>
      </c>
      <c r="P371" s="3" t="n">
        <v>-175.51</v>
      </c>
      <c r="Q371" s="3" t="s">
        <v>1034</v>
      </c>
      <c r="R371" s="3"/>
      <c r="S371" s="3"/>
    </row>
    <row r="372" customFormat="false" ht="13.8" hidden="false" customHeight="false" outlineLevel="0" collapsed="false">
      <c r="A372" s="3" t="s">
        <v>281</v>
      </c>
      <c r="B372" s="3" t="n">
        <v>6.9</v>
      </c>
      <c r="C372" s="3" t="s">
        <v>1035</v>
      </c>
      <c r="D372" s="3" t="n">
        <v>0</v>
      </c>
      <c r="E372" s="3" t="n">
        <v>5</v>
      </c>
      <c r="F372" s="3" t="s">
        <v>21</v>
      </c>
      <c r="G372" s="3" t="n">
        <v>1</v>
      </c>
      <c r="H372" s="3" t="n">
        <v>732</v>
      </c>
      <c r="I372" s="3" t="s">
        <v>22</v>
      </c>
      <c r="J372" s="3" t="n">
        <v>0</v>
      </c>
      <c r="K372" s="3" t="n">
        <v>4.838</v>
      </c>
      <c r="L372" s="3" t="n">
        <v>25</v>
      </c>
      <c r="M372" s="3" t="s">
        <v>23</v>
      </c>
      <c r="N372" s="3" t="n">
        <v>8</v>
      </c>
      <c r="O372" s="3" t="n">
        <v>-55.4703</v>
      </c>
      <c r="P372" s="3" t="n">
        <v>-28.3669</v>
      </c>
      <c r="Q372" s="3" t="s">
        <v>275</v>
      </c>
      <c r="R372" s="3"/>
      <c r="S372" s="3"/>
    </row>
    <row r="373" customFormat="false" ht="13.8" hidden="false" customHeight="false" outlineLevel="0" collapsed="false">
      <c r="A373" s="3" t="s">
        <v>1036</v>
      </c>
      <c r="B373" s="3" t="n">
        <v>7.9</v>
      </c>
      <c r="C373" s="3" t="s">
        <v>1037</v>
      </c>
      <c r="D373" s="3" t="n">
        <v>6</v>
      </c>
      <c r="E373" s="3" t="n">
        <v>8</v>
      </c>
      <c r="F373" s="3" t="s">
        <v>21</v>
      </c>
      <c r="G373" s="3" t="n">
        <v>1</v>
      </c>
      <c r="H373" s="3" t="n">
        <v>963</v>
      </c>
      <c r="I373" s="3" t="s">
        <v>22</v>
      </c>
      <c r="J373" s="3" t="n">
        <v>0</v>
      </c>
      <c r="K373" s="3" t="n">
        <v>0.133</v>
      </c>
      <c r="L373" s="3" t="n">
        <v>22</v>
      </c>
      <c r="M373" s="3" t="s">
        <v>23</v>
      </c>
      <c r="N373" s="3" t="n">
        <v>109</v>
      </c>
      <c r="O373" s="3" t="n">
        <v>51.8486</v>
      </c>
      <c r="P373" s="3" t="n">
        <v>178.735</v>
      </c>
      <c r="Q373" s="3" t="s">
        <v>1038</v>
      </c>
      <c r="R373" s="3" t="s">
        <v>164</v>
      </c>
      <c r="S373" s="3" t="s">
        <v>261</v>
      </c>
    </row>
    <row r="374" customFormat="false" ht="13.8" hidden="false" customHeight="false" outlineLevel="0" collapsed="false">
      <c r="A374" s="3" t="s">
        <v>1039</v>
      </c>
      <c r="B374" s="3" t="n">
        <v>6.7</v>
      </c>
      <c r="C374" s="3" t="s">
        <v>1040</v>
      </c>
      <c r="D374" s="3" t="n">
        <v>0</v>
      </c>
      <c r="E374" s="3" t="n">
        <v>5</v>
      </c>
      <c r="F374" s="3" t="s">
        <v>21</v>
      </c>
      <c r="G374" s="3" t="n">
        <v>0</v>
      </c>
      <c r="H374" s="3" t="n">
        <v>691</v>
      </c>
      <c r="I374" s="3" t="s">
        <v>22</v>
      </c>
      <c r="J374" s="3" t="n">
        <v>0</v>
      </c>
      <c r="K374" s="3" t="n">
        <v>0.748</v>
      </c>
      <c r="L374" s="3" t="n">
        <v>43</v>
      </c>
      <c r="M374" s="3" t="s">
        <v>127</v>
      </c>
      <c r="N374" s="3" t="n">
        <v>26.59</v>
      </c>
      <c r="O374" s="3" t="n">
        <v>-29.9414</v>
      </c>
      <c r="P374" s="3" t="n">
        <v>-177.607</v>
      </c>
      <c r="Q374" s="3" t="s">
        <v>71</v>
      </c>
      <c r="R374" s="3"/>
      <c r="S374" s="3"/>
    </row>
    <row r="375" customFormat="false" ht="13.8" hidden="false" customHeight="false" outlineLevel="0" collapsed="false">
      <c r="A375" s="3" t="s">
        <v>307</v>
      </c>
      <c r="B375" s="3" t="n">
        <v>6.5</v>
      </c>
      <c r="C375" s="3" t="s">
        <v>1041</v>
      </c>
      <c r="D375" s="3" t="n">
        <v>0</v>
      </c>
      <c r="E375" s="3" t="n">
        <v>5</v>
      </c>
      <c r="F375" s="3" t="s">
        <v>21</v>
      </c>
      <c r="G375" s="3" t="n">
        <v>0</v>
      </c>
      <c r="H375" s="3" t="n">
        <v>650</v>
      </c>
      <c r="I375" s="3" t="s">
        <v>22</v>
      </c>
      <c r="J375" s="3" t="n">
        <v>0</v>
      </c>
      <c r="K375" s="3" t="n">
        <v>0.778</v>
      </c>
      <c r="L375" s="3" t="n">
        <v>30</v>
      </c>
      <c r="M375" s="3" t="s">
        <v>127</v>
      </c>
      <c r="N375" s="3" t="n">
        <v>10</v>
      </c>
      <c r="O375" s="3" t="n">
        <v>-29.9379</v>
      </c>
      <c r="P375" s="3" t="n">
        <v>-177.516</v>
      </c>
      <c r="Q375" s="3" t="s">
        <v>71</v>
      </c>
      <c r="R375" s="3"/>
      <c r="S375" s="3"/>
    </row>
    <row r="376" customFormat="false" ht="13.8" hidden="false" customHeight="false" outlineLevel="0" collapsed="false">
      <c r="A376" s="3" t="s">
        <v>100</v>
      </c>
      <c r="B376" s="3" t="n">
        <v>6.9</v>
      </c>
      <c r="C376" s="3" t="s">
        <v>1042</v>
      </c>
      <c r="D376" s="3" t="n">
        <v>0</v>
      </c>
      <c r="E376" s="3" t="n">
        <v>5</v>
      </c>
      <c r="F376" s="3" t="s">
        <v>21</v>
      </c>
      <c r="G376" s="3" t="n">
        <v>1</v>
      </c>
      <c r="H376" s="3" t="n">
        <v>732</v>
      </c>
      <c r="I376" s="3" t="s">
        <v>22</v>
      </c>
      <c r="J376" s="3" t="n">
        <v>0</v>
      </c>
      <c r="K376" s="3" t="n">
        <v>0.751</v>
      </c>
      <c r="L376" s="3" t="n">
        <v>35</v>
      </c>
      <c r="M376" s="3" t="s">
        <v>23</v>
      </c>
      <c r="N376" s="3" t="n">
        <v>20</v>
      </c>
      <c r="O376" s="3" t="n">
        <v>-29.9772</v>
      </c>
      <c r="P376" s="3" t="n">
        <v>-177.725</v>
      </c>
      <c r="Q376" s="3" t="s">
        <v>71</v>
      </c>
      <c r="R376" s="3"/>
      <c r="S376" s="3"/>
    </row>
    <row r="377" customFormat="false" ht="13.8" hidden="false" customHeight="false" outlineLevel="0" collapsed="false">
      <c r="A377" s="3" t="s">
        <v>1043</v>
      </c>
      <c r="B377" s="3" t="n">
        <v>6.9</v>
      </c>
      <c r="C377" s="3" t="s">
        <v>1044</v>
      </c>
      <c r="D377" s="3" t="n">
        <v>9</v>
      </c>
      <c r="E377" s="3" t="n">
        <v>7</v>
      </c>
      <c r="F377" s="3" t="s">
        <v>21</v>
      </c>
      <c r="G377" s="3" t="n">
        <v>0</v>
      </c>
      <c r="H377" s="3" t="n">
        <v>951</v>
      </c>
      <c r="I377" s="3" t="s">
        <v>22</v>
      </c>
      <c r="J377" s="3" t="n">
        <v>0</v>
      </c>
      <c r="K377" s="3" t="n">
        <v>0.402</v>
      </c>
      <c r="L377" s="3" t="n">
        <v>25</v>
      </c>
      <c r="M377" s="3" t="s">
        <v>23</v>
      </c>
      <c r="N377" s="3" t="n">
        <v>6.43</v>
      </c>
      <c r="O377" s="3" t="n">
        <v>40.2893</v>
      </c>
      <c r="P377" s="3" t="n">
        <v>25.3889</v>
      </c>
      <c r="Q377" s="3" t="s">
        <v>1045</v>
      </c>
      <c r="R377" s="3" t="s">
        <v>361</v>
      </c>
      <c r="S377" s="3" t="s">
        <v>362</v>
      </c>
    </row>
    <row r="378" customFormat="false" ht="13.8" hidden="false" customHeight="false" outlineLevel="0" collapsed="false">
      <c r="A378" s="3" t="s">
        <v>1046</v>
      </c>
      <c r="B378" s="3" t="n">
        <v>6.5</v>
      </c>
      <c r="C378" s="3" t="s">
        <v>1047</v>
      </c>
      <c r="D378" s="3" t="n">
        <v>7</v>
      </c>
      <c r="E378" s="3" t="n">
        <v>5</v>
      </c>
      <c r="F378" s="3" t="s">
        <v>21</v>
      </c>
      <c r="G378" s="3" t="n">
        <v>1</v>
      </c>
      <c r="H378" s="3" t="n">
        <v>694</v>
      </c>
      <c r="I378" s="3" t="s">
        <v>22</v>
      </c>
      <c r="J378" s="3" t="n">
        <v>0</v>
      </c>
      <c r="K378" s="3" t="n">
        <v>3.121</v>
      </c>
      <c r="L378" s="3" t="n">
        <v>33</v>
      </c>
      <c r="M378" s="3" t="s">
        <v>23</v>
      </c>
      <c r="N378" s="3" t="n">
        <v>10</v>
      </c>
      <c r="O378" s="3" t="n">
        <v>7.2096</v>
      </c>
      <c r="P378" s="3" t="n">
        <v>-82.3045</v>
      </c>
      <c r="Q378" s="3" t="s">
        <v>992</v>
      </c>
      <c r="R378" s="3"/>
      <c r="S378" s="3"/>
    </row>
    <row r="379" customFormat="false" ht="13.8" hidden="false" customHeight="false" outlineLevel="0" collapsed="false">
      <c r="A379" s="3" t="s">
        <v>1048</v>
      </c>
      <c r="B379" s="3" t="n">
        <v>6.6</v>
      </c>
      <c r="C379" s="3" t="s">
        <v>1049</v>
      </c>
      <c r="D379" s="3" t="n">
        <v>0</v>
      </c>
      <c r="E379" s="3" t="n">
        <v>5</v>
      </c>
      <c r="F379" s="3" t="s">
        <v>21</v>
      </c>
      <c r="G379" s="3" t="n">
        <v>1</v>
      </c>
      <c r="H379" s="3" t="n">
        <v>670</v>
      </c>
      <c r="I379" s="3" t="s">
        <v>22</v>
      </c>
      <c r="J379" s="3" t="n">
        <v>0</v>
      </c>
      <c r="K379" s="3" t="n">
        <v>3.34</v>
      </c>
      <c r="L379" s="3" t="n">
        <v>10</v>
      </c>
      <c r="M379" s="3" t="s">
        <v>23</v>
      </c>
      <c r="N379" s="3" t="n">
        <v>106</v>
      </c>
      <c r="O379" s="3" t="n">
        <v>-21.4542</v>
      </c>
      <c r="P379" s="3" t="n">
        <v>170.355</v>
      </c>
      <c r="Q379" s="3" t="s">
        <v>177</v>
      </c>
      <c r="R379" s="3"/>
      <c r="S379" s="3"/>
    </row>
    <row r="380" customFormat="false" ht="13.8" hidden="false" customHeight="false" outlineLevel="0" collapsed="false">
      <c r="A380" s="3" t="s">
        <v>1050</v>
      </c>
      <c r="B380" s="3" t="n">
        <v>6.5</v>
      </c>
      <c r="C380" s="3" t="s">
        <v>1051</v>
      </c>
      <c r="D380" s="3" t="n">
        <v>4</v>
      </c>
      <c r="E380" s="3" t="n">
        <v>6</v>
      </c>
      <c r="F380" s="3" t="s">
        <v>21</v>
      </c>
      <c r="G380" s="3" t="n">
        <v>1</v>
      </c>
      <c r="H380" s="3" t="n">
        <v>838</v>
      </c>
      <c r="I380" s="3" t="s">
        <v>22</v>
      </c>
      <c r="J380" s="3" t="n">
        <v>0</v>
      </c>
      <c r="K380" s="3" t="n">
        <v>0</v>
      </c>
      <c r="L380" s="3" t="n">
        <v>0</v>
      </c>
      <c r="M380" s="3" t="s">
        <v>23</v>
      </c>
      <c r="N380" s="3" t="n">
        <v>10</v>
      </c>
      <c r="O380" s="3" t="n">
        <v>49.6388</v>
      </c>
      <c r="P380" s="3" t="n">
        <v>-127.732</v>
      </c>
      <c r="Q380" s="3" t="s">
        <v>1052</v>
      </c>
      <c r="R380" s="3"/>
      <c r="S380" s="3"/>
    </row>
    <row r="381" customFormat="false" ht="13.8" hidden="false" customHeight="false" outlineLevel="0" collapsed="false">
      <c r="A381" s="3" t="s">
        <v>1053</v>
      </c>
      <c r="B381" s="3" t="n">
        <v>7.5</v>
      </c>
      <c r="C381" s="3" t="s">
        <v>1054</v>
      </c>
      <c r="D381" s="3" t="n">
        <v>0</v>
      </c>
      <c r="E381" s="3" t="n">
        <v>6</v>
      </c>
      <c r="F381" s="3" t="s">
        <v>21</v>
      </c>
      <c r="G381" s="3" t="n">
        <v>1</v>
      </c>
      <c r="H381" s="3" t="n">
        <v>865</v>
      </c>
      <c r="I381" s="3" t="s">
        <v>22</v>
      </c>
      <c r="J381" s="3" t="n">
        <v>0</v>
      </c>
      <c r="K381" s="3" t="n">
        <v>3.82</v>
      </c>
      <c r="L381" s="3" t="n">
        <v>16</v>
      </c>
      <c r="M381" s="3" t="s">
        <v>23</v>
      </c>
      <c r="N381" s="3" t="n">
        <v>43.37</v>
      </c>
      <c r="O381" s="3" t="n">
        <v>-6.7547</v>
      </c>
      <c r="P381" s="3" t="n">
        <v>155.024</v>
      </c>
      <c r="Q381" s="3" t="s">
        <v>736</v>
      </c>
      <c r="R381" s="3"/>
      <c r="S381" s="3"/>
    </row>
    <row r="382" customFormat="false" ht="13.8" hidden="false" customHeight="false" outlineLevel="0" collapsed="false">
      <c r="A382" s="3" t="s">
        <v>1055</v>
      </c>
      <c r="B382" s="3" t="n">
        <v>6.6</v>
      </c>
      <c r="C382" s="3" t="s">
        <v>1056</v>
      </c>
      <c r="D382" s="3" t="n">
        <v>0</v>
      </c>
      <c r="E382" s="3" t="n">
        <v>6</v>
      </c>
      <c r="F382" s="3" t="s">
        <v>21</v>
      </c>
      <c r="G382" s="3" t="n">
        <v>1</v>
      </c>
      <c r="H382" s="3" t="n">
        <v>670</v>
      </c>
      <c r="I382" s="3" t="s">
        <v>22</v>
      </c>
      <c r="J382" s="3" t="n">
        <v>0</v>
      </c>
      <c r="K382" s="3" t="n">
        <v>3.803</v>
      </c>
      <c r="L382" s="3" t="n">
        <v>11</v>
      </c>
      <c r="M382" s="3" t="s">
        <v>23</v>
      </c>
      <c r="N382" s="3" t="n">
        <v>29</v>
      </c>
      <c r="O382" s="3" t="n">
        <v>-6.6558</v>
      </c>
      <c r="P382" s="3" t="n">
        <v>155.087</v>
      </c>
      <c r="Q382" s="3" t="s">
        <v>736</v>
      </c>
      <c r="R382" s="3"/>
      <c r="S382" s="3" t="s">
        <v>85</v>
      </c>
    </row>
    <row r="383" customFormat="false" ht="13.8" hidden="false" customHeight="false" outlineLevel="0" collapsed="false">
      <c r="A383" s="3" t="s">
        <v>1057</v>
      </c>
      <c r="B383" s="3" t="n">
        <v>7.2</v>
      </c>
      <c r="C383" s="3" t="s">
        <v>1058</v>
      </c>
      <c r="D383" s="3" t="n">
        <v>8</v>
      </c>
      <c r="E383" s="3" t="n">
        <v>7</v>
      </c>
      <c r="F383" s="3" t="s">
        <v>28</v>
      </c>
      <c r="G383" s="3" t="n">
        <v>1</v>
      </c>
      <c r="H383" s="3" t="n">
        <v>1017</v>
      </c>
      <c r="I383" s="3" t="s">
        <v>22</v>
      </c>
      <c r="J383" s="3" t="n">
        <v>0</v>
      </c>
      <c r="K383" s="3" t="n">
        <v>2.25</v>
      </c>
      <c r="L383" s="3" t="n">
        <v>46</v>
      </c>
      <c r="M383" s="3" t="s">
        <v>23</v>
      </c>
      <c r="N383" s="3" t="n">
        <v>24</v>
      </c>
      <c r="O383" s="3" t="n">
        <v>17.397</v>
      </c>
      <c r="P383" s="3" t="n">
        <v>-100.972</v>
      </c>
      <c r="Q383" s="3" t="s">
        <v>1059</v>
      </c>
      <c r="R383" s="3" t="s">
        <v>164</v>
      </c>
      <c r="S383" s="3" t="s">
        <v>165</v>
      </c>
    </row>
    <row r="384" customFormat="false" ht="13.8" hidden="false" customHeight="false" outlineLevel="0" collapsed="false">
      <c r="A384" s="3" t="s">
        <v>1060</v>
      </c>
      <c r="B384" s="3" t="n">
        <v>6.6</v>
      </c>
      <c r="C384" s="3" t="s">
        <v>1061</v>
      </c>
      <c r="D384" s="3" t="n">
        <v>0</v>
      </c>
      <c r="E384" s="3" t="n">
        <v>6</v>
      </c>
      <c r="F384" s="3" t="s">
        <v>21</v>
      </c>
      <c r="G384" s="3" t="n">
        <v>0</v>
      </c>
      <c r="H384" s="3" t="n">
        <v>670</v>
      </c>
      <c r="I384" s="3" t="s">
        <v>22</v>
      </c>
      <c r="J384" s="3" t="n">
        <v>0</v>
      </c>
      <c r="K384" s="3" t="n">
        <v>2.666</v>
      </c>
      <c r="L384" s="3" t="n">
        <v>22</v>
      </c>
      <c r="M384" s="3" t="s">
        <v>23</v>
      </c>
      <c r="N384" s="3" t="n">
        <v>10</v>
      </c>
      <c r="O384" s="3" t="n">
        <v>-11.1284</v>
      </c>
      <c r="P384" s="3" t="n">
        <v>162.052</v>
      </c>
      <c r="Q384" s="3" t="s">
        <v>581</v>
      </c>
      <c r="R384" s="3"/>
      <c r="S384" s="3"/>
    </row>
    <row r="385" customFormat="false" ht="13.8" hidden="false" customHeight="false" outlineLevel="0" collapsed="false">
      <c r="A385" s="3" t="s">
        <v>1062</v>
      </c>
      <c r="B385" s="3" t="n">
        <v>7.4</v>
      </c>
      <c r="C385" s="3" t="s">
        <v>1063</v>
      </c>
      <c r="D385" s="3" t="n">
        <v>0</v>
      </c>
      <c r="E385" s="3" t="n">
        <v>6</v>
      </c>
      <c r="F385" s="3" t="s">
        <v>21</v>
      </c>
      <c r="G385" s="3" t="n">
        <v>1</v>
      </c>
      <c r="H385" s="3" t="n">
        <v>842</v>
      </c>
      <c r="I385" s="3" t="s">
        <v>22</v>
      </c>
      <c r="J385" s="3" t="n">
        <v>0</v>
      </c>
      <c r="K385" s="3" t="n">
        <v>2.885</v>
      </c>
      <c r="L385" s="3" t="n">
        <v>17</v>
      </c>
      <c r="M385" s="3" t="s">
        <v>23</v>
      </c>
      <c r="N385" s="3" t="n">
        <v>39</v>
      </c>
      <c r="O385" s="3" t="n">
        <v>-11.4633</v>
      </c>
      <c r="P385" s="3" t="n">
        <v>162.051</v>
      </c>
      <c r="Q385" s="3" t="s">
        <v>581</v>
      </c>
      <c r="R385" s="3"/>
      <c r="S385" s="3"/>
    </row>
    <row r="386" customFormat="false" ht="13.8" hidden="false" customHeight="false" outlineLevel="0" collapsed="false">
      <c r="A386" s="3" t="s">
        <v>1064</v>
      </c>
      <c r="B386" s="3" t="n">
        <v>7.6</v>
      </c>
      <c r="C386" s="3" t="s">
        <v>1065</v>
      </c>
      <c r="D386" s="3" t="n">
        <v>0</v>
      </c>
      <c r="E386" s="3" t="n">
        <v>7</v>
      </c>
      <c r="F386" s="3" t="s">
        <v>21</v>
      </c>
      <c r="G386" s="3" t="n">
        <v>1</v>
      </c>
      <c r="H386" s="3" t="n">
        <v>889</v>
      </c>
      <c r="I386" s="3" t="s">
        <v>22</v>
      </c>
      <c r="J386" s="3" t="n">
        <v>0</v>
      </c>
      <c r="K386" s="3" t="n">
        <v>2.828</v>
      </c>
      <c r="L386" s="3" t="n">
        <v>13</v>
      </c>
      <c r="M386" s="3" t="s">
        <v>23</v>
      </c>
      <c r="N386" s="3" t="n">
        <v>22.56</v>
      </c>
      <c r="O386" s="3" t="n">
        <v>-11.2701</v>
      </c>
      <c r="P386" s="3" t="n">
        <v>162.148</v>
      </c>
      <c r="Q386" s="3" t="s">
        <v>581</v>
      </c>
      <c r="R386" s="3"/>
      <c r="S386" s="3"/>
    </row>
    <row r="387" customFormat="false" ht="13.8" hidden="false" customHeight="false" outlineLevel="0" collapsed="false">
      <c r="A387" s="3" t="s">
        <v>1066</v>
      </c>
      <c r="B387" s="3" t="n">
        <v>6.6</v>
      </c>
      <c r="C387" s="3" t="s">
        <v>1067</v>
      </c>
      <c r="D387" s="3" t="n">
        <v>6</v>
      </c>
      <c r="E387" s="3" t="n">
        <v>5</v>
      </c>
      <c r="F387" s="3" t="s">
        <v>21</v>
      </c>
      <c r="G387" s="3" t="n">
        <v>1</v>
      </c>
      <c r="H387" s="3" t="n">
        <v>677</v>
      </c>
      <c r="I387" s="3" t="s">
        <v>22</v>
      </c>
      <c r="J387" s="3" t="n">
        <v>0</v>
      </c>
      <c r="K387" s="3" t="n">
        <v>0.761</v>
      </c>
      <c r="L387" s="3" t="n">
        <v>20</v>
      </c>
      <c r="M387" s="3" t="s">
        <v>23</v>
      </c>
      <c r="N387" s="3" t="n">
        <v>135</v>
      </c>
      <c r="O387" s="3" t="n">
        <v>11.642</v>
      </c>
      <c r="P387" s="3" t="n">
        <v>-85.8779</v>
      </c>
      <c r="Q387" s="3" t="s">
        <v>1068</v>
      </c>
      <c r="R387" s="3"/>
      <c r="S387" s="3" t="s">
        <v>1069</v>
      </c>
    </row>
    <row r="388" customFormat="false" ht="13.8" hidden="false" customHeight="false" outlineLevel="0" collapsed="false">
      <c r="A388" s="3" t="s">
        <v>1070</v>
      </c>
      <c r="B388" s="3" t="n">
        <v>6.5</v>
      </c>
      <c r="C388" s="3" t="s">
        <v>1071</v>
      </c>
      <c r="D388" s="3" t="n">
        <v>0</v>
      </c>
      <c r="E388" s="3" t="n">
        <v>6</v>
      </c>
      <c r="F388" s="3" t="s">
        <v>21</v>
      </c>
      <c r="G388" s="3" t="n">
        <v>1</v>
      </c>
      <c r="H388" s="3" t="n">
        <v>650</v>
      </c>
      <c r="I388" s="3" t="s">
        <v>22</v>
      </c>
      <c r="J388" s="3" t="n">
        <v>0</v>
      </c>
      <c r="K388" s="3" t="n">
        <v>3.787</v>
      </c>
      <c r="L388" s="3" t="n">
        <v>16</v>
      </c>
      <c r="M388" s="3" t="s">
        <v>23</v>
      </c>
      <c r="N388" s="3" t="n">
        <v>20</v>
      </c>
      <c r="O388" s="3" t="n">
        <v>-6.7878</v>
      </c>
      <c r="P388" s="3" t="n">
        <v>154.95</v>
      </c>
      <c r="Q388" s="3" t="s">
        <v>736</v>
      </c>
      <c r="R388" s="3"/>
      <c r="S388" s="3"/>
    </row>
    <row r="389" customFormat="false" ht="13.8" hidden="false" customHeight="false" outlineLevel="0" collapsed="false">
      <c r="A389" s="3" t="s">
        <v>1072</v>
      </c>
      <c r="B389" s="3" t="n">
        <v>7.1</v>
      </c>
      <c r="C389" s="3" t="s">
        <v>1073</v>
      </c>
      <c r="D389" s="3" t="n">
        <v>0</v>
      </c>
      <c r="E389" s="3" t="n">
        <v>7</v>
      </c>
      <c r="F389" s="3" t="s">
        <v>21</v>
      </c>
      <c r="G389" s="3" t="n">
        <v>1</v>
      </c>
      <c r="H389" s="3" t="n">
        <v>776</v>
      </c>
      <c r="I389" s="3" t="s">
        <v>22</v>
      </c>
      <c r="J389" s="3" t="n">
        <v>0</v>
      </c>
      <c r="K389" s="3" t="n">
        <v>3.729</v>
      </c>
      <c r="L389" s="3" t="n">
        <v>21</v>
      </c>
      <c r="M389" s="3" t="s">
        <v>23</v>
      </c>
      <c r="N389" s="3" t="n">
        <v>60.53</v>
      </c>
      <c r="O389" s="3" t="n">
        <v>-6.5858</v>
      </c>
      <c r="P389" s="3" t="n">
        <v>155.048</v>
      </c>
      <c r="Q389" s="3" t="s">
        <v>736</v>
      </c>
      <c r="R389" s="3"/>
      <c r="S389" s="3" t="s">
        <v>85</v>
      </c>
    </row>
    <row r="390" customFormat="false" ht="13.8" hidden="false" customHeight="false" outlineLevel="0" collapsed="false">
      <c r="A390" s="3" t="s">
        <v>1074</v>
      </c>
      <c r="B390" s="3" t="n">
        <v>7.7</v>
      </c>
      <c r="C390" s="3" t="s">
        <v>1075</v>
      </c>
      <c r="D390" s="3" t="n">
        <v>8</v>
      </c>
      <c r="E390" s="3" t="n">
        <v>9</v>
      </c>
      <c r="F390" s="3" t="s">
        <v>28</v>
      </c>
      <c r="G390" s="3" t="n">
        <v>1</v>
      </c>
      <c r="H390" s="3" t="n">
        <v>1057</v>
      </c>
      <c r="I390" s="3" t="s">
        <v>22</v>
      </c>
      <c r="J390" s="3" t="n">
        <v>0</v>
      </c>
      <c r="K390" s="3" t="n">
        <v>1.029</v>
      </c>
      <c r="L390" s="3" t="n">
        <v>44</v>
      </c>
      <c r="M390" s="3" t="s">
        <v>23</v>
      </c>
      <c r="N390" s="3" t="n">
        <v>22.4</v>
      </c>
      <c r="O390" s="3" t="n">
        <v>-20.5709</v>
      </c>
      <c r="P390" s="3" t="n">
        <v>-70.4931</v>
      </c>
      <c r="Q390" s="3" t="s">
        <v>1076</v>
      </c>
      <c r="R390" s="3"/>
      <c r="S390" s="3"/>
    </row>
    <row r="391" customFormat="false" ht="13.8" hidden="false" customHeight="false" outlineLevel="0" collapsed="false">
      <c r="A391" s="3" t="s">
        <v>1077</v>
      </c>
      <c r="B391" s="3" t="n">
        <v>6.5</v>
      </c>
      <c r="C391" s="3" t="s">
        <v>1078</v>
      </c>
      <c r="D391" s="3" t="n">
        <v>7</v>
      </c>
      <c r="E391" s="3" t="n">
        <v>7</v>
      </c>
      <c r="F391" s="3" t="s">
        <v>21</v>
      </c>
      <c r="G391" s="3" t="n">
        <v>0</v>
      </c>
      <c r="H391" s="3" t="n">
        <v>670</v>
      </c>
      <c r="I391" s="3" t="s">
        <v>22</v>
      </c>
      <c r="J391" s="3" t="n">
        <v>0</v>
      </c>
      <c r="K391" s="3" t="n">
        <v>0.828</v>
      </c>
      <c r="L391" s="3" t="n">
        <v>82</v>
      </c>
      <c r="M391" s="3" t="s">
        <v>23</v>
      </c>
      <c r="N391" s="3" t="n">
        <v>24.07</v>
      </c>
      <c r="O391" s="3" t="n">
        <v>-20.3113</v>
      </c>
      <c r="P391" s="3" t="n">
        <v>-70.5756</v>
      </c>
      <c r="Q391" s="3" t="s">
        <v>1076</v>
      </c>
      <c r="R391" s="3"/>
      <c r="S391" s="3"/>
    </row>
    <row r="392" customFormat="false" ht="13.8" hidden="false" customHeight="false" outlineLevel="0" collapsed="false">
      <c r="A392" s="3" t="s">
        <v>1079</v>
      </c>
      <c r="B392" s="3" t="n">
        <v>6.9</v>
      </c>
      <c r="C392" s="3" t="s">
        <v>1080</v>
      </c>
      <c r="D392" s="3" t="n">
        <v>0</v>
      </c>
      <c r="E392" s="3" t="n">
        <v>5</v>
      </c>
      <c r="F392" s="3" t="s">
        <v>21</v>
      </c>
      <c r="G392" s="3" t="n">
        <v>0</v>
      </c>
      <c r="H392" s="3" t="n">
        <v>732</v>
      </c>
      <c r="I392" s="3" t="s">
        <v>22</v>
      </c>
      <c r="J392" s="3" t="n">
        <v>0</v>
      </c>
      <c r="K392" s="3" t="n">
        <v>0.828</v>
      </c>
      <c r="L392" s="3" t="n">
        <v>119</v>
      </c>
      <c r="M392" s="3" t="s">
        <v>23</v>
      </c>
      <c r="N392" s="3" t="n">
        <v>28.42</v>
      </c>
      <c r="O392" s="3" t="n">
        <v>-19.8927</v>
      </c>
      <c r="P392" s="3" t="n">
        <v>-70.9455</v>
      </c>
      <c r="Q392" s="3" t="s">
        <v>1076</v>
      </c>
      <c r="R392" s="3"/>
      <c r="S392" s="3"/>
    </row>
    <row r="393" customFormat="false" ht="13.8" hidden="false" customHeight="false" outlineLevel="0" collapsed="false">
      <c r="A393" s="3" t="s">
        <v>1081</v>
      </c>
      <c r="B393" s="3" t="n">
        <v>8.2</v>
      </c>
      <c r="C393" s="3" t="s">
        <v>1082</v>
      </c>
      <c r="D393" s="3" t="n">
        <v>9</v>
      </c>
      <c r="E393" s="3" t="n">
        <v>8</v>
      </c>
      <c r="F393" s="3" t="s">
        <v>28</v>
      </c>
      <c r="G393" s="3" t="n">
        <v>1</v>
      </c>
      <c r="H393" s="3" t="n">
        <v>1332</v>
      </c>
      <c r="I393" s="3" t="s">
        <v>22</v>
      </c>
      <c r="J393" s="3" t="n">
        <v>0</v>
      </c>
      <c r="K393" s="3" t="n">
        <v>0.609</v>
      </c>
      <c r="L393" s="3" t="n">
        <v>23</v>
      </c>
      <c r="M393" s="3" t="s">
        <v>23</v>
      </c>
      <c r="N393" s="3" t="n">
        <v>25</v>
      </c>
      <c r="O393" s="3" t="n">
        <v>-19.6097</v>
      </c>
      <c r="P393" s="3" t="n">
        <v>-70.7691</v>
      </c>
      <c r="Q393" s="3" t="s">
        <v>1076</v>
      </c>
      <c r="R393" s="3"/>
      <c r="S393" s="3"/>
    </row>
    <row r="394" customFormat="false" ht="13.8" hidden="false" customHeight="false" outlineLevel="0" collapsed="false">
      <c r="A394" s="3" t="s">
        <v>1083</v>
      </c>
      <c r="B394" s="3" t="n">
        <v>6.7</v>
      </c>
      <c r="C394" s="3" t="s">
        <v>1084</v>
      </c>
      <c r="D394" s="3" t="n">
        <v>7</v>
      </c>
      <c r="E394" s="3" t="n">
        <v>7</v>
      </c>
      <c r="F394" s="3" t="s">
        <v>21</v>
      </c>
      <c r="G394" s="3" t="n">
        <v>1</v>
      </c>
      <c r="H394" s="3" t="n">
        <v>718</v>
      </c>
      <c r="I394" s="3" t="s">
        <v>22</v>
      </c>
      <c r="J394" s="3" t="n">
        <v>0</v>
      </c>
      <c r="K394" s="3" t="n">
        <v>1.008</v>
      </c>
      <c r="L394" s="3" t="n">
        <v>44</v>
      </c>
      <c r="M394" s="3" t="s">
        <v>23</v>
      </c>
      <c r="N394" s="3" t="n">
        <v>20</v>
      </c>
      <c r="O394" s="3" t="n">
        <v>-19.9807</v>
      </c>
      <c r="P394" s="3" t="n">
        <v>-70.7022</v>
      </c>
      <c r="Q394" s="3" t="s">
        <v>1076</v>
      </c>
      <c r="R394" s="3"/>
      <c r="S394" s="3"/>
    </row>
    <row r="395" customFormat="false" ht="13.8" hidden="false" customHeight="false" outlineLevel="0" collapsed="false">
      <c r="A395" s="3" t="s">
        <v>1085</v>
      </c>
      <c r="B395" s="3" t="n">
        <v>6.8</v>
      </c>
      <c r="C395" s="3" t="s">
        <v>1086</v>
      </c>
      <c r="D395" s="3" t="n">
        <v>5</v>
      </c>
      <c r="E395" s="3" t="n">
        <v>5</v>
      </c>
      <c r="F395" s="3" t="s">
        <v>21</v>
      </c>
      <c r="G395" s="3" t="n">
        <v>1</v>
      </c>
      <c r="H395" s="3" t="n">
        <v>1211</v>
      </c>
      <c r="I395" s="3" t="s">
        <v>1087</v>
      </c>
      <c r="J395" s="3" t="n">
        <v>112</v>
      </c>
      <c r="K395" s="3" t="n">
        <v>0.6568</v>
      </c>
      <c r="L395" s="3" t="n">
        <v>229</v>
      </c>
      <c r="M395" s="3" t="s">
        <v>485</v>
      </c>
      <c r="N395" s="3" t="n">
        <v>16.441</v>
      </c>
      <c r="O395" s="3" t="n">
        <v>40.8287</v>
      </c>
      <c r="P395" s="3" t="n">
        <v>-125.134</v>
      </c>
      <c r="Q395" s="3" t="s">
        <v>1088</v>
      </c>
      <c r="R395" s="3"/>
      <c r="S395" s="3"/>
    </row>
    <row r="396" customFormat="false" ht="13.8" hidden="false" customHeight="false" outlineLevel="0" collapsed="false">
      <c r="A396" s="3" t="s">
        <v>1089</v>
      </c>
      <c r="B396" s="3" t="n">
        <v>6.5</v>
      </c>
      <c r="C396" s="3" t="s">
        <v>1090</v>
      </c>
      <c r="D396" s="3" t="n">
        <v>4</v>
      </c>
      <c r="E396" s="3" t="n">
        <v>5</v>
      </c>
      <c r="F396" s="3" t="s">
        <v>21</v>
      </c>
      <c r="G396" s="3" t="n">
        <v>1</v>
      </c>
      <c r="H396" s="3" t="n">
        <v>668</v>
      </c>
      <c r="I396" s="3" t="s">
        <v>22</v>
      </c>
      <c r="J396" s="3" t="n">
        <v>0</v>
      </c>
      <c r="K396" s="3" t="n">
        <v>1.001</v>
      </c>
      <c r="L396" s="3" t="n">
        <v>17</v>
      </c>
      <c r="M396" s="3" t="s">
        <v>23</v>
      </c>
      <c r="N396" s="3" t="n">
        <v>119</v>
      </c>
      <c r="O396" s="3" t="n">
        <v>27.4312</v>
      </c>
      <c r="P396" s="3" t="n">
        <v>127.367</v>
      </c>
      <c r="Q396" s="3" t="s">
        <v>1091</v>
      </c>
      <c r="R396" s="3"/>
      <c r="S396" s="3"/>
    </row>
    <row r="397" customFormat="false" ht="13.8" hidden="false" customHeight="false" outlineLevel="0" collapsed="false">
      <c r="A397" s="3" t="s">
        <v>1092</v>
      </c>
      <c r="B397" s="3" t="n">
        <v>6.5</v>
      </c>
      <c r="C397" s="3" t="s">
        <v>1093</v>
      </c>
      <c r="D397" s="3" t="n">
        <v>5</v>
      </c>
      <c r="E397" s="3" t="n">
        <v>4</v>
      </c>
      <c r="F397" s="3" t="s">
        <v>21</v>
      </c>
      <c r="G397" s="3" t="n">
        <v>1</v>
      </c>
      <c r="H397" s="3" t="n">
        <v>681</v>
      </c>
      <c r="I397" s="3" t="s">
        <v>22</v>
      </c>
      <c r="J397" s="3" t="n">
        <v>0</v>
      </c>
      <c r="K397" s="3" t="n">
        <v>1.635</v>
      </c>
      <c r="L397" s="3" t="n">
        <v>30</v>
      </c>
      <c r="M397" s="3" t="s">
        <v>23</v>
      </c>
      <c r="N397" s="3" t="n">
        <v>14.83</v>
      </c>
      <c r="O397" s="3" t="n">
        <v>14.6682</v>
      </c>
      <c r="P397" s="3" t="n">
        <v>-58.9272</v>
      </c>
      <c r="Q397" s="3" t="s">
        <v>1094</v>
      </c>
      <c r="R397" s="3"/>
      <c r="S397" s="3"/>
    </row>
    <row r="398" customFormat="false" ht="13.8" hidden="false" customHeight="false" outlineLevel="0" collapsed="false">
      <c r="A398" s="3" t="s">
        <v>1095</v>
      </c>
      <c r="B398" s="3" t="n">
        <v>6.9</v>
      </c>
      <c r="C398" s="3" t="s">
        <v>1096</v>
      </c>
      <c r="D398" s="3" t="n">
        <v>3</v>
      </c>
      <c r="E398" s="3" t="n">
        <v>8</v>
      </c>
      <c r="F398" s="3" t="s">
        <v>28</v>
      </c>
      <c r="G398" s="3" t="n">
        <v>0</v>
      </c>
      <c r="H398" s="3" t="n">
        <v>733</v>
      </c>
      <c r="I398" s="3" t="s">
        <v>22</v>
      </c>
      <c r="J398" s="3" t="n">
        <v>0</v>
      </c>
      <c r="K398" s="3" t="n">
        <v>7.496</v>
      </c>
      <c r="L398" s="3" t="n">
        <v>18</v>
      </c>
      <c r="M398" s="3" t="s">
        <v>23</v>
      </c>
      <c r="N398" s="3" t="n">
        <v>10</v>
      </c>
      <c r="O398" s="3" t="n">
        <v>35.9053</v>
      </c>
      <c r="P398" s="3" t="n">
        <v>82.5864</v>
      </c>
      <c r="Q398" s="3" t="s">
        <v>1097</v>
      </c>
      <c r="R398" s="3" t="s">
        <v>80</v>
      </c>
      <c r="S398" s="3" t="s">
        <v>184</v>
      </c>
    </row>
    <row r="399" customFormat="false" ht="13.8" hidden="false" customHeight="false" outlineLevel="0" collapsed="false">
      <c r="A399" s="3" t="s">
        <v>1098</v>
      </c>
      <c r="B399" s="3" t="n">
        <v>6.5</v>
      </c>
      <c r="C399" s="3" t="s">
        <v>1099</v>
      </c>
      <c r="D399" s="3" t="n">
        <v>0</v>
      </c>
      <c r="E399" s="3" t="n">
        <v>5</v>
      </c>
      <c r="F399" s="3" t="s">
        <v>21</v>
      </c>
      <c r="G399" s="3" t="n">
        <v>1</v>
      </c>
      <c r="H399" s="3" t="n">
        <v>650</v>
      </c>
      <c r="I399" s="3" t="s">
        <v>22</v>
      </c>
      <c r="J399" s="3" t="n">
        <v>0</v>
      </c>
      <c r="K399" s="3" t="n">
        <v>0.409</v>
      </c>
      <c r="L399" s="3" t="n">
        <v>20</v>
      </c>
      <c r="M399" s="3" t="s">
        <v>23</v>
      </c>
      <c r="N399" s="3" t="n">
        <v>122</v>
      </c>
      <c r="O399" s="3" t="n">
        <v>-15.0691</v>
      </c>
      <c r="P399" s="3" t="n">
        <v>167.372</v>
      </c>
      <c r="Q399" s="3" t="s">
        <v>104</v>
      </c>
      <c r="R399" s="3"/>
      <c r="S399" s="3" t="s">
        <v>25</v>
      </c>
    </row>
    <row r="400" customFormat="false" ht="13.8" hidden="false" customHeight="false" outlineLevel="0" collapsed="false">
      <c r="A400" s="3" t="s">
        <v>1100</v>
      </c>
      <c r="B400" s="3" t="n">
        <v>6.5</v>
      </c>
      <c r="C400" s="3" t="s">
        <v>1101</v>
      </c>
      <c r="D400" s="3" t="n">
        <v>0</v>
      </c>
      <c r="E400" s="3" t="n">
        <v>3</v>
      </c>
      <c r="F400" s="3" t="s">
        <v>21</v>
      </c>
      <c r="G400" s="3" t="n">
        <v>1</v>
      </c>
      <c r="H400" s="3" t="n">
        <v>650</v>
      </c>
      <c r="I400" s="3" t="s">
        <v>22</v>
      </c>
      <c r="J400" s="3" t="n">
        <v>0</v>
      </c>
      <c r="K400" s="3" t="n">
        <v>3.651</v>
      </c>
      <c r="L400" s="3" t="n">
        <v>22</v>
      </c>
      <c r="M400" s="3" t="s">
        <v>23</v>
      </c>
      <c r="N400" s="3" t="n">
        <v>44.26</v>
      </c>
      <c r="O400" s="3" t="n">
        <v>-32.9076</v>
      </c>
      <c r="P400" s="3" t="n">
        <v>-177.881</v>
      </c>
      <c r="Q400" s="3" t="s">
        <v>187</v>
      </c>
      <c r="R400" s="3"/>
      <c r="S400" s="3"/>
    </row>
    <row r="401" customFormat="false" ht="13.8" hidden="false" customHeight="false" outlineLevel="0" collapsed="false">
      <c r="A401" s="3" t="s">
        <v>1102</v>
      </c>
      <c r="B401" s="3" t="n">
        <v>6.5</v>
      </c>
      <c r="C401" s="3" t="s">
        <v>1103</v>
      </c>
      <c r="D401" s="3" t="n">
        <v>0</v>
      </c>
      <c r="E401" s="3" t="n">
        <v>4</v>
      </c>
      <c r="F401" s="3" t="s">
        <v>21</v>
      </c>
      <c r="G401" s="3" t="n">
        <v>1</v>
      </c>
      <c r="H401" s="3" t="n">
        <v>650</v>
      </c>
      <c r="I401" s="3" t="s">
        <v>22</v>
      </c>
      <c r="J401" s="3" t="n">
        <v>0</v>
      </c>
      <c r="K401" s="3" t="n">
        <v>3.997</v>
      </c>
      <c r="L401" s="3" t="n">
        <v>14</v>
      </c>
      <c r="M401" s="3" t="s">
        <v>23</v>
      </c>
      <c r="N401" s="3" t="n">
        <v>187</v>
      </c>
      <c r="O401" s="3" t="n">
        <v>-13.8633</v>
      </c>
      <c r="P401" s="3" t="n">
        <v>167.249</v>
      </c>
      <c r="Q401" s="3" t="s">
        <v>24</v>
      </c>
      <c r="R401" s="3"/>
      <c r="S401" s="3" t="s">
        <v>25</v>
      </c>
    </row>
    <row r="402" customFormat="false" ht="13.8" hidden="false" customHeight="false" outlineLevel="0" collapsed="false">
      <c r="A402" s="3" t="s">
        <v>1104</v>
      </c>
      <c r="B402" s="3" t="n">
        <v>6.5</v>
      </c>
      <c r="C402" s="3" t="s">
        <v>1105</v>
      </c>
      <c r="D402" s="3" t="n">
        <v>3</v>
      </c>
      <c r="E402" s="3" t="n">
        <v>4</v>
      </c>
      <c r="F402" s="3" t="s">
        <v>21</v>
      </c>
      <c r="G402" s="3" t="n">
        <v>0</v>
      </c>
      <c r="H402" s="3" t="n">
        <v>651</v>
      </c>
      <c r="I402" s="3" t="s">
        <v>22</v>
      </c>
      <c r="J402" s="3" t="n">
        <v>0</v>
      </c>
      <c r="K402" s="3" t="n">
        <v>5.194</v>
      </c>
      <c r="L402" s="3" t="n">
        <v>22</v>
      </c>
      <c r="M402" s="3" t="s">
        <v>23</v>
      </c>
      <c r="N402" s="3" t="n">
        <v>371</v>
      </c>
      <c r="O402" s="3" t="n">
        <v>-17.1171</v>
      </c>
      <c r="P402" s="3" t="n">
        <v>-176.545</v>
      </c>
      <c r="Q402" s="3" t="s">
        <v>792</v>
      </c>
      <c r="R402" s="3"/>
      <c r="S402" s="3"/>
    </row>
    <row r="403" customFormat="false" ht="13.8" hidden="false" customHeight="false" outlineLevel="0" collapsed="false">
      <c r="A403" s="3" t="s">
        <v>1106</v>
      </c>
      <c r="B403" s="3" t="n">
        <v>7.7</v>
      </c>
      <c r="C403" s="3" t="s">
        <v>1107</v>
      </c>
      <c r="D403" s="3" t="n">
        <v>1</v>
      </c>
      <c r="E403" s="3" t="n">
        <v>8</v>
      </c>
      <c r="F403" s="3" t="s">
        <v>21</v>
      </c>
      <c r="G403" s="3" t="n">
        <v>1</v>
      </c>
      <c r="H403" s="3" t="n">
        <v>912</v>
      </c>
      <c r="I403" s="3" t="s">
        <v>22</v>
      </c>
      <c r="J403" s="3" t="n">
        <v>0</v>
      </c>
      <c r="K403" s="3" t="n">
        <v>8.05</v>
      </c>
      <c r="L403" s="3" t="n">
        <v>23</v>
      </c>
      <c r="M403" s="3" t="s">
        <v>23</v>
      </c>
      <c r="N403" s="3" t="n">
        <v>10</v>
      </c>
      <c r="O403" s="3" t="n">
        <v>-60.2738</v>
      </c>
      <c r="P403" s="3" t="n">
        <v>-46.4011</v>
      </c>
      <c r="Q403" s="3" t="s">
        <v>1108</v>
      </c>
      <c r="R403" s="3"/>
      <c r="S403" s="3" t="s">
        <v>464</v>
      </c>
    </row>
    <row r="404" customFormat="false" ht="13.8" hidden="false" customHeight="false" outlineLevel="0" collapsed="false">
      <c r="A404" s="3" t="s">
        <v>1109</v>
      </c>
      <c r="B404" s="3" t="n">
        <v>6.9</v>
      </c>
      <c r="C404" s="3" t="s">
        <v>1110</v>
      </c>
      <c r="D404" s="3" t="n">
        <v>0</v>
      </c>
      <c r="E404" s="3" t="n">
        <v>5</v>
      </c>
      <c r="F404" s="3" t="s">
        <v>21</v>
      </c>
      <c r="G404" s="3" t="n">
        <v>1</v>
      </c>
      <c r="H404" s="3" t="n">
        <v>732</v>
      </c>
      <c r="I404" s="3" t="s">
        <v>22</v>
      </c>
      <c r="J404" s="3" t="n">
        <v>0</v>
      </c>
      <c r="K404" s="3" t="n">
        <v>8.284</v>
      </c>
      <c r="L404" s="3" t="n">
        <v>17</v>
      </c>
      <c r="M404" s="3" t="s">
        <v>23</v>
      </c>
      <c r="N404" s="3" t="n">
        <v>9.97</v>
      </c>
      <c r="O404" s="3" t="n">
        <v>-60.2627</v>
      </c>
      <c r="P404" s="3" t="n">
        <v>-47.0621</v>
      </c>
      <c r="Q404" s="3" t="s">
        <v>1108</v>
      </c>
      <c r="R404" s="3"/>
      <c r="S404" s="3" t="s">
        <v>464</v>
      </c>
    </row>
    <row r="405" customFormat="false" ht="13.8" hidden="false" customHeight="false" outlineLevel="0" collapsed="false">
      <c r="A405" s="3" t="s">
        <v>1111</v>
      </c>
      <c r="B405" s="3" t="n">
        <v>6.6</v>
      </c>
      <c r="C405" s="3" t="s">
        <v>1112</v>
      </c>
      <c r="D405" s="3" t="n">
        <v>6</v>
      </c>
      <c r="E405" s="3" t="n">
        <v>7</v>
      </c>
      <c r="F405" s="3" t="s">
        <v>21</v>
      </c>
      <c r="G405" s="3" t="n">
        <v>1</v>
      </c>
      <c r="H405" s="3" t="n">
        <v>723</v>
      </c>
      <c r="I405" s="3" t="s">
        <v>22</v>
      </c>
      <c r="J405" s="3" t="n">
        <v>0</v>
      </c>
      <c r="K405" s="3" t="n">
        <v>0.636</v>
      </c>
      <c r="L405" s="3" t="n">
        <v>31</v>
      </c>
      <c r="M405" s="3" t="s">
        <v>23</v>
      </c>
      <c r="N405" s="3" t="n">
        <v>27</v>
      </c>
      <c r="O405" s="3" t="n">
        <v>-30.2921</v>
      </c>
      <c r="P405" s="3" t="n">
        <v>-71.5215</v>
      </c>
      <c r="Q405" s="3" t="s">
        <v>523</v>
      </c>
      <c r="R405" s="3" t="s">
        <v>33</v>
      </c>
      <c r="S405" s="3" t="s">
        <v>373</v>
      </c>
    </row>
    <row r="406" customFormat="false" ht="13.8" hidden="false" customHeight="false" outlineLevel="0" collapsed="false">
      <c r="A406" s="3" t="s">
        <v>1113</v>
      </c>
      <c r="B406" s="3" t="n">
        <v>7.1</v>
      </c>
      <c r="C406" s="3" t="s">
        <v>1114</v>
      </c>
      <c r="D406" s="3" t="n">
        <v>6</v>
      </c>
      <c r="E406" s="3" t="n">
        <v>4</v>
      </c>
      <c r="F406" s="3" t="s">
        <v>21</v>
      </c>
      <c r="G406" s="3" t="n">
        <v>1</v>
      </c>
      <c r="H406" s="3" t="n">
        <v>872</v>
      </c>
      <c r="I406" s="3" t="s">
        <v>22</v>
      </c>
      <c r="J406" s="3" t="n">
        <v>0</v>
      </c>
      <c r="K406" s="3" t="n">
        <v>3.968</v>
      </c>
      <c r="L406" s="3" t="n">
        <v>10</v>
      </c>
      <c r="M406" s="3" t="s">
        <v>23</v>
      </c>
      <c r="N406" s="3" t="n">
        <v>35</v>
      </c>
      <c r="O406" s="3" t="n">
        <v>37.1557</v>
      </c>
      <c r="P406" s="3" t="n">
        <v>144.661</v>
      </c>
      <c r="Q406" s="3" t="s">
        <v>1115</v>
      </c>
      <c r="R406" s="3"/>
      <c r="S406" s="3"/>
    </row>
    <row r="407" customFormat="false" ht="13.8" hidden="false" customHeight="false" outlineLevel="0" collapsed="false">
      <c r="A407" s="3" t="s">
        <v>1116</v>
      </c>
      <c r="B407" s="3" t="n">
        <v>6.6</v>
      </c>
      <c r="C407" s="3" t="s">
        <v>1117</v>
      </c>
      <c r="D407" s="3" t="n">
        <v>8</v>
      </c>
      <c r="E407" s="3" t="n">
        <v>5</v>
      </c>
      <c r="F407" s="3" t="s">
        <v>21</v>
      </c>
      <c r="G407" s="3" t="n">
        <v>1</v>
      </c>
      <c r="H407" s="3" t="n">
        <v>692</v>
      </c>
      <c r="I407" s="3" t="s">
        <v>22</v>
      </c>
      <c r="J407" s="3" t="n">
        <v>0</v>
      </c>
      <c r="K407" s="3" t="n">
        <v>1.98</v>
      </c>
      <c r="L407" s="3" t="n">
        <v>44</v>
      </c>
      <c r="M407" s="3" t="s">
        <v>23</v>
      </c>
      <c r="N407" s="3" t="n">
        <v>9.45</v>
      </c>
      <c r="O407" s="3" t="n">
        <v>26.0913</v>
      </c>
      <c r="P407" s="3" t="n">
        <v>-110.321</v>
      </c>
      <c r="Q407" s="3" t="s">
        <v>1118</v>
      </c>
      <c r="R407" s="3"/>
      <c r="S407" s="3"/>
    </row>
    <row r="408" customFormat="false" ht="13.8" hidden="false" customHeight="false" outlineLevel="0" collapsed="false">
      <c r="A408" s="3" t="s">
        <v>1119</v>
      </c>
      <c r="B408" s="3" t="n">
        <v>6.8</v>
      </c>
      <c r="C408" s="3" t="s">
        <v>1120</v>
      </c>
      <c r="D408" s="3" t="n">
        <v>0</v>
      </c>
      <c r="E408" s="3" t="n">
        <v>6</v>
      </c>
      <c r="F408" s="3" t="s">
        <v>21</v>
      </c>
      <c r="G408" s="3" t="n">
        <v>1</v>
      </c>
      <c r="H408" s="3" t="n">
        <v>711</v>
      </c>
      <c r="I408" s="3" t="s">
        <v>22</v>
      </c>
      <c r="J408" s="3" t="n">
        <v>0</v>
      </c>
      <c r="K408" s="3" t="n">
        <v>5.79</v>
      </c>
      <c r="L408" s="3" t="n">
        <v>9</v>
      </c>
      <c r="M408" s="3" t="s">
        <v>23</v>
      </c>
      <c r="N408" s="3" t="n">
        <v>35</v>
      </c>
      <c r="O408" s="3" t="n">
        <v>-6.4456</v>
      </c>
      <c r="P408" s="3" t="n">
        <v>154.931</v>
      </c>
      <c r="Q408" s="3" t="s">
        <v>736</v>
      </c>
      <c r="R408" s="3"/>
      <c r="S408" s="3" t="s">
        <v>85</v>
      </c>
    </row>
    <row r="409" customFormat="false" ht="13.8" hidden="false" customHeight="false" outlineLevel="0" collapsed="false">
      <c r="A409" s="3" t="s">
        <v>1121</v>
      </c>
      <c r="B409" s="3" t="n">
        <v>7.1</v>
      </c>
      <c r="C409" s="3" t="s">
        <v>1122</v>
      </c>
      <c r="D409" s="3" t="n">
        <v>9</v>
      </c>
      <c r="E409" s="3" t="n">
        <v>8</v>
      </c>
      <c r="F409" s="3" t="s">
        <v>95</v>
      </c>
      <c r="G409" s="3" t="n">
        <v>1</v>
      </c>
      <c r="H409" s="3" t="n">
        <v>1092</v>
      </c>
      <c r="I409" s="3" t="s">
        <v>22</v>
      </c>
      <c r="J409" s="3" t="n">
        <v>0</v>
      </c>
      <c r="K409" s="3" t="n">
        <v>3.144</v>
      </c>
      <c r="L409" s="3" t="n">
        <v>12</v>
      </c>
      <c r="M409" s="3" t="s">
        <v>23</v>
      </c>
      <c r="N409" s="3" t="n">
        <v>19.04</v>
      </c>
      <c r="O409" s="3" t="n">
        <v>9.8796</v>
      </c>
      <c r="P409" s="3" t="n">
        <v>124.117</v>
      </c>
      <c r="Q409" s="3" t="s">
        <v>1123</v>
      </c>
      <c r="R409" s="3"/>
      <c r="S409" s="3" t="s">
        <v>191</v>
      </c>
    </row>
    <row r="410" customFormat="false" ht="13.8" hidden="false" customHeight="false" outlineLevel="0" collapsed="false">
      <c r="A410" s="3" t="s">
        <v>1124</v>
      </c>
      <c r="B410" s="3" t="n">
        <v>6.6</v>
      </c>
      <c r="C410" s="3" t="s">
        <v>1125</v>
      </c>
      <c r="D410" s="3" t="n">
        <v>5</v>
      </c>
      <c r="E410" s="3" t="n">
        <v>6</v>
      </c>
      <c r="F410" s="3" t="s">
        <v>28</v>
      </c>
      <c r="G410" s="3" t="n">
        <v>0</v>
      </c>
      <c r="H410" s="3" t="n">
        <v>691</v>
      </c>
      <c r="I410" s="3" t="s">
        <v>22</v>
      </c>
      <c r="J410" s="3" t="n">
        <v>0</v>
      </c>
      <c r="K410" s="3" t="n">
        <v>1.984</v>
      </c>
      <c r="L410" s="3" t="n">
        <v>40</v>
      </c>
      <c r="M410" s="3" t="s">
        <v>23</v>
      </c>
      <c r="N410" s="3" t="n">
        <v>40</v>
      </c>
      <c r="O410" s="3" t="n">
        <v>35.5142</v>
      </c>
      <c r="P410" s="3" t="n">
        <v>23.2523</v>
      </c>
      <c r="Q410" s="3" t="s">
        <v>1126</v>
      </c>
      <c r="R410" s="3" t="s">
        <v>361</v>
      </c>
      <c r="S410" s="3"/>
    </row>
    <row r="411" customFormat="false" ht="13.8" hidden="false" customHeight="false" outlineLevel="0" collapsed="false">
      <c r="A411" s="3" t="s">
        <v>1127</v>
      </c>
      <c r="B411" s="3" t="n">
        <v>6.7</v>
      </c>
      <c r="C411" s="3" t="s">
        <v>1128</v>
      </c>
      <c r="D411" s="3" t="n">
        <v>0</v>
      </c>
      <c r="E411" s="3" t="n">
        <v>3</v>
      </c>
      <c r="F411" s="3" t="s">
        <v>21</v>
      </c>
      <c r="G411" s="3" t="n">
        <v>0</v>
      </c>
      <c r="H411" s="3" t="n">
        <v>691</v>
      </c>
      <c r="I411" s="3" t="s">
        <v>22</v>
      </c>
      <c r="J411" s="3" t="n">
        <v>0</v>
      </c>
      <c r="K411" s="3" t="n">
        <v>2.958</v>
      </c>
      <c r="L411" s="3" t="n">
        <v>11</v>
      </c>
      <c r="M411" s="3" t="s">
        <v>23</v>
      </c>
      <c r="N411" s="3" t="n">
        <v>573</v>
      </c>
      <c r="O411" s="3" t="n">
        <v>53.1995</v>
      </c>
      <c r="P411" s="3" t="n">
        <v>152.786</v>
      </c>
      <c r="Q411" s="3" t="s">
        <v>1129</v>
      </c>
      <c r="R411" s="3"/>
      <c r="S411" s="3"/>
    </row>
    <row r="412" customFormat="false" ht="13.8" hidden="false" customHeight="false" outlineLevel="0" collapsed="false">
      <c r="A412" s="3" t="s">
        <v>307</v>
      </c>
      <c r="B412" s="3" t="n">
        <v>6.5</v>
      </c>
      <c r="C412" s="3" t="s">
        <v>1130</v>
      </c>
      <c r="D412" s="3" t="n">
        <v>0</v>
      </c>
      <c r="E412" s="3" t="n">
        <v>4</v>
      </c>
      <c r="F412" s="3" t="s">
        <v>21</v>
      </c>
      <c r="G412" s="3" t="n">
        <v>1</v>
      </c>
      <c r="H412" s="3" t="n">
        <v>650</v>
      </c>
      <c r="I412" s="3" t="s">
        <v>22</v>
      </c>
      <c r="J412" s="3" t="n">
        <v>0</v>
      </c>
      <c r="K412" s="3" t="n">
        <v>1.709</v>
      </c>
      <c r="L412" s="3" t="n">
        <v>21</v>
      </c>
      <c r="M412" s="3" t="s">
        <v>23</v>
      </c>
      <c r="N412" s="3" t="n">
        <v>41.54</v>
      </c>
      <c r="O412" s="3" t="n">
        <v>-30.9255</v>
      </c>
      <c r="P412" s="3" t="n">
        <v>-178.323</v>
      </c>
      <c r="Q412" s="3" t="s">
        <v>71</v>
      </c>
      <c r="R412" s="3"/>
      <c r="S412" s="3"/>
    </row>
    <row r="413" customFormat="false" ht="13.8" hidden="false" customHeight="false" outlineLevel="0" collapsed="false">
      <c r="A413" s="3" t="s">
        <v>1131</v>
      </c>
      <c r="B413" s="3" t="n">
        <v>6.8</v>
      </c>
      <c r="C413" s="3" t="s">
        <v>1132</v>
      </c>
      <c r="D413" s="3" t="n">
        <v>7</v>
      </c>
      <c r="E413" s="3" t="n">
        <v>7</v>
      </c>
      <c r="F413" s="3" t="s">
        <v>95</v>
      </c>
      <c r="G413" s="3" t="n">
        <v>0</v>
      </c>
      <c r="H413" s="3" t="n">
        <v>1005</v>
      </c>
      <c r="I413" s="3" t="s">
        <v>22</v>
      </c>
      <c r="J413" s="3" t="n">
        <v>0</v>
      </c>
      <c r="K413" s="3" t="n">
        <v>7.359</v>
      </c>
      <c r="L413" s="3" t="n">
        <v>17</v>
      </c>
      <c r="M413" s="3" t="s">
        <v>23</v>
      </c>
      <c r="N413" s="3" t="n">
        <v>12</v>
      </c>
      <c r="O413" s="3" t="n">
        <v>27.1825</v>
      </c>
      <c r="P413" s="3" t="n">
        <v>65.5052</v>
      </c>
      <c r="Q413" s="3" t="s">
        <v>1133</v>
      </c>
      <c r="R413" s="3" t="s">
        <v>80</v>
      </c>
      <c r="S413" s="3" t="s">
        <v>1134</v>
      </c>
    </row>
    <row r="414" customFormat="false" ht="13.8" hidden="false" customHeight="false" outlineLevel="0" collapsed="false">
      <c r="A414" s="3" t="s">
        <v>1135</v>
      </c>
      <c r="B414" s="3" t="n">
        <v>7.1</v>
      </c>
      <c r="C414" s="3" t="s">
        <v>1136</v>
      </c>
      <c r="D414" s="3" t="n">
        <v>8</v>
      </c>
      <c r="E414" s="3" t="n">
        <v>7</v>
      </c>
      <c r="F414" s="3" t="s">
        <v>21</v>
      </c>
      <c r="G414" s="3" t="n">
        <v>1</v>
      </c>
      <c r="H414" s="3" t="n">
        <v>843</v>
      </c>
      <c r="I414" s="3" t="s">
        <v>22</v>
      </c>
      <c r="J414" s="3" t="n">
        <v>0</v>
      </c>
      <c r="K414" s="3" t="n">
        <v>4.446</v>
      </c>
      <c r="L414" s="3" t="n">
        <v>17</v>
      </c>
      <c r="M414" s="3" t="s">
        <v>23</v>
      </c>
      <c r="N414" s="3" t="n">
        <v>40</v>
      </c>
      <c r="O414" s="3" t="n">
        <v>-15.8385</v>
      </c>
      <c r="P414" s="3" t="n">
        <v>-74.5112</v>
      </c>
      <c r="Q414" s="3" t="s">
        <v>639</v>
      </c>
      <c r="R414" s="3"/>
      <c r="S414" s="3" t="s">
        <v>199</v>
      </c>
    </row>
    <row r="415" customFormat="false" ht="13.8" hidden="false" customHeight="false" outlineLevel="0" collapsed="false">
      <c r="A415" s="3" t="s">
        <v>1137</v>
      </c>
      <c r="B415" s="3" t="n">
        <v>7.7</v>
      </c>
      <c r="C415" s="3" t="s">
        <v>1138</v>
      </c>
      <c r="D415" s="3" t="n">
        <v>5</v>
      </c>
      <c r="E415" s="3" t="n">
        <v>8</v>
      </c>
      <c r="F415" s="3" t="s">
        <v>121</v>
      </c>
      <c r="G415" s="3" t="n">
        <v>0</v>
      </c>
      <c r="H415" s="3" t="n">
        <v>2015</v>
      </c>
      <c r="I415" s="3" t="s">
        <v>22</v>
      </c>
      <c r="J415" s="3" t="n">
        <v>0</v>
      </c>
      <c r="K415" s="3" t="n">
        <v>7.241</v>
      </c>
      <c r="L415" s="3" t="n">
        <v>17</v>
      </c>
      <c r="M415" s="3" t="s">
        <v>23</v>
      </c>
      <c r="N415" s="3" t="n">
        <v>15</v>
      </c>
      <c r="O415" s="3" t="n">
        <v>26.951</v>
      </c>
      <c r="P415" s="3" t="n">
        <v>65.5009</v>
      </c>
      <c r="Q415" s="3" t="s">
        <v>1139</v>
      </c>
      <c r="R415" s="3" t="s">
        <v>80</v>
      </c>
      <c r="S415" s="3" t="s">
        <v>1134</v>
      </c>
    </row>
    <row r="416" customFormat="false" ht="13.8" hidden="false" customHeight="false" outlineLevel="0" collapsed="false">
      <c r="A416" s="3" t="s">
        <v>1140</v>
      </c>
      <c r="B416" s="3" t="n">
        <v>6.5</v>
      </c>
      <c r="C416" s="3" t="s">
        <v>1141</v>
      </c>
      <c r="D416" s="3" t="n">
        <v>0</v>
      </c>
      <c r="E416" s="3" t="n">
        <v>6</v>
      </c>
      <c r="F416" s="3" t="s">
        <v>21</v>
      </c>
      <c r="G416" s="3" t="n">
        <v>1</v>
      </c>
      <c r="H416" s="3" t="n">
        <v>650</v>
      </c>
      <c r="I416" s="3" t="s">
        <v>22</v>
      </c>
      <c r="J416" s="3" t="n">
        <v>0</v>
      </c>
      <c r="K416" s="3" t="n">
        <v>0.735</v>
      </c>
      <c r="L416" s="3" t="n">
        <v>24</v>
      </c>
      <c r="M416" s="3" t="s">
        <v>23</v>
      </c>
      <c r="N416" s="3" t="n">
        <v>20</v>
      </c>
      <c r="O416" s="3" t="n">
        <v>51.5573</v>
      </c>
      <c r="P416" s="3" t="n">
        <v>-174.767</v>
      </c>
      <c r="Q416" s="3" t="s">
        <v>1142</v>
      </c>
      <c r="R416" s="3"/>
      <c r="S416" s="3"/>
    </row>
    <row r="417" customFormat="false" ht="13.8" hidden="false" customHeight="false" outlineLevel="0" collapsed="false">
      <c r="A417" s="3" t="s">
        <v>1143</v>
      </c>
      <c r="B417" s="3" t="n">
        <v>6.5</v>
      </c>
      <c r="C417" s="3" t="s">
        <v>1144</v>
      </c>
      <c r="D417" s="3" t="n">
        <v>5</v>
      </c>
      <c r="E417" s="3" t="n">
        <v>3</v>
      </c>
      <c r="F417" s="3" t="s">
        <v>21</v>
      </c>
      <c r="G417" s="3" t="n">
        <v>0</v>
      </c>
      <c r="H417" s="3" t="n">
        <v>739</v>
      </c>
      <c r="I417" s="3" t="s">
        <v>22</v>
      </c>
      <c r="J417" s="3" t="n">
        <v>0</v>
      </c>
      <c r="K417" s="3" t="n">
        <v>3.276</v>
      </c>
      <c r="L417" s="3" t="n">
        <v>26</v>
      </c>
      <c r="M417" s="3" t="s">
        <v>23</v>
      </c>
      <c r="N417" s="3" t="n">
        <v>402</v>
      </c>
      <c r="O417" s="3" t="n">
        <v>29.9377</v>
      </c>
      <c r="P417" s="3" t="n">
        <v>138.833</v>
      </c>
      <c r="Q417" s="3" t="s">
        <v>1145</v>
      </c>
      <c r="R417" s="3"/>
      <c r="S417" s="3"/>
    </row>
    <row r="418" customFormat="false" ht="13.8" hidden="false" customHeight="false" outlineLevel="0" collapsed="false">
      <c r="A418" s="3" t="s">
        <v>1146</v>
      </c>
      <c r="B418" s="3" t="n">
        <v>6.5</v>
      </c>
      <c r="C418" s="3" t="s">
        <v>1147</v>
      </c>
      <c r="D418" s="3" t="n">
        <v>4</v>
      </c>
      <c r="E418" s="3" t="n">
        <v>5</v>
      </c>
      <c r="F418" s="3" t="s">
        <v>21</v>
      </c>
      <c r="G418" s="3" t="n">
        <v>0</v>
      </c>
      <c r="H418" s="3" t="n">
        <v>668</v>
      </c>
      <c r="I418" s="3" t="s">
        <v>22</v>
      </c>
      <c r="J418" s="3" t="n">
        <v>0</v>
      </c>
      <c r="K418" s="3" t="n">
        <v>3.097</v>
      </c>
      <c r="L418" s="3" t="n">
        <v>11</v>
      </c>
      <c r="M418" s="3" t="s">
        <v>23</v>
      </c>
      <c r="N418" s="3" t="n">
        <v>112</v>
      </c>
      <c r="O418" s="3" t="n">
        <v>-7.44</v>
      </c>
      <c r="P418" s="3" t="n">
        <v>128.221</v>
      </c>
      <c r="Q418" s="3" t="s">
        <v>248</v>
      </c>
      <c r="R418" s="3"/>
      <c r="S418" s="3" t="s">
        <v>68</v>
      </c>
    </row>
    <row r="419" customFormat="false" ht="13.8" hidden="false" customHeight="false" outlineLevel="0" collapsed="false">
      <c r="A419" s="3" t="s">
        <v>1148</v>
      </c>
      <c r="B419" s="3" t="n">
        <v>7</v>
      </c>
      <c r="C419" s="3" t="s">
        <v>1149</v>
      </c>
      <c r="D419" s="3" t="n">
        <v>5</v>
      </c>
      <c r="E419" s="3" t="n">
        <v>6</v>
      </c>
      <c r="F419" s="3" t="s">
        <v>21</v>
      </c>
      <c r="G419" s="3" t="n">
        <v>0</v>
      </c>
      <c r="H419" s="3" t="n">
        <v>758</v>
      </c>
      <c r="I419" s="3" t="s">
        <v>22</v>
      </c>
      <c r="J419" s="3" t="n">
        <v>0</v>
      </c>
      <c r="K419" s="3" t="n">
        <v>0.624</v>
      </c>
      <c r="L419" s="3" t="n">
        <v>53</v>
      </c>
      <c r="M419" s="3" t="s">
        <v>23</v>
      </c>
      <c r="N419" s="3" t="n">
        <v>29</v>
      </c>
      <c r="O419" s="3" t="n">
        <v>51.537</v>
      </c>
      <c r="P419" s="3" t="n">
        <v>-175.23</v>
      </c>
      <c r="Q419" s="3" t="s">
        <v>1142</v>
      </c>
      <c r="R419" s="3"/>
      <c r="S419" s="3"/>
    </row>
    <row r="420" customFormat="false" ht="13.8" hidden="false" customHeight="false" outlineLevel="0" collapsed="false">
      <c r="A420" s="3" t="s">
        <v>1150</v>
      </c>
      <c r="B420" s="3" t="n">
        <v>6.5</v>
      </c>
      <c r="C420" s="3" t="s">
        <v>1151</v>
      </c>
      <c r="D420" s="3" t="n">
        <v>9</v>
      </c>
      <c r="E420" s="3" t="n">
        <v>7</v>
      </c>
      <c r="F420" s="3" t="s">
        <v>28</v>
      </c>
      <c r="G420" s="3" t="n">
        <v>1</v>
      </c>
      <c r="H420" s="3" t="n">
        <v>690</v>
      </c>
      <c r="I420" s="3" t="s">
        <v>22</v>
      </c>
      <c r="J420" s="3" t="n">
        <v>0</v>
      </c>
      <c r="K420" s="3" t="n">
        <v>0</v>
      </c>
      <c r="L420" s="3" t="n">
        <v>0</v>
      </c>
      <c r="M420" s="3" t="s">
        <v>23</v>
      </c>
      <c r="N420" s="3" t="n">
        <v>8.2</v>
      </c>
      <c r="O420" s="3" t="n">
        <v>-41.734</v>
      </c>
      <c r="P420" s="3" t="n">
        <v>174.152</v>
      </c>
      <c r="Q420" s="3" t="s">
        <v>777</v>
      </c>
      <c r="R420" s="3"/>
      <c r="S420" s="3" t="s">
        <v>774</v>
      </c>
    </row>
    <row r="421" customFormat="false" ht="13.8" hidden="false" customHeight="false" outlineLevel="0" collapsed="false">
      <c r="A421" s="3" t="s">
        <v>1152</v>
      </c>
      <c r="B421" s="3" t="n">
        <v>6.7</v>
      </c>
      <c r="C421" s="3" t="s">
        <v>1153</v>
      </c>
      <c r="D421" s="3" t="n">
        <v>4</v>
      </c>
      <c r="E421" s="3" t="n">
        <v>5</v>
      </c>
      <c r="F421" s="3" t="s">
        <v>21</v>
      </c>
      <c r="G421" s="3" t="n">
        <v>1</v>
      </c>
      <c r="H421" s="3" t="n">
        <v>715</v>
      </c>
      <c r="I421" s="3" t="s">
        <v>22</v>
      </c>
      <c r="J421" s="3" t="n">
        <v>0</v>
      </c>
      <c r="K421" s="3" t="n">
        <v>3.741</v>
      </c>
      <c r="L421" s="3" t="n">
        <v>22</v>
      </c>
      <c r="M421" s="3" t="s">
        <v>23</v>
      </c>
      <c r="N421" s="3" t="n">
        <v>12</v>
      </c>
      <c r="O421" s="3" t="n">
        <v>5.7732</v>
      </c>
      <c r="P421" s="3" t="n">
        <v>-78.1999</v>
      </c>
      <c r="Q421" s="3" t="s">
        <v>1154</v>
      </c>
      <c r="R421" s="3"/>
      <c r="S421" s="3"/>
    </row>
    <row r="422" customFormat="false" ht="13.8" hidden="false" customHeight="false" outlineLevel="0" collapsed="false">
      <c r="A422" s="3" t="s">
        <v>1155</v>
      </c>
      <c r="B422" s="3" t="n">
        <v>6.5</v>
      </c>
      <c r="C422" s="3" t="s">
        <v>1156</v>
      </c>
      <c r="D422" s="3" t="n">
        <v>6</v>
      </c>
      <c r="E422" s="3" t="n">
        <v>7</v>
      </c>
      <c r="F422" s="3" t="s">
        <v>28</v>
      </c>
      <c r="G422" s="3" t="n">
        <v>1</v>
      </c>
      <c r="H422" s="3" t="n">
        <v>693</v>
      </c>
      <c r="I422" s="3" t="s">
        <v>22</v>
      </c>
      <c r="J422" s="3" t="n">
        <v>229</v>
      </c>
      <c r="K422" s="3" t="n">
        <v>0</v>
      </c>
      <c r="L422" s="3" t="n">
        <v>20</v>
      </c>
      <c r="M422" s="3" t="s">
        <v>23</v>
      </c>
      <c r="N422" s="3" t="n">
        <v>17</v>
      </c>
      <c r="O422" s="3" t="n">
        <v>-41.704</v>
      </c>
      <c r="P422" s="3" t="n">
        <v>174.337</v>
      </c>
      <c r="Q422" s="3" t="s">
        <v>777</v>
      </c>
      <c r="R422" s="3"/>
      <c r="S422" s="3" t="s">
        <v>774</v>
      </c>
    </row>
    <row r="423" customFormat="false" ht="13.8" hidden="false" customHeight="false" outlineLevel="0" collapsed="false">
      <c r="A423" s="3" t="s">
        <v>1157</v>
      </c>
      <c r="B423" s="3" t="n">
        <v>7.3</v>
      </c>
      <c r="C423" s="3" t="s">
        <v>1158</v>
      </c>
      <c r="D423" s="3" t="n">
        <v>0</v>
      </c>
      <c r="E423" s="3" t="n">
        <v>6</v>
      </c>
      <c r="F423" s="3" t="s">
        <v>21</v>
      </c>
      <c r="G423" s="3" t="n">
        <v>1</v>
      </c>
      <c r="H423" s="3" t="n">
        <v>820</v>
      </c>
      <c r="I423" s="3" t="s">
        <v>22</v>
      </c>
      <c r="J423" s="3" t="n">
        <v>398</v>
      </c>
      <c r="K423" s="3" t="n">
        <v>0</v>
      </c>
      <c r="L423" s="3" t="n">
        <v>43</v>
      </c>
      <c r="M423" s="3" t="s">
        <v>23</v>
      </c>
      <c r="N423" s="3" t="n">
        <v>11</v>
      </c>
      <c r="O423" s="3" t="n">
        <v>-60.857</v>
      </c>
      <c r="P423" s="3" t="n">
        <v>-25.07</v>
      </c>
      <c r="Q423" s="3" t="s">
        <v>275</v>
      </c>
      <c r="R423" s="3"/>
      <c r="S423" s="3" t="s">
        <v>464</v>
      </c>
    </row>
    <row r="424" customFormat="false" ht="13.8" hidden="false" customHeight="false" outlineLevel="0" collapsed="false">
      <c r="A424" s="3" t="s">
        <v>1159</v>
      </c>
      <c r="B424" s="3" t="n">
        <v>6.6</v>
      </c>
      <c r="C424" s="3" t="s">
        <v>1160</v>
      </c>
      <c r="D424" s="3" t="n">
        <v>4</v>
      </c>
      <c r="E424" s="3" t="n">
        <v>6</v>
      </c>
      <c r="F424" s="3" t="s">
        <v>21</v>
      </c>
      <c r="G424" s="3" t="n">
        <v>0</v>
      </c>
      <c r="H424" s="3" t="n">
        <v>674</v>
      </c>
      <c r="I424" s="3" t="s">
        <v>22</v>
      </c>
      <c r="J424" s="3" t="n">
        <v>139</v>
      </c>
      <c r="K424" s="3" t="n">
        <v>0</v>
      </c>
      <c r="L424" s="3" t="n">
        <v>14</v>
      </c>
      <c r="M424" s="3" t="s">
        <v>23</v>
      </c>
      <c r="N424" s="3" t="n">
        <v>56</v>
      </c>
      <c r="O424" s="3" t="n">
        <v>-6.029</v>
      </c>
      <c r="P424" s="3" t="n">
        <v>149.706</v>
      </c>
      <c r="Q424" s="3" t="s">
        <v>789</v>
      </c>
      <c r="R424" s="3"/>
      <c r="S424" s="3" t="s">
        <v>85</v>
      </c>
    </row>
    <row r="425" customFormat="false" ht="13.8" hidden="false" customHeight="false" outlineLevel="0" collapsed="false">
      <c r="A425" s="3" t="s">
        <v>1161</v>
      </c>
      <c r="B425" s="3" t="n">
        <v>7.3</v>
      </c>
      <c r="C425" s="3" t="s">
        <v>1162</v>
      </c>
      <c r="D425" s="3" t="n">
        <v>0</v>
      </c>
      <c r="E425" s="3" t="n">
        <v>4</v>
      </c>
      <c r="F425" s="3" t="s">
        <v>21</v>
      </c>
      <c r="G425" s="3" t="n">
        <v>1</v>
      </c>
      <c r="H425" s="3" t="n">
        <v>820</v>
      </c>
      <c r="I425" s="3" t="s">
        <v>22</v>
      </c>
      <c r="J425" s="3" t="n">
        <v>117</v>
      </c>
      <c r="K425" s="3" t="n">
        <v>0</v>
      </c>
      <c r="L425" s="3" t="n">
        <v>24</v>
      </c>
      <c r="M425" s="3" t="s">
        <v>23</v>
      </c>
      <c r="N425" s="3" t="n">
        <v>385.5</v>
      </c>
      <c r="O425" s="3" t="n">
        <v>-3.917</v>
      </c>
      <c r="P425" s="3" t="n">
        <v>153.927</v>
      </c>
      <c r="Q425" s="3" t="s">
        <v>625</v>
      </c>
      <c r="R425" s="3"/>
      <c r="S425" s="3" t="s">
        <v>85</v>
      </c>
    </row>
    <row r="426" customFormat="false" ht="13.8" hidden="false" customHeight="false" outlineLevel="0" collapsed="false">
      <c r="A426" s="3" t="s">
        <v>1163</v>
      </c>
      <c r="B426" s="3" t="n">
        <v>6.6</v>
      </c>
      <c r="C426" s="3" t="s">
        <v>1164</v>
      </c>
      <c r="D426" s="3" t="n">
        <v>0</v>
      </c>
      <c r="E426" s="3" t="n">
        <v>7</v>
      </c>
      <c r="F426" s="3" t="s">
        <v>21</v>
      </c>
      <c r="G426" s="3" t="n">
        <v>1</v>
      </c>
      <c r="H426" s="3" t="n">
        <v>670</v>
      </c>
      <c r="I426" s="3" t="s">
        <v>22</v>
      </c>
      <c r="J426" s="3" t="n">
        <v>111</v>
      </c>
      <c r="K426" s="3" t="n">
        <v>0</v>
      </c>
      <c r="L426" s="3" t="n">
        <v>16</v>
      </c>
      <c r="M426" s="3" t="s">
        <v>23</v>
      </c>
      <c r="N426" s="3" t="n">
        <v>10</v>
      </c>
      <c r="O426" s="3" t="n">
        <v>10.701</v>
      </c>
      <c r="P426" s="3" t="n">
        <v>-42.594</v>
      </c>
      <c r="Q426" s="3" t="s">
        <v>1165</v>
      </c>
      <c r="R426" s="3"/>
      <c r="S426" s="3"/>
    </row>
    <row r="427" customFormat="false" ht="13.8" hidden="false" customHeight="false" outlineLevel="0" collapsed="false">
      <c r="A427" s="3" t="s">
        <v>1166</v>
      </c>
      <c r="B427" s="3" t="n">
        <v>6.5</v>
      </c>
      <c r="C427" s="3" t="s">
        <v>1167</v>
      </c>
      <c r="D427" s="3" t="n">
        <v>5</v>
      </c>
      <c r="E427" s="3" t="n">
        <v>6</v>
      </c>
      <c r="F427" s="3" t="s">
        <v>21</v>
      </c>
      <c r="G427" s="3" t="n">
        <v>1</v>
      </c>
      <c r="H427" s="3" t="n">
        <v>679</v>
      </c>
      <c r="I427" s="3" t="s">
        <v>22</v>
      </c>
      <c r="J427" s="3" t="n">
        <v>698</v>
      </c>
      <c r="K427" s="3" t="n">
        <v>0</v>
      </c>
      <c r="L427" s="3" t="n">
        <v>27</v>
      </c>
      <c r="M427" s="3" t="s">
        <v>23</v>
      </c>
      <c r="N427" s="3" t="n">
        <v>30</v>
      </c>
      <c r="O427" s="3" t="n">
        <v>11.763</v>
      </c>
      <c r="P427" s="3" t="n">
        <v>-86.926</v>
      </c>
      <c r="Q427" s="3" t="s">
        <v>206</v>
      </c>
      <c r="R427" s="3"/>
      <c r="S427" s="3"/>
    </row>
    <row r="428" customFormat="false" ht="13.8" hidden="false" customHeight="false" outlineLevel="0" collapsed="false">
      <c r="A428" s="3" t="s">
        <v>1168</v>
      </c>
      <c r="B428" s="3" t="n">
        <v>6.7</v>
      </c>
      <c r="C428" s="3" t="s">
        <v>1169</v>
      </c>
      <c r="D428" s="3" t="n">
        <v>5</v>
      </c>
      <c r="E428" s="3" t="n">
        <v>4</v>
      </c>
      <c r="F428" s="3" t="s">
        <v>21</v>
      </c>
      <c r="G428" s="3" t="n">
        <v>0</v>
      </c>
      <c r="H428" s="3" t="n">
        <v>710</v>
      </c>
      <c r="I428" s="3" t="s">
        <v>22</v>
      </c>
      <c r="J428" s="3" t="n">
        <v>515</v>
      </c>
      <c r="K428" s="3" t="n">
        <v>0</v>
      </c>
      <c r="L428" s="3" t="n">
        <v>24</v>
      </c>
      <c r="M428" s="3" t="s">
        <v>23</v>
      </c>
      <c r="N428" s="3" t="n">
        <v>9</v>
      </c>
      <c r="O428" s="3" t="n">
        <v>-10.004</v>
      </c>
      <c r="P428" s="3" t="n">
        <v>107.236</v>
      </c>
      <c r="Q428" s="3" t="s">
        <v>1170</v>
      </c>
      <c r="R428" s="3"/>
      <c r="S428" s="3"/>
    </row>
    <row r="429" customFormat="false" ht="13.8" hidden="false" customHeight="false" outlineLevel="0" collapsed="false">
      <c r="A429" s="3" t="s">
        <v>1127</v>
      </c>
      <c r="B429" s="3" t="n">
        <v>6.7</v>
      </c>
      <c r="C429" s="3" t="s">
        <v>1171</v>
      </c>
      <c r="D429" s="3" t="n">
        <v>0</v>
      </c>
      <c r="E429" s="3" t="n">
        <v>3</v>
      </c>
      <c r="F429" s="3" t="s">
        <v>21</v>
      </c>
      <c r="G429" s="3" t="n">
        <v>1</v>
      </c>
      <c r="H429" s="3" t="n">
        <v>691</v>
      </c>
      <c r="I429" s="3" t="s">
        <v>22</v>
      </c>
      <c r="J429" s="3" t="n">
        <v>217</v>
      </c>
      <c r="K429" s="3" t="n">
        <v>0</v>
      </c>
      <c r="L429" s="3" t="n">
        <v>25.2</v>
      </c>
      <c r="M429" s="3" t="s">
        <v>154</v>
      </c>
      <c r="N429" s="3" t="n">
        <v>624</v>
      </c>
      <c r="O429" s="3" t="n">
        <v>52.235</v>
      </c>
      <c r="P429" s="3" t="n">
        <v>151.444</v>
      </c>
      <c r="Q429" s="3" t="s">
        <v>1129</v>
      </c>
      <c r="R429" s="3"/>
      <c r="S429" s="3"/>
    </row>
    <row r="430" customFormat="false" ht="13.8" hidden="false" customHeight="false" outlineLevel="0" collapsed="false">
      <c r="A430" s="3" t="s">
        <v>1172</v>
      </c>
      <c r="B430" s="3" t="n">
        <v>8.3</v>
      </c>
      <c r="C430" s="3" t="s">
        <v>1173</v>
      </c>
      <c r="D430" s="3" t="n">
        <v>5</v>
      </c>
      <c r="E430" s="3" t="n">
        <v>5</v>
      </c>
      <c r="F430" s="3" t="s">
        <v>21</v>
      </c>
      <c r="G430" s="3" t="n">
        <v>1</v>
      </c>
      <c r="H430" s="3" t="n">
        <v>1115</v>
      </c>
      <c r="I430" s="3" t="s">
        <v>22</v>
      </c>
      <c r="J430" s="3" t="n">
        <v>385</v>
      </c>
      <c r="K430" s="3" t="n">
        <v>0</v>
      </c>
      <c r="L430" s="3" t="n">
        <v>10</v>
      </c>
      <c r="M430" s="3" t="s">
        <v>23</v>
      </c>
      <c r="N430" s="3" t="n">
        <v>598.1</v>
      </c>
      <c r="O430" s="3" t="n">
        <v>54.892</v>
      </c>
      <c r="P430" s="3" t="n">
        <v>153.221</v>
      </c>
      <c r="Q430" s="3" t="s">
        <v>1129</v>
      </c>
      <c r="R430" s="3"/>
      <c r="S430" s="3"/>
    </row>
    <row r="431" customFormat="false" ht="13.8" hidden="false" customHeight="false" outlineLevel="0" collapsed="false">
      <c r="A431" s="3" t="s">
        <v>1174</v>
      </c>
      <c r="B431" s="3" t="n">
        <v>7.4</v>
      </c>
      <c r="C431" s="3" t="s">
        <v>1175</v>
      </c>
      <c r="D431" s="3" t="n">
        <v>0</v>
      </c>
      <c r="E431" s="3" t="n">
        <v>6</v>
      </c>
      <c r="F431" s="3" t="s">
        <v>21</v>
      </c>
      <c r="G431" s="3" t="n">
        <v>1</v>
      </c>
      <c r="H431" s="3" t="n">
        <v>842</v>
      </c>
      <c r="I431" s="3" t="s">
        <v>22</v>
      </c>
      <c r="J431" s="3" t="n">
        <v>626</v>
      </c>
      <c r="K431" s="3" t="n">
        <v>0</v>
      </c>
      <c r="L431" s="3" t="n">
        <v>16</v>
      </c>
      <c r="M431" s="3" t="s">
        <v>23</v>
      </c>
      <c r="N431" s="3" t="n">
        <v>173.7</v>
      </c>
      <c r="O431" s="3" t="n">
        <v>-23.009</v>
      </c>
      <c r="P431" s="3" t="n">
        <v>-177.232</v>
      </c>
      <c r="Q431" s="3" t="s">
        <v>1176</v>
      </c>
      <c r="R431" s="3"/>
      <c r="S431" s="3"/>
    </row>
    <row r="432" customFormat="false" ht="13.8" hidden="false" customHeight="false" outlineLevel="0" collapsed="false">
      <c r="A432" s="3" t="s">
        <v>1177</v>
      </c>
      <c r="B432" s="3" t="n">
        <v>6.8</v>
      </c>
      <c r="C432" s="3" t="s">
        <v>1178</v>
      </c>
      <c r="D432" s="3" t="n">
        <v>0</v>
      </c>
      <c r="E432" s="3" t="n">
        <v>3</v>
      </c>
      <c r="F432" s="3" t="s">
        <v>21</v>
      </c>
      <c r="G432" s="3" t="n">
        <v>0</v>
      </c>
      <c r="H432" s="3" t="n">
        <v>711</v>
      </c>
      <c r="I432" s="3" t="s">
        <v>22</v>
      </c>
      <c r="J432" s="3" t="n">
        <v>131</v>
      </c>
      <c r="K432" s="3" t="n">
        <v>0</v>
      </c>
      <c r="L432" s="3" t="n">
        <v>18</v>
      </c>
      <c r="M432" s="3" t="s">
        <v>23</v>
      </c>
      <c r="N432" s="3" t="n">
        <v>602.2</v>
      </c>
      <c r="O432" s="3" t="n">
        <v>18.728</v>
      </c>
      <c r="P432" s="3" t="n">
        <v>145.288</v>
      </c>
      <c r="Q432" s="3" t="s">
        <v>806</v>
      </c>
      <c r="R432" s="3"/>
      <c r="S432" s="3"/>
    </row>
    <row r="433" customFormat="false" ht="13.8" hidden="false" customHeight="false" outlineLevel="0" collapsed="false">
      <c r="A433" s="3" t="s">
        <v>1179</v>
      </c>
      <c r="B433" s="3" t="n">
        <v>6.5</v>
      </c>
      <c r="C433" s="3" t="s">
        <v>1180</v>
      </c>
      <c r="D433" s="3" t="n">
        <v>0</v>
      </c>
      <c r="E433" s="3" t="n">
        <v>6</v>
      </c>
      <c r="F433" s="3" t="s">
        <v>21</v>
      </c>
      <c r="G433" s="3" t="n">
        <v>1</v>
      </c>
      <c r="H433" s="3" t="n">
        <v>650</v>
      </c>
      <c r="I433" s="3" t="s">
        <v>22</v>
      </c>
      <c r="J433" s="3" t="n">
        <v>264</v>
      </c>
      <c r="K433" s="3" t="n">
        <v>0</v>
      </c>
      <c r="L433" s="3" t="n">
        <v>16.6</v>
      </c>
      <c r="M433" s="3" t="s">
        <v>23</v>
      </c>
      <c r="N433" s="3" t="n">
        <v>10</v>
      </c>
      <c r="O433" s="3" t="n">
        <v>-3.898</v>
      </c>
      <c r="P433" s="3" t="n">
        <v>152.127</v>
      </c>
      <c r="Q433" s="3" t="s">
        <v>797</v>
      </c>
      <c r="R433" s="3"/>
      <c r="S433" s="3" t="s">
        <v>85</v>
      </c>
    </row>
    <row r="434" customFormat="false" ht="13.8" hidden="false" customHeight="false" outlineLevel="0" collapsed="false">
      <c r="A434" s="3" t="s">
        <v>1181</v>
      </c>
      <c r="B434" s="3" t="n">
        <v>6.6</v>
      </c>
      <c r="C434" s="3" t="s">
        <v>1182</v>
      </c>
      <c r="D434" s="3" t="n">
        <v>8</v>
      </c>
      <c r="E434" s="3" t="n">
        <v>8</v>
      </c>
      <c r="F434" s="3" t="s">
        <v>121</v>
      </c>
      <c r="G434" s="3" t="n">
        <v>0</v>
      </c>
      <c r="H434" s="3" t="n">
        <v>2083</v>
      </c>
      <c r="I434" s="3" t="s">
        <v>22</v>
      </c>
      <c r="J434" s="3" t="n">
        <v>548</v>
      </c>
      <c r="K434" s="3" t="n">
        <v>0</v>
      </c>
      <c r="L434" s="3" t="n">
        <v>12.6</v>
      </c>
      <c r="M434" s="3" t="s">
        <v>23</v>
      </c>
      <c r="N434" s="3" t="n">
        <v>14</v>
      </c>
      <c r="O434" s="3" t="n">
        <v>30.308</v>
      </c>
      <c r="P434" s="3" t="n">
        <v>102.888</v>
      </c>
      <c r="Q434" s="3" t="s">
        <v>1183</v>
      </c>
      <c r="R434" s="3" t="s">
        <v>80</v>
      </c>
      <c r="S434" s="3" t="s">
        <v>184</v>
      </c>
    </row>
    <row r="435" customFormat="false" ht="13.8" hidden="false" customHeight="false" outlineLevel="0" collapsed="false">
      <c r="A435" s="3" t="s">
        <v>1184</v>
      </c>
      <c r="B435" s="3" t="n">
        <v>7.2</v>
      </c>
      <c r="C435" s="3" t="s">
        <v>1185</v>
      </c>
      <c r="D435" s="3" t="n">
        <v>5</v>
      </c>
      <c r="E435" s="3" t="n">
        <v>7</v>
      </c>
      <c r="F435" s="3" t="s">
        <v>21</v>
      </c>
      <c r="G435" s="3" t="n">
        <v>1</v>
      </c>
      <c r="H435" s="3" t="n">
        <v>804</v>
      </c>
      <c r="I435" s="3" t="s">
        <v>22</v>
      </c>
      <c r="J435" s="3" t="n">
        <v>770</v>
      </c>
      <c r="K435" s="3" t="n">
        <v>0</v>
      </c>
      <c r="L435" s="3" t="n">
        <v>10.1</v>
      </c>
      <c r="M435" s="3" t="s">
        <v>23</v>
      </c>
      <c r="N435" s="3" t="n">
        <v>110</v>
      </c>
      <c r="O435" s="3" t="n">
        <v>46.221</v>
      </c>
      <c r="P435" s="3" t="n">
        <v>150.788</v>
      </c>
      <c r="Q435" s="3" t="s">
        <v>427</v>
      </c>
      <c r="R435" s="3" t="s">
        <v>80</v>
      </c>
      <c r="S435" s="3" t="s">
        <v>428</v>
      </c>
    </row>
    <row r="436" customFormat="false" ht="13.8" hidden="false" customHeight="false" outlineLevel="0" collapsed="false">
      <c r="A436" s="3" t="s">
        <v>1186</v>
      </c>
      <c r="B436" s="3" t="n">
        <v>6.6</v>
      </c>
      <c r="C436" s="3" t="s">
        <v>1187</v>
      </c>
      <c r="D436" s="3" t="n">
        <v>7</v>
      </c>
      <c r="E436" s="3" t="n">
        <v>7</v>
      </c>
      <c r="F436" s="3" t="s">
        <v>21</v>
      </c>
      <c r="G436" s="3" t="n">
        <v>1</v>
      </c>
      <c r="H436" s="3" t="n">
        <v>672</v>
      </c>
      <c r="I436" s="3" t="s">
        <v>22</v>
      </c>
      <c r="J436" s="3" t="n">
        <v>445</v>
      </c>
      <c r="K436" s="3" t="n">
        <v>0</v>
      </c>
      <c r="L436" s="3" t="n">
        <v>11</v>
      </c>
      <c r="M436" s="3" t="s">
        <v>23</v>
      </c>
      <c r="N436" s="3" t="n">
        <v>13</v>
      </c>
      <c r="O436" s="3" t="n">
        <v>-3.214</v>
      </c>
      <c r="P436" s="3" t="n">
        <v>142.542</v>
      </c>
      <c r="Q436" s="3" t="s">
        <v>1188</v>
      </c>
      <c r="R436" s="3"/>
      <c r="S436" s="3" t="s">
        <v>85</v>
      </c>
    </row>
    <row r="437" customFormat="false" ht="13.8" hidden="false" customHeight="false" outlineLevel="0" collapsed="false">
      <c r="A437" s="3" t="s">
        <v>1189</v>
      </c>
      <c r="B437" s="3" t="n">
        <v>7.7</v>
      </c>
      <c r="C437" s="3" t="s">
        <v>1190</v>
      </c>
      <c r="D437" s="3" t="n">
        <v>8</v>
      </c>
      <c r="E437" s="3" t="n">
        <v>8</v>
      </c>
      <c r="F437" s="3" t="s">
        <v>28</v>
      </c>
      <c r="G437" s="3" t="n">
        <v>0</v>
      </c>
      <c r="H437" s="3" t="n">
        <v>1421</v>
      </c>
      <c r="I437" s="3" t="s">
        <v>22</v>
      </c>
      <c r="J437" s="3" t="n">
        <v>506</v>
      </c>
      <c r="K437" s="3" t="n">
        <v>0</v>
      </c>
      <c r="L437" s="3" t="n">
        <v>26.6</v>
      </c>
      <c r="M437" s="3" t="s">
        <v>23</v>
      </c>
      <c r="N437" s="3" t="n">
        <v>80</v>
      </c>
      <c r="O437" s="3" t="n">
        <v>28.033</v>
      </c>
      <c r="P437" s="3" t="n">
        <v>61.996</v>
      </c>
      <c r="Q437" s="3" t="s">
        <v>1191</v>
      </c>
      <c r="R437" s="3" t="s">
        <v>80</v>
      </c>
      <c r="S437" s="3" t="s">
        <v>660</v>
      </c>
    </row>
    <row r="438" customFormat="false" ht="13.8" hidden="false" customHeight="false" outlineLevel="0" collapsed="false">
      <c r="A438" s="3" t="s">
        <v>1192</v>
      </c>
      <c r="B438" s="3" t="n">
        <v>6.6</v>
      </c>
      <c r="C438" s="3" t="s">
        <v>1193</v>
      </c>
      <c r="D438" s="3" t="n">
        <v>0</v>
      </c>
      <c r="E438" s="3" t="n">
        <v>5</v>
      </c>
      <c r="F438" s="3" t="s">
        <v>21</v>
      </c>
      <c r="G438" s="3" t="n">
        <v>1</v>
      </c>
      <c r="H438" s="3" t="n">
        <v>670</v>
      </c>
      <c r="I438" s="3" t="s">
        <v>22</v>
      </c>
      <c r="J438" s="3" t="n">
        <v>491</v>
      </c>
      <c r="K438" s="3" t="n">
        <v>0</v>
      </c>
      <c r="L438" s="3" t="n">
        <v>11.5</v>
      </c>
      <c r="M438" s="3" t="s">
        <v>23</v>
      </c>
      <c r="N438" s="3" t="n">
        <v>31</v>
      </c>
      <c r="O438" s="3" t="n">
        <v>-6.475</v>
      </c>
      <c r="P438" s="3" t="n">
        <v>154.607</v>
      </c>
      <c r="Q438" s="3" t="s">
        <v>736</v>
      </c>
      <c r="R438" s="3"/>
      <c r="S438" s="3"/>
    </row>
    <row r="439" customFormat="false" ht="13.8" hidden="false" customHeight="false" outlineLevel="0" collapsed="false">
      <c r="A439" s="3" t="s">
        <v>1194</v>
      </c>
      <c r="B439" s="3" t="n">
        <v>7</v>
      </c>
      <c r="C439" s="3" t="s">
        <v>1195</v>
      </c>
      <c r="D439" s="3" t="n">
        <v>3</v>
      </c>
      <c r="E439" s="3" t="n">
        <v>7</v>
      </c>
      <c r="F439" s="3" t="s">
        <v>21</v>
      </c>
      <c r="G439" s="3" t="n">
        <v>1</v>
      </c>
      <c r="H439" s="3" t="n">
        <v>755</v>
      </c>
      <c r="I439" s="3" t="s">
        <v>22</v>
      </c>
      <c r="J439" s="3" t="n">
        <v>640</v>
      </c>
      <c r="K439" s="3" t="n">
        <v>0</v>
      </c>
      <c r="L439" s="3" t="n">
        <v>11.4</v>
      </c>
      <c r="M439" s="3" t="s">
        <v>23</v>
      </c>
      <c r="N439" s="3" t="n">
        <v>66</v>
      </c>
      <c r="O439" s="3" t="n">
        <v>-3.517</v>
      </c>
      <c r="P439" s="3" t="n">
        <v>138.476</v>
      </c>
      <c r="Q439" s="3" t="s">
        <v>926</v>
      </c>
      <c r="R439" s="3"/>
      <c r="S439" s="3" t="s">
        <v>68</v>
      </c>
    </row>
    <row r="440" customFormat="false" ht="13.8" hidden="false" customHeight="false" outlineLevel="0" collapsed="false">
      <c r="A440" s="3" t="s">
        <v>1196</v>
      </c>
      <c r="B440" s="3" t="n">
        <v>6.5</v>
      </c>
      <c r="C440" s="3" t="s">
        <v>1197</v>
      </c>
      <c r="D440" s="3" t="n">
        <v>0</v>
      </c>
      <c r="E440" s="3" t="n">
        <v>6</v>
      </c>
      <c r="F440" s="3" t="s">
        <v>21</v>
      </c>
      <c r="G440" s="3" t="n">
        <v>1</v>
      </c>
      <c r="H440" s="3" t="n">
        <v>650</v>
      </c>
      <c r="I440" s="3" t="s">
        <v>22</v>
      </c>
      <c r="J440" s="3" t="n">
        <v>317</v>
      </c>
      <c r="K440" s="3" t="n">
        <v>0</v>
      </c>
      <c r="L440" s="3" t="n">
        <v>14.2</v>
      </c>
      <c r="M440" s="3" t="s">
        <v>23</v>
      </c>
      <c r="N440" s="3" t="n">
        <v>28</v>
      </c>
      <c r="O440" s="3" t="n">
        <v>-6.598</v>
      </c>
      <c r="P440" s="3" t="n">
        <v>148.174</v>
      </c>
      <c r="Q440" s="3" t="s">
        <v>1011</v>
      </c>
      <c r="R440" s="3"/>
      <c r="S440" s="3" t="s">
        <v>85</v>
      </c>
    </row>
    <row r="441" customFormat="false" ht="13.8" hidden="false" customHeight="false" outlineLevel="0" collapsed="false">
      <c r="A441" s="3" t="s">
        <v>1198</v>
      </c>
      <c r="B441" s="3" t="n">
        <v>6.5</v>
      </c>
      <c r="C441" s="3" t="s">
        <v>1199</v>
      </c>
      <c r="D441" s="3" t="n">
        <v>3</v>
      </c>
      <c r="E441" s="3" t="n">
        <v>6</v>
      </c>
      <c r="F441" s="3" t="s">
        <v>21</v>
      </c>
      <c r="G441" s="3" t="n">
        <v>0</v>
      </c>
      <c r="H441" s="3" t="n">
        <v>651</v>
      </c>
      <c r="I441" s="3" t="s">
        <v>22</v>
      </c>
      <c r="J441" s="3" t="n">
        <v>480</v>
      </c>
      <c r="K441" s="3" t="n">
        <v>0</v>
      </c>
      <c r="L441" s="3" t="n">
        <v>20.7</v>
      </c>
      <c r="M441" s="3" t="s">
        <v>23</v>
      </c>
      <c r="N441" s="3" t="n">
        <v>29</v>
      </c>
      <c r="O441" s="3" t="n">
        <v>50.958</v>
      </c>
      <c r="P441" s="3" t="n">
        <v>157.408</v>
      </c>
      <c r="Q441" s="3" t="s">
        <v>565</v>
      </c>
      <c r="R441" s="3" t="s">
        <v>80</v>
      </c>
      <c r="S441" s="3"/>
    </row>
    <row r="442" customFormat="false" ht="13.8" hidden="false" customHeight="false" outlineLevel="0" collapsed="false">
      <c r="A442" s="3" t="s">
        <v>1200</v>
      </c>
      <c r="B442" s="3" t="n">
        <v>6.9</v>
      </c>
      <c r="C442" s="3" t="s">
        <v>1201</v>
      </c>
      <c r="D442" s="3" t="n">
        <v>5</v>
      </c>
      <c r="E442" s="3" t="n">
        <v>6</v>
      </c>
      <c r="F442" s="3" t="s">
        <v>21</v>
      </c>
      <c r="G442" s="3" t="n">
        <v>1</v>
      </c>
      <c r="H442" s="3" t="n">
        <v>736</v>
      </c>
      <c r="I442" s="3" t="s">
        <v>22</v>
      </c>
      <c r="J442" s="3" t="n">
        <v>531</v>
      </c>
      <c r="K442" s="3" t="n">
        <v>0</v>
      </c>
      <c r="L442" s="3" t="n">
        <v>20.7</v>
      </c>
      <c r="M442" s="3" t="s">
        <v>23</v>
      </c>
      <c r="N442" s="3" t="n">
        <v>41</v>
      </c>
      <c r="O442" s="3" t="n">
        <v>50.954</v>
      </c>
      <c r="P442" s="3" t="n">
        <v>157.283</v>
      </c>
      <c r="Q442" s="3" t="s">
        <v>565</v>
      </c>
      <c r="R442" s="3" t="s">
        <v>80</v>
      </c>
      <c r="S442" s="3"/>
    </row>
    <row r="443" customFormat="false" ht="13.8" hidden="false" customHeight="false" outlineLevel="0" collapsed="false">
      <c r="A443" s="3" t="s">
        <v>1202</v>
      </c>
      <c r="B443" s="3" t="n">
        <v>6.6</v>
      </c>
      <c r="C443" s="3" t="s">
        <v>1203</v>
      </c>
      <c r="D443" s="3" t="n">
        <v>0</v>
      </c>
      <c r="E443" s="3" t="n">
        <v>7</v>
      </c>
      <c r="F443" s="3" t="s">
        <v>21</v>
      </c>
      <c r="G443" s="3" t="n">
        <v>1</v>
      </c>
      <c r="H443" s="3" t="n">
        <v>670</v>
      </c>
      <c r="I443" s="3" t="s">
        <v>22</v>
      </c>
      <c r="J443" s="3" t="n">
        <v>697</v>
      </c>
      <c r="K443" s="3" t="n">
        <v>0</v>
      </c>
      <c r="L443" s="3" t="n">
        <v>15.3</v>
      </c>
      <c r="M443" s="3" t="s">
        <v>23</v>
      </c>
      <c r="N443" s="3" t="n">
        <v>11</v>
      </c>
      <c r="O443" s="3" t="n">
        <v>67.631</v>
      </c>
      <c r="P443" s="3" t="n">
        <v>142.508</v>
      </c>
      <c r="Q443" s="3" t="s">
        <v>1204</v>
      </c>
      <c r="R443" s="3" t="s">
        <v>80</v>
      </c>
      <c r="S443" s="3" t="s">
        <v>428</v>
      </c>
    </row>
    <row r="444" customFormat="false" ht="13.8" hidden="false" customHeight="false" outlineLevel="0" collapsed="false">
      <c r="A444" s="3" t="s">
        <v>1205</v>
      </c>
      <c r="B444" s="3" t="n">
        <v>6.6</v>
      </c>
      <c r="C444" s="3" t="s">
        <v>1206</v>
      </c>
      <c r="D444" s="3" t="n">
        <v>0</v>
      </c>
      <c r="E444" s="3" t="n">
        <v>6</v>
      </c>
      <c r="F444" s="3" t="s">
        <v>21</v>
      </c>
      <c r="G444" s="3" t="n">
        <v>1</v>
      </c>
      <c r="H444" s="3" t="n">
        <v>670</v>
      </c>
      <c r="I444" s="3" t="s">
        <v>22</v>
      </c>
      <c r="J444" s="3" t="n">
        <v>421</v>
      </c>
      <c r="K444" s="3" t="n">
        <v>0</v>
      </c>
      <c r="L444" s="3" t="n">
        <v>16.6</v>
      </c>
      <c r="M444" s="3" t="s">
        <v>23</v>
      </c>
      <c r="N444" s="3" t="n">
        <v>18</v>
      </c>
      <c r="O444" s="3" t="n">
        <v>-10.994</v>
      </c>
      <c r="P444" s="3" t="n">
        <v>165.741</v>
      </c>
      <c r="Q444" s="3" t="s">
        <v>412</v>
      </c>
      <c r="R444" s="3"/>
      <c r="S444" s="3" t="s">
        <v>140</v>
      </c>
    </row>
    <row r="445" customFormat="false" ht="13.8" hidden="false" customHeight="false" outlineLevel="0" collapsed="false">
      <c r="A445" s="3" t="s">
        <v>1207</v>
      </c>
      <c r="B445" s="3" t="n">
        <v>6.9</v>
      </c>
      <c r="C445" s="3" t="s">
        <v>1208</v>
      </c>
      <c r="D445" s="3" t="n">
        <v>5</v>
      </c>
      <c r="E445" s="3" t="n">
        <v>5</v>
      </c>
      <c r="F445" s="3" t="s">
        <v>21</v>
      </c>
      <c r="G445" s="3" t="n">
        <v>1</v>
      </c>
      <c r="H445" s="3" t="n">
        <v>904</v>
      </c>
      <c r="I445" s="3" t="s">
        <v>22</v>
      </c>
      <c r="J445" s="3" t="n">
        <v>562</v>
      </c>
      <c r="K445" s="3" t="n">
        <v>0</v>
      </c>
      <c r="L445" s="3" t="n">
        <v>23.7</v>
      </c>
      <c r="M445" s="3" t="s">
        <v>23</v>
      </c>
      <c r="N445" s="3" t="n">
        <v>145</v>
      </c>
      <c r="O445" s="3" t="n">
        <v>1.135</v>
      </c>
      <c r="P445" s="3" t="n">
        <v>-77.393</v>
      </c>
      <c r="Q445" s="3" t="s">
        <v>1209</v>
      </c>
      <c r="R445" s="3" t="s">
        <v>33</v>
      </c>
      <c r="S445" s="3" t="s">
        <v>54</v>
      </c>
    </row>
    <row r="446" customFormat="false" ht="13.8" hidden="false" customHeight="false" outlineLevel="0" collapsed="false">
      <c r="A446" s="3" t="s">
        <v>1210</v>
      </c>
      <c r="B446" s="3" t="n">
        <v>7.1</v>
      </c>
      <c r="C446" s="3" t="s">
        <v>1211</v>
      </c>
      <c r="D446" s="3" t="n">
        <v>9</v>
      </c>
      <c r="E446" s="3" t="n">
        <v>6</v>
      </c>
      <c r="F446" s="3" t="s">
        <v>21</v>
      </c>
      <c r="G446" s="3" t="n">
        <v>1</v>
      </c>
      <c r="H446" s="3" t="n">
        <v>780</v>
      </c>
      <c r="I446" s="3" t="s">
        <v>22</v>
      </c>
      <c r="J446" s="3" t="n">
        <v>334</v>
      </c>
      <c r="K446" s="3" t="n">
        <v>0</v>
      </c>
      <c r="L446" s="3" t="n">
        <v>16.5</v>
      </c>
      <c r="M446" s="3" t="s">
        <v>23</v>
      </c>
      <c r="N446" s="3" t="n">
        <v>21</v>
      </c>
      <c r="O446" s="3" t="n">
        <v>-10.928</v>
      </c>
      <c r="P446" s="3" t="n">
        <v>166.018</v>
      </c>
      <c r="Q446" s="3" t="s">
        <v>412</v>
      </c>
      <c r="R446" s="3"/>
      <c r="S446" s="3" t="s">
        <v>140</v>
      </c>
    </row>
    <row r="447" customFormat="false" ht="13.8" hidden="false" customHeight="false" outlineLevel="0" collapsed="false">
      <c r="A447" s="3" t="s">
        <v>1212</v>
      </c>
      <c r="B447" s="3" t="n">
        <v>6.8</v>
      </c>
      <c r="C447" s="3" t="s">
        <v>1213</v>
      </c>
      <c r="D447" s="3" t="n">
        <v>0</v>
      </c>
      <c r="E447" s="3" t="n">
        <v>7</v>
      </c>
      <c r="F447" s="3" t="s">
        <v>21</v>
      </c>
      <c r="G447" s="3" t="n">
        <v>1</v>
      </c>
      <c r="H447" s="3" t="n">
        <v>711</v>
      </c>
      <c r="I447" s="3" t="s">
        <v>22</v>
      </c>
      <c r="J447" s="3" t="n">
        <v>400</v>
      </c>
      <c r="K447" s="3" t="n">
        <v>0</v>
      </c>
      <c r="L447" s="3" t="n">
        <v>17.5</v>
      </c>
      <c r="M447" s="3" t="s">
        <v>23</v>
      </c>
      <c r="N447" s="3" t="n">
        <v>12</v>
      </c>
      <c r="O447" s="3" t="n">
        <v>-10.838</v>
      </c>
      <c r="P447" s="3" t="n">
        <v>165.969</v>
      </c>
      <c r="Q447" s="3" t="s">
        <v>412</v>
      </c>
      <c r="R447" s="3"/>
      <c r="S447" s="3" t="s">
        <v>140</v>
      </c>
    </row>
    <row r="448" customFormat="false" ht="13.8" hidden="false" customHeight="false" outlineLevel="0" collapsed="false">
      <c r="A448" s="3" t="s">
        <v>1214</v>
      </c>
      <c r="B448" s="3" t="n">
        <v>6.7</v>
      </c>
      <c r="C448" s="3" t="s">
        <v>1215</v>
      </c>
      <c r="D448" s="3" t="n">
        <v>0</v>
      </c>
      <c r="E448" s="3" t="n">
        <v>6</v>
      </c>
      <c r="F448" s="3" t="s">
        <v>21</v>
      </c>
      <c r="G448" s="3" t="n">
        <v>1</v>
      </c>
      <c r="H448" s="3" t="n">
        <v>691</v>
      </c>
      <c r="I448" s="3" t="s">
        <v>22</v>
      </c>
      <c r="J448" s="3" t="n">
        <v>387</v>
      </c>
      <c r="K448" s="3" t="n">
        <v>0</v>
      </c>
      <c r="L448" s="3" t="n">
        <v>26.5</v>
      </c>
      <c r="M448" s="3" t="s">
        <v>23</v>
      </c>
      <c r="N448" s="3" t="n">
        <v>11</v>
      </c>
      <c r="O448" s="3" t="n">
        <v>-10.997</v>
      </c>
      <c r="P448" s="3" t="n">
        <v>165.655</v>
      </c>
      <c r="Q448" s="3" t="s">
        <v>412</v>
      </c>
      <c r="R448" s="3"/>
      <c r="S448" s="3" t="s">
        <v>140</v>
      </c>
    </row>
    <row r="449" customFormat="false" ht="13.8" hidden="false" customHeight="false" outlineLevel="0" collapsed="false">
      <c r="A449" s="3" t="s">
        <v>1216</v>
      </c>
      <c r="B449" s="3" t="n">
        <v>7</v>
      </c>
      <c r="C449" s="3" t="s">
        <v>1217</v>
      </c>
      <c r="D449" s="3" t="n">
        <v>0</v>
      </c>
      <c r="E449" s="3" t="n">
        <v>6</v>
      </c>
      <c r="F449" s="3" t="s">
        <v>21</v>
      </c>
      <c r="G449" s="3" t="n">
        <v>0</v>
      </c>
      <c r="H449" s="3" t="n">
        <v>754</v>
      </c>
      <c r="I449" s="3" t="s">
        <v>22</v>
      </c>
      <c r="J449" s="3" t="n">
        <v>445</v>
      </c>
      <c r="K449" s="3" t="n">
        <v>0</v>
      </c>
      <c r="L449" s="3" t="n">
        <v>17.5</v>
      </c>
      <c r="M449" s="3" t="s">
        <v>23</v>
      </c>
      <c r="N449" s="3" t="n">
        <v>8.8</v>
      </c>
      <c r="O449" s="3" t="n">
        <v>-10.499</v>
      </c>
      <c r="P449" s="3" t="n">
        <v>165.588</v>
      </c>
      <c r="Q449" s="3" t="s">
        <v>412</v>
      </c>
      <c r="R449" s="3"/>
      <c r="S449" s="3" t="s">
        <v>140</v>
      </c>
    </row>
    <row r="450" customFormat="false" ht="13.8" hidden="false" customHeight="false" outlineLevel="0" collapsed="false">
      <c r="A450" s="3" t="s">
        <v>1218</v>
      </c>
      <c r="B450" s="3" t="n">
        <v>7.1</v>
      </c>
      <c r="C450" s="3" t="s">
        <v>1219</v>
      </c>
      <c r="D450" s="3" t="n">
        <v>0</v>
      </c>
      <c r="E450" s="3" t="n">
        <v>5</v>
      </c>
      <c r="F450" s="3" t="s">
        <v>21</v>
      </c>
      <c r="G450" s="3" t="n">
        <v>0</v>
      </c>
      <c r="H450" s="3" t="n">
        <v>776</v>
      </c>
      <c r="I450" s="3" t="s">
        <v>22</v>
      </c>
      <c r="J450" s="3" t="n">
        <v>550</v>
      </c>
      <c r="K450" s="3" t="n">
        <v>0</v>
      </c>
      <c r="L450" s="3" t="n">
        <v>18.4</v>
      </c>
      <c r="M450" s="3" t="s">
        <v>23</v>
      </c>
      <c r="N450" s="3" t="n">
        <v>10</v>
      </c>
      <c r="O450" s="3" t="n">
        <v>-11.183</v>
      </c>
      <c r="P450" s="3" t="n">
        <v>164.882</v>
      </c>
      <c r="Q450" s="3" t="s">
        <v>412</v>
      </c>
      <c r="R450" s="3"/>
      <c r="S450" s="3"/>
    </row>
    <row r="451" customFormat="false" ht="13.8" hidden="false" customHeight="false" outlineLevel="0" collapsed="false">
      <c r="A451" s="3" t="s">
        <v>1220</v>
      </c>
      <c r="B451" s="3" t="n">
        <v>8</v>
      </c>
      <c r="C451" s="3" t="s">
        <v>1221</v>
      </c>
      <c r="D451" s="3" t="n">
        <v>8</v>
      </c>
      <c r="E451" s="3" t="n">
        <v>7</v>
      </c>
      <c r="F451" s="3" t="s">
        <v>21</v>
      </c>
      <c r="G451" s="3" t="n">
        <v>1</v>
      </c>
      <c r="H451" s="3" t="n">
        <v>993</v>
      </c>
      <c r="I451" s="3" t="s">
        <v>22</v>
      </c>
      <c r="J451" s="3" t="n">
        <v>460</v>
      </c>
      <c r="K451" s="3" t="n">
        <v>0</v>
      </c>
      <c r="L451" s="3" t="n">
        <v>20.9</v>
      </c>
      <c r="M451" s="3" t="s">
        <v>23</v>
      </c>
      <c r="N451" s="3" t="n">
        <v>24</v>
      </c>
      <c r="O451" s="3" t="n">
        <v>-10.799</v>
      </c>
      <c r="P451" s="3" t="n">
        <v>165.114</v>
      </c>
      <c r="Q451" s="3" t="s">
        <v>412</v>
      </c>
      <c r="R451" s="3"/>
      <c r="S451" s="3"/>
    </row>
    <row r="452" customFormat="false" ht="13.8" hidden="false" customHeight="false" outlineLevel="0" collapsed="false">
      <c r="A452" s="3" t="s">
        <v>1222</v>
      </c>
      <c r="B452" s="3" t="n">
        <v>6.9</v>
      </c>
      <c r="C452" s="3" t="s">
        <v>1223</v>
      </c>
      <c r="D452" s="3" t="n">
        <v>6</v>
      </c>
      <c r="E452" s="3" t="n">
        <v>7</v>
      </c>
      <c r="F452" s="3" t="s">
        <v>28</v>
      </c>
      <c r="G452" s="3" t="n">
        <v>0</v>
      </c>
      <c r="H452" s="3" t="n">
        <v>814</v>
      </c>
      <c r="I452" s="3" t="s">
        <v>22</v>
      </c>
      <c r="J452" s="3" t="n">
        <v>686</v>
      </c>
      <c r="K452" s="3" t="n">
        <v>0</v>
      </c>
      <c r="L452" s="3" t="n">
        <v>28</v>
      </c>
      <c r="M452" s="3" t="s">
        <v>23</v>
      </c>
      <c r="N452" s="3" t="n">
        <v>107</v>
      </c>
      <c r="O452" s="3" t="n">
        <v>42.77</v>
      </c>
      <c r="P452" s="3" t="n">
        <v>143.092</v>
      </c>
      <c r="Q452" s="3" t="s">
        <v>1224</v>
      </c>
      <c r="R452" s="3" t="s">
        <v>80</v>
      </c>
      <c r="S452" s="3" t="s">
        <v>322</v>
      </c>
    </row>
    <row r="453" customFormat="false" ht="13.8" hidden="false" customHeight="false" outlineLevel="0" collapsed="false">
      <c r="A453" s="3" t="s">
        <v>1225</v>
      </c>
      <c r="B453" s="3" t="n">
        <v>6.8</v>
      </c>
      <c r="C453" s="3" t="s">
        <v>1226</v>
      </c>
      <c r="D453" s="3" t="n">
        <v>6</v>
      </c>
      <c r="E453" s="3" t="n">
        <v>7</v>
      </c>
      <c r="F453" s="3" t="s">
        <v>21</v>
      </c>
      <c r="G453" s="3" t="n">
        <v>0</v>
      </c>
      <c r="H453" s="3" t="n">
        <v>771</v>
      </c>
      <c r="I453" s="3" t="s">
        <v>22</v>
      </c>
      <c r="J453" s="3" t="n">
        <v>596</v>
      </c>
      <c r="K453" s="3" t="n">
        <v>0</v>
      </c>
      <c r="L453" s="3" t="n">
        <v>19.3</v>
      </c>
      <c r="M453" s="3" t="s">
        <v>23</v>
      </c>
      <c r="N453" s="3" t="n">
        <v>45</v>
      </c>
      <c r="O453" s="3" t="n">
        <v>-28.094</v>
      </c>
      <c r="P453" s="3" t="n">
        <v>-70.653</v>
      </c>
      <c r="Q453" s="3" t="s">
        <v>370</v>
      </c>
      <c r="R453" s="3" t="s">
        <v>33</v>
      </c>
      <c r="S453" s="3" t="s">
        <v>373</v>
      </c>
    </row>
    <row r="454" customFormat="false" ht="13.8" hidden="false" customHeight="false" outlineLevel="0" collapsed="false">
      <c r="A454" s="3" t="s">
        <v>1227</v>
      </c>
      <c r="B454" s="3" t="n">
        <v>7.5</v>
      </c>
      <c r="C454" s="3" t="s">
        <v>1228</v>
      </c>
      <c r="D454" s="3" t="n">
        <v>6</v>
      </c>
      <c r="E454" s="3" t="n">
        <v>6</v>
      </c>
      <c r="F454" s="3"/>
      <c r="G454" s="3" t="n">
        <v>0</v>
      </c>
      <c r="H454" s="3" t="n">
        <v>1425</v>
      </c>
      <c r="I454" s="3" t="s">
        <v>259</v>
      </c>
      <c r="J454" s="3" t="n">
        <v>0</v>
      </c>
      <c r="K454" s="3" t="n">
        <v>0</v>
      </c>
      <c r="L454" s="3" t="n">
        <v>0</v>
      </c>
      <c r="M454" s="3" t="s">
        <v>485</v>
      </c>
      <c r="N454" s="3" t="n">
        <v>8.7</v>
      </c>
      <c r="O454" s="3" t="n">
        <v>55.228</v>
      </c>
      <c r="P454" s="3" t="n">
        <v>-134.859</v>
      </c>
      <c r="Q454" s="3" t="s">
        <v>1229</v>
      </c>
      <c r="R454" s="3"/>
      <c r="S454" s="3"/>
    </row>
    <row r="455" customFormat="false" ht="13.8" hidden="false" customHeight="false" outlineLevel="0" collapsed="false">
      <c r="A455" s="3" t="s">
        <v>1230</v>
      </c>
      <c r="B455" s="3" t="n">
        <v>6.7</v>
      </c>
      <c r="C455" s="3" t="s">
        <v>1231</v>
      </c>
      <c r="D455" s="3" t="n">
        <v>0</v>
      </c>
      <c r="E455" s="3" t="n">
        <v>4</v>
      </c>
      <c r="F455" s="3"/>
      <c r="G455" s="3" t="n">
        <v>0</v>
      </c>
      <c r="H455" s="3" t="n">
        <v>691</v>
      </c>
      <c r="I455" s="3" t="s">
        <v>22</v>
      </c>
      <c r="J455" s="3" t="n">
        <v>521</v>
      </c>
      <c r="K455" s="3" t="n">
        <v>0</v>
      </c>
      <c r="L455" s="3" t="n">
        <v>13.7</v>
      </c>
      <c r="M455" s="3" t="s">
        <v>23</v>
      </c>
      <c r="N455" s="3" t="n">
        <v>200.7</v>
      </c>
      <c r="O455" s="3" t="n">
        <v>-14.344</v>
      </c>
      <c r="P455" s="3" t="n">
        <v>167.286</v>
      </c>
      <c r="Q455" s="3" t="s">
        <v>24</v>
      </c>
      <c r="R455" s="3"/>
      <c r="S455" s="3" t="s">
        <v>25</v>
      </c>
    </row>
    <row r="456" customFormat="false" ht="13.8" hidden="false" customHeight="false" outlineLevel="0" collapsed="false">
      <c r="A456" s="3" t="s">
        <v>1232</v>
      </c>
      <c r="B456" s="3" t="n">
        <v>7.1</v>
      </c>
      <c r="C456" s="3" t="s">
        <v>1233</v>
      </c>
      <c r="D456" s="3" t="n">
        <v>5</v>
      </c>
      <c r="E456" s="3" t="n">
        <v>5</v>
      </c>
      <c r="F456" s="3"/>
      <c r="G456" s="3" t="n">
        <v>0</v>
      </c>
      <c r="H456" s="3" t="n">
        <v>843</v>
      </c>
      <c r="I456" s="3" t="s">
        <v>22</v>
      </c>
      <c r="J456" s="3" t="n">
        <v>517</v>
      </c>
      <c r="K456" s="3" t="n">
        <v>0</v>
      </c>
      <c r="L456" s="3" t="n">
        <v>8.7</v>
      </c>
      <c r="M456" s="3" t="s">
        <v>23</v>
      </c>
      <c r="N456" s="3" t="n">
        <v>155</v>
      </c>
      <c r="O456" s="3" t="n">
        <v>-6.533</v>
      </c>
      <c r="P456" s="3" t="n">
        <v>129.825</v>
      </c>
      <c r="Q456" s="3" t="s">
        <v>415</v>
      </c>
      <c r="R456" s="3"/>
      <c r="S456" s="3" t="s">
        <v>68</v>
      </c>
    </row>
    <row r="457" customFormat="false" ht="13.8" hidden="false" customHeight="false" outlineLevel="0" collapsed="false">
      <c r="A457" s="3" t="s">
        <v>1234</v>
      </c>
      <c r="B457" s="3" t="n">
        <v>7.3</v>
      </c>
      <c r="C457" s="3" t="s">
        <v>1235</v>
      </c>
      <c r="D457" s="3" t="n">
        <v>6</v>
      </c>
      <c r="E457" s="3" t="n">
        <v>5</v>
      </c>
      <c r="F457" s="3"/>
      <c r="G457" s="3" t="n">
        <v>0</v>
      </c>
      <c r="H457" s="3" t="n">
        <v>1014</v>
      </c>
      <c r="I457" s="3" t="s">
        <v>22</v>
      </c>
      <c r="J457" s="3" t="n">
        <v>918</v>
      </c>
      <c r="K457" s="3" t="n">
        <v>0</v>
      </c>
      <c r="L457" s="3" t="n">
        <v>14.8</v>
      </c>
      <c r="M457" s="3" t="s">
        <v>23</v>
      </c>
      <c r="N457" s="3" t="n">
        <v>31</v>
      </c>
      <c r="O457" s="3" t="n">
        <v>37.89</v>
      </c>
      <c r="P457" s="3" t="n">
        <v>143.949</v>
      </c>
      <c r="Q457" s="3" t="s">
        <v>953</v>
      </c>
      <c r="R457" s="3"/>
      <c r="S457" s="3"/>
    </row>
    <row r="458" customFormat="false" ht="13.8" hidden="false" customHeight="false" outlineLevel="0" collapsed="false">
      <c r="A458" s="3" t="s">
        <v>1236</v>
      </c>
      <c r="B458" s="3" t="n">
        <v>6.5</v>
      </c>
      <c r="C458" s="3" t="s">
        <v>1237</v>
      </c>
      <c r="D458" s="3" t="n">
        <v>4</v>
      </c>
      <c r="E458" s="3" t="n">
        <v>5</v>
      </c>
      <c r="F458" s="3"/>
      <c r="G458" s="3" t="n">
        <v>0</v>
      </c>
      <c r="H458" s="3" t="n">
        <v>708</v>
      </c>
      <c r="I458" s="3" t="s">
        <v>22</v>
      </c>
      <c r="J458" s="3" t="n">
        <v>598</v>
      </c>
      <c r="K458" s="3" t="n">
        <v>0</v>
      </c>
      <c r="L458" s="3" t="n">
        <v>57.3</v>
      </c>
      <c r="M458" s="3" t="s">
        <v>23</v>
      </c>
      <c r="N458" s="3" t="n">
        <v>20</v>
      </c>
      <c r="O458" s="3" t="n">
        <v>14.129</v>
      </c>
      <c r="P458" s="3" t="n">
        <v>-92.164</v>
      </c>
      <c r="Q458" s="3" t="s">
        <v>1238</v>
      </c>
      <c r="R458" s="3"/>
      <c r="S458" s="3"/>
    </row>
    <row r="459" customFormat="false" ht="13.8" hidden="false" customHeight="false" outlineLevel="0" collapsed="false">
      <c r="A459" s="3" t="s">
        <v>1239</v>
      </c>
      <c r="B459" s="3" t="n">
        <v>6.8</v>
      </c>
      <c r="C459" s="3" t="s">
        <v>1240</v>
      </c>
      <c r="D459" s="3" t="n">
        <v>7</v>
      </c>
      <c r="E459" s="3" t="n">
        <v>6</v>
      </c>
      <c r="F459" s="3"/>
      <c r="G459" s="3" t="n">
        <v>0</v>
      </c>
      <c r="H459" s="3" t="n">
        <v>795</v>
      </c>
      <c r="I459" s="3" t="s">
        <v>22</v>
      </c>
      <c r="J459" s="3" t="n">
        <v>391</v>
      </c>
      <c r="K459" s="3" t="n">
        <v>0</v>
      </c>
      <c r="L459" s="3" t="n">
        <v>13.7</v>
      </c>
      <c r="M459" s="3" t="s">
        <v>23</v>
      </c>
      <c r="N459" s="3" t="n">
        <v>13.7</v>
      </c>
      <c r="O459" s="3" t="n">
        <v>23.005</v>
      </c>
      <c r="P459" s="3" t="n">
        <v>95.885</v>
      </c>
      <c r="Q459" s="3" t="s">
        <v>1241</v>
      </c>
      <c r="R459" s="3" t="s">
        <v>80</v>
      </c>
      <c r="S459" s="3" t="s">
        <v>801</v>
      </c>
    </row>
    <row r="460" customFormat="false" ht="13.8" hidden="false" customHeight="false" outlineLevel="0" collapsed="false">
      <c r="A460" s="3" t="s">
        <v>1242</v>
      </c>
      <c r="B460" s="3" t="n">
        <v>7.4</v>
      </c>
      <c r="C460" s="3" t="s">
        <v>1243</v>
      </c>
      <c r="D460" s="3" t="n">
        <v>8</v>
      </c>
      <c r="E460" s="3" t="n">
        <v>7</v>
      </c>
      <c r="F460" s="3" t="s">
        <v>28</v>
      </c>
      <c r="G460" s="3" t="n">
        <v>0</v>
      </c>
      <c r="H460" s="3" t="n">
        <v>1455</v>
      </c>
      <c r="I460" s="3" t="s">
        <v>22</v>
      </c>
      <c r="J460" s="3" t="n">
        <v>751</v>
      </c>
      <c r="K460" s="3" t="n">
        <v>0</v>
      </c>
      <c r="L460" s="3" t="n">
        <v>25.5</v>
      </c>
      <c r="M460" s="3" t="s">
        <v>23</v>
      </c>
      <c r="N460" s="3" t="n">
        <v>24</v>
      </c>
      <c r="O460" s="3" t="n">
        <v>13.988</v>
      </c>
      <c r="P460" s="3" t="n">
        <v>-91.895</v>
      </c>
      <c r="Q460" s="3" t="s">
        <v>1238</v>
      </c>
      <c r="R460" s="3"/>
      <c r="S460" s="3"/>
    </row>
    <row r="461" customFormat="false" ht="13.8" hidden="false" customHeight="false" outlineLevel="0" collapsed="false">
      <c r="A461" s="3" t="s">
        <v>1244</v>
      </c>
      <c r="B461" s="3" t="n">
        <v>7.8</v>
      </c>
      <c r="C461" s="3" t="s">
        <v>1245</v>
      </c>
      <c r="D461" s="3" t="n">
        <v>8</v>
      </c>
      <c r="E461" s="3" t="n">
        <v>7</v>
      </c>
      <c r="F461" s="3"/>
      <c r="G461" s="3" t="n">
        <v>0</v>
      </c>
      <c r="H461" s="3" t="n">
        <v>1726</v>
      </c>
      <c r="I461" s="3" t="s">
        <v>22</v>
      </c>
      <c r="J461" s="3" t="n">
        <v>807</v>
      </c>
      <c r="K461" s="3" t="n">
        <v>0</v>
      </c>
      <c r="L461" s="3" t="n">
        <v>42.7</v>
      </c>
      <c r="M461" s="3" t="s">
        <v>23</v>
      </c>
      <c r="N461" s="3" t="n">
        <v>14</v>
      </c>
      <c r="O461" s="3" t="n">
        <v>52.788</v>
      </c>
      <c r="P461" s="3" t="n">
        <v>-132.101</v>
      </c>
      <c r="Q461" s="3" t="s">
        <v>1246</v>
      </c>
      <c r="R461" s="3" t="s">
        <v>164</v>
      </c>
      <c r="S461" s="3" t="s">
        <v>1247</v>
      </c>
    </row>
    <row r="462" customFormat="false" ht="13.8" hidden="false" customHeight="false" outlineLevel="0" collapsed="false">
      <c r="A462" s="3" t="s">
        <v>1248</v>
      </c>
      <c r="B462" s="3" t="n">
        <v>6.5</v>
      </c>
      <c r="C462" s="3" t="s">
        <v>1249</v>
      </c>
      <c r="D462" s="3" t="n">
        <v>6</v>
      </c>
      <c r="E462" s="3" t="n">
        <v>6</v>
      </c>
      <c r="F462" s="3"/>
      <c r="G462" s="3" t="n">
        <v>0</v>
      </c>
      <c r="H462" s="3" t="n">
        <v>745</v>
      </c>
      <c r="I462" s="3" t="s">
        <v>22</v>
      </c>
      <c r="J462" s="3" t="n">
        <v>691</v>
      </c>
      <c r="K462" s="3" t="n">
        <v>0</v>
      </c>
      <c r="L462" s="3" t="n">
        <v>34.4</v>
      </c>
      <c r="M462" s="3" t="s">
        <v>23</v>
      </c>
      <c r="N462" s="3" t="n">
        <v>17</v>
      </c>
      <c r="O462" s="3" t="n">
        <v>10.086</v>
      </c>
      <c r="P462" s="3" t="n">
        <v>-85.298</v>
      </c>
      <c r="Q462" s="3" t="s">
        <v>656</v>
      </c>
      <c r="R462" s="3"/>
      <c r="S462" s="3" t="s">
        <v>656</v>
      </c>
    </row>
    <row r="463" customFormat="false" ht="13.8" hidden="false" customHeight="false" outlineLevel="0" collapsed="false">
      <c r="A463" s="3" t="s">
        <v>1250</v>
      </c>
      <c r="B463" s="3" t="n">
        <v>6.6</v>
      </c>
      <c r="C463" s="3" t="s">
        <v>1251</v>
      </c>
      <c r="D463" s="3" t="n">
        <v>3</v>
      </c>
      <c r="E463" s="3" t="n">
        <v>5</v>
      </c>
      <c r="F463" s="3"/>
      <c r="G463" s="3" t="n">
        <v>0</v>
      </c>
      <c r="H463" s="3" t="n">
        <v>675</v>
      </c>
      <c r="I463" s="3" t="s">
        <v>22</v>
      </c>
      <c r="J463" s="3" t="n">
        <v>291</v>
      </c>
      <c r="K463" s="3" t="n">
        <v>0</v>
      </c>
      <c r="L463" s="3" t="n">
        <v>17.7</v>
      </c>
      <c r="M463" s="3" t="s">
        <v>23</v>
      </c>
      <c r="N463" s="3" t="n">
        <v>13</v>
      </c>
      <c r="O463" s="3" t="n">
        <v>-4.892</v>
      </c>
      <c r="P463" s="3" t="n">
        <v>134.03</v>
      </c>
      <c r="Q463" s="3" t="s">
        <v>1252</v>
      </c>
      <c r="R463" s="3"/>
      <c r="S463" s="3" t="s">
        <v>68</v>
      </c>
    </row>
    <row r="464" customFormat="false" ht="13.8" hidden="false" customHeight="false" outlineLevel="0" collapsed="false">
      <c r="A464" s="3" t="s">
        <v>1253</v>
      </c>
      <c r="B464" s="3" t="n">
        <v>7.3</v>
      </c>
      <c r="C464" s="3" t="s">
        <v>1254</v>
      </c>
      <c r="D464" s="3" t="n">
        <v>7</v>
      </c>
      <c r="E464" s="3" t="n">
        <v>6</v>
      </c>
      <c r="F464" s="3"/>
      <c r="G464" s="3" t="n">
        <v>0</v>
      </c>
      <c r="H464" s="3" t="n">
        <v>1221</v>
      </c>
      <c r="I464" s="3" t="s">
        <v>22</v>
      </c>
      <c r="J464" s="3" t="n">
        <v>934</v>
      </c>
      <c r="K464" s="3" t="n">
        <v>0</v>
      </c>
      <c r="L464" s="3" t="n">
        <v>15.5</v>
      </c>
      <c r="M464" s="3" t="s">
        <v>23</v>
      </c>
      <c r="N464" s="3" t="n">
        <v>170</v>
      </c>
      <c r="O464" s="3" t="n">
        <v>1.929</v>
      </c>
      <c r="P464" s="3" t="n">
        <v>-76.362</v>
      </c>
      <c r="Q464" s="3" t="s">
        <v>1255</v>
      </c>
      <c r="R464" s="3" t="s">
        <v>33</v>
      </c>
      <c r="S464" s="3" t="s">
        <v>54</v>
      </c>
    </row>
    <row r="465" customFormat="false" ht="13.8" hidden="false" customHeight="false" outlineLevel="0" collapsed="false">
      <c r="A465" s="3" t="s">
        <v>1256</v>
      </c>
      <c r="B465" s="3" t="n">
        <v>7.6</v>
      </c>
      <c r="C465" s="3" t="s">
        <v>1257</v>
      </c>
      <c r="D465" s="3" t="n">
        <v>8</v>
      </c>
      <c r="E465" s="3" t="n">
        <v>7</v>
      </c>
      <c r="F465" s="3"/>
      <c r="G465" s="3" t="n">
        <v>0</v>
      </c>
      <c r="H465" s="3" t="n">
        <v>1555</v>
      </c>
      <c r="I465" s="3" t="s">
        <v>22</v>
      </c>
      <c r="J465" s="3" t="n">
        <v>703</v>
      </c>
      <c r="K465" s="3" t="n">
        <v>0</v>
      </c>
      <c r="L465" s="3" t="n">
        <v>34.3</v>
      </c>
      <c r="M465" s="3" t="s">
        <v>23</v>
      </c>
      <c r="N465" s="3" t="n">
        <v>35</v>
      </c>
      <c r="O465" s="3" t="n">
        <v>10.085</v>
      </c>
      <c r="P465" s="3" t="n">
        <v>-85.315</v>
      </c>
      <c r="Q465" s="3" t="s">
        <v>1258</v>
      </c>
      <c r="R465" s="3"/>
      <c r="S465" s="3" t="s">
        <v>656</v>
      </c>
    </row>
    <row r="466" customFormat="false" ht="13.8" hidden="false" customHeight="false" outlineLevel="0" collapsed="false">
      <c r="A466" s="3" t="s">
        <v>1259</v>
      </c>
      <c r="B466" s="3" t="n">
        <v>7.6</v>
      </c>
      <c r="C466" s="3" t="s">
        <v>1260</v>
      </c>
      <c r="D466" s="3" t="n">
        <v>8</v>
      </c>
      <c r="E466" s="3" t="n">
        <v>5</v>
      </c>
      <c r="F466" s="3"/>
      <c r="G466" s="3" t="n">
        <v>0</v>
      </c>
      <c r="H466" s="3" t="n">
        <v>1115</v>
      </c>
      <c r="I466" s="3" t="s">
        <v>22</v>
      </c>
      <c r="J466" s="3" t="n">
        <v>682</v>
      </c>
      <c r="K466" s="3" t="n">
        <v>0</v>
      </c>
      <c r="L466" s="3" t="n">
        <v>10.2</v>
      </c>
      <c r="M466" s="3" t="s">
        <v>23</v>
      </c>
      <c r="N466" s="3" t="n">
        <v>28</v>
      </c>
      <c r="O466" s="3" t="n">
        <v>10.811</v>
      </c>
      <c r="P466" s="3" t="n">
        <v>126.638</v>
      </c>
      <c r="Q466" s="3" t="s">
        <v>1261</v>
      </c>
      <c r="R466" s="3"/>
      <c r="S466" s="3"/>
    </row>
    <row r="467" customFormat="false" ht="13.8" hidden="false" customHeight="false" outlineLevel="0" collapsed="false">
      <c r="A467" s="3" t="s">
        <v>1262</v>
      </c>
      <c r="B467" s="3" t="n">
        <v>7.3</v>
      </c>
      <c r="C467" s="3" t="s">
        <v>1263</v>
      </c>
      <c r="D467" s="3" t="n">
        <v>5</v>
      </c>
      <c r="E467" s="3" t="n">
        <v>5</v>
      </c>
      <c r="F467" s="3"/>
      <c r="G467" s="3" t="n">
        <v>0</v>
      </c>
      <c r="H467" s="3" t="n">
        <v>994</v>
      </c>
      <c r="I467" s="3" t="s">
        <v>22</v>
      </c>
      <c r="J467" s="3" t="n">
        <v>417</v>
      </c>
      <c r="K467" s="3" t="n">
        <v>0</v>
      </c>
      <c r="L467" s="3" t="n">
        <v>37</v>
      </c>
      <c r="M467" s="3" t="s">
        <v>23</v>
      </c>
      <c r="N467" s="3" t="n">
        <v>28</v>
      </c>
      <c r="O467" s="3" t="n">
        <v>12.139</v>
      </c>
      <c r="P467" s="3" t="n">
        <v>-88.59</v>
      </c>
      <c r="Q467" s="3" t="s">
        <v>768</v>
      </c>
      <c r="R467" s="3"/>
      <c r="S467" s="3"/>
    </row>
    <row r="468" customFormat="false" ht="13.8" hidden="false" customHeight="false" outlineLevel="0" collapsed="false">
      <c r="A468" s="3" t="s">
        <v>1264</v>
      </c>
      <c r="B468" s="3" t="n">
        <v>6.6</v>
      </c>
      <c r="C468" s="3" t="s">
        <v>1265</v>
      </c>
      <c r="D468" s="3" t="n">
        <v>4</v>
      </c>
      <c r="E468" s="3" t="n">
        <v>5</v>
      </c>
      <c r="F468" s="3"/>
      <c r="G468" s="3" t="n">
        <v>0</v>
      </c>
      <c r="H468" s="3" t="n">
        <v>678</v>
      </c>
      <c r="I468" s="3" t="s">
        <v>22</v>
      </c>
      <c r="J468" s="3" t="n">
        <v>497</v>
      </c>
      <c r="K468" s="3" t="n">
        <v>0</v>
      </c>
      <c r="L468" s="3" t="n">
        <v>14.6</v>
      </c>
      <c r="M468" s="3" t="s">
        <v>23</v>
      </c>
      <c r="N468" s="3" t="n">
        <v>91.1</v>
      </c>
      <c r="O468" s="3" t="n">
        <v>2.19</v>
      </c>
      <c r="P468" s="3" t="n">
        <v>126.837</v>
      </c>
      <c r="Q468" s="3" t="s">
        <v>128</v>
      </c>
      <c r="R468" s="3"/>
      <c r="S468" s="3" t="s">
        <v>68</v>
      </c>
    </row>
    <row r="469" customFormat="false" ht="13.8" hidden="false" customHeight="false" outlineLevel="0" collapsed="false">
      <c r="A469" s="3" t="s">
        <v>1266</v>
      </c>
      <c r="B469" s="3" t="n">
        <v>7.7</v>
      </c>
      <c r="C469" s="3" t="s">
        <v>1267</v>
      </c>
      <c r="D469" s="3" t="n">
        <v>7</v>
      </c>
      <c r="E469" s="3" t="n">
        <v>4</v>
      </c>
      <c r="F469" s="3"/>
      <c r="G469" s="3" t="n">
        <v>0</v>
      </c>
      <c r="H469" s="3" t="n">
        <v>941</v>
      </c>
      <c r="I469" s="3" t="s">
        <v>22</v>
      </c>
      <c r="J469" s="3" t="n">
        <v>862</v>
      </c>
      <c r="K469" s="3" t="n">
        <v>0</v>
      </c>
      <c r="L469" s="3" t="n">
        <v>13.8</v>
      </c>
      <c r="M469" s="3" t="s">
        <v>23</v>
      </c>
      <c r="N469" s="3" t="n">
        <v>583.2</v>
      </c>
      <c r="O469" s="3" t="n">
        <v>49.8</v>
      </c>
      <c r="P469" s="3" t="n">
        <v>145.064</v>
      </c>
      <c r="Q469" s="3" t="s">
        <v>1268</v>
      </c>
      <c r="R469" s="3"/>
      <c r="S469" s="3"/>
    </row>
    <row r="470" customFormat="false" ht="13.8" hidden="false" customHeight="false" outlineLevel="0" collapsed="false">
      <c r="A470" s="3" t="s">
        <v>1269</v>
      </c>
      <c r="B470" s="3" t="n">
        <v>6.5</v>
      </c>
      <c r="C470" s="3" t="s">
        <v>1270</v>
      </c>
      <c r="D470" s="3" t="n">
        <v>5</v>
      </c>
      <c r="E470" s="3" t="n">
        <v>6</v>
      </c>
      <c r="F470" s="3"/>
      <c r="G470" s="3" t="n">
        <v>0</v>
      </c>
      <c r="H470" s="3" t="n">
        <v>653</v>
      </c>
      <c r="I470" s="3" t="s">
        <v>22</v>
      </c>
      <c r="J470" s="3" t="n">
        <v>576</v>
      </c>
      <c r="K470" s="3" t="n">
        <v>0</v>
      </c>
      <c r="L470" s="3" t="n">
        <v>11.7</v>
      </c>
      <c r="M470" s="3" t="s">
        <v>23</v>
      </c>
      <c r="N470" s="3" t="n">
        <v>41</v>
      </c>
      <c r="O470" s="3" t="n">
        <v>-4.651</v>
      </c>
      <c r="P470" s="3" t="n">
        <v>153.173</v>
      </c>
      <c r="Q470" s="3" t="s">
        <v>625</v>
      </c>
      <c r="R470" s="3"/>
      <c r="S470" s="3" t="s">
        <v>85</v>
      </c>
    </row>
    <row r="471" customFormat="false" ht="13.8" hidden="false" customHeight="false" outlineLevel="0" collapsed="false">
      <c r="A471" s="3" t="s">
        <v>1271</v>
      </c>
      <c r="B471" s="3" t="n">
        <v>6.6</v>
      </c>
      <c r="C471" s="3" t="s">
        <v>1272</v>
      </c>
      <c r="D471" s="3" t="n">
        <v>4</v>
      </c>
      <c r="E471" s="3" t="n">
        <v>5</v>
      </c>
      <c r="F471" s="3"/>
      <c r="G471" s="3" t="n">
        <v>0</v>
      </c>
      <c r="H471" s="3" t="n">
        <v>675</v>
      </c>
      <c r="I471" s="3" t="s">
        <v>22</v>
      </c>
      <c r="J471" s="3" t="n">
        <v>529</v>
      </c>
      <c r="K471" s="3" t="n">
        <v>0</v>
      </c>
      <c r="L471" s="3" t="n">
        <v>15.7</v>
      </c>
      <c r="M471" s="3" t="s">
        <v>23</v>
      </c>
      <c r="N471" s="3" t="n">
        <v>134.7</v>
      </c>
      <c r="O471" s="3" t="n">
        <v>-18.685</v>
      </c>
      <c r="P471" s="3" t="n">
        <v>-174.705</v>
      </c>
      <c r="Q471" s="3" t="s">
        <v>149</v>
      </c>
      <c r="R471" s="3"/>
      <c r="S471" s="3" t="s">
        <v>47</v>
      </c>
    </row>
    <row r="472" customFormat="false" ht="13.8" hidden="false" customHeight="false" outlineLevel="0" collapsed="false">
      <c r="A472" s="3" t="s">
        <v>1273</v>
      </c>
      <c r="B472" s="3" t="n">
        <v>6.7</v>
      </c>
      <c r="C472" s="3" t="s">
        <v>1274</v>
      </c>
      <c r="D472" s="3" t="n">
        <v>0</v>
      </c>
      <c r="E472" s="3" t="n">
        <v>7</v>
      </c>
      <c r="F472" s="3"/>
      <c r="G472" s="3" t="n">
        <v>0</v>
      </c>
      <c r="H472" s="3" t="n">
        <v>691</v>
      </c>
      <c r="I472" s="3" t="s">
        <v>22</v>
      </c>
      <c r="J472" s="3" t="n">
        <v>370</v>
      </c>
      <c r="K472" s="3" t="n">
        <v>0</v>
      </c>
      <c r="L472" s="3" t="n">
        <v>15.4</v>
      </c>
      <c r="M472" s="3" t="s">
        <v>23</v>
      </c>
      <c r="N472" s="3" t="n">
        <v>16</v>
      </c>
      <c r="O472" s="3" t="n">
        <v>-1.617</v>
      </c>
      <c r="P472" s="3" t="n">
        <v>134.276</v>
      </c>
      <c r="Q472" s="3" t="s">
        <v>1275</v>
      </c>
      <c r="R472" s="3"/>
      <c r="S472" s="3" t="s">
        <v>68</v>
      </c>
    </row>
    <row r="473" customFormat="false" ht="13.8" hidden="false" customHeight="false" outlineLevel="0" collapsed="false">
      <c r="A473" s="3" t="s">
        <v>1276</v>
      </c>
      <c r="B473" s="3" t="n">
        <v>6.8</v>
      </c>
      <c r="C473" s="3" t="s">
        <v>1277</v>
      </c>
      <c r="D473" s="3" t="n">
        <v>6</v>
      </c>
      <c r="E473" s="3" t="n">
        <v>5</v>
      </c>
      <c r="F473" s="3"/>
      <c r="G473" s="3" t="n">
        <v>0</v>
      </c>
      <c r="H473" s="3" t="n">
        <v>732</v>
      </c>
      <c r="I473" s="3" t="s">
        <v>22</v>
      </c>
      <c r="J473" s="3" t="n">
        <v>597</v>
      </c>
      <c r="K473" s="3" t="n">
        <v>0</v>
      </c>
      <c r="L473" s="3" t="n">
        <v>12.6</v>
      </c>
      <c r="M473" s="3" t="s">
        <v>23</v>
      </c>
      <c r="N473" s="3" t="n">
        <v>198</v>
      </c>
      <c r="O473" s="3" t="n">
        <v>-5.462</v>
      </c>
      <c r="P473" s="3" t="n">
        <v>147.117</v>
      </c>
      <c r="Q473" s="3" t="s">
        <v>1278</v>
      </c>
      <c r="R473" s="3"/>
      <c r="S473" s="3" t="s">
        <v>85</v>
      </c>
    </row>
    <row r="474" customFormat="false" ht="13.8" hidden="false" customHeight="false" outlineLevel="0" collapsed="false">
      <c r="A474" s="3" t="s">
        <v>1279</v>
      </c>
      <c r="B474" s="3" t="n">
        <v>6.7</v>
      </c>
      <c r="C474" s="3" t="s">
        <v>1280</v>
      </c>
      <c r="D474" s="3" t="n">
        <v>0</v>
      </c>
      <c r="E474" s="3" t="n">
        <v>7</v>
      </c>
      <c r="F474" s="3"/>
      <c r="G474" s="3" t="n">
        <v>0</v>
      </c>
      <c r="H474" s="3" t="n">
        <v>691</v>
      </c>
      <c r="I474" s="3" t="s">
        <v>22</v>
      </c>
      <c r="J474" s="3" t="n">
        <v>518</v>
      </c>
      <c r="K474" s="3" t="n">
        <v>0</v>
      </c>
      <c r="L474" s="3" t="n">
        <v>26.9</v>
      </c>
      <c r="M474" s="3" t="s">
        <v>23</v>
      </c>
      <c r="N474" s="3" t="n">
        <v>29</v>
      </c>
      <c r="O474" s="3" t="n">
        <v>-32.625</v>
      </c>
      <c r="P474" s="3" t="n">
        <v>-71.365</v>
      </c>
      <c r="Q474" s="3" t="s">
        <v>1281</v>
      </c>
      <c r="R474" s="3" t="s">
        <v>33</v>
      </c>
      <c r="S474" s="3" t="s">
        <v>373</v>
      </c>
    </row>
    <row r="475" customFormat="false" ht="13.8" hidden="false" customHeight="false" outlineLevel="0" collapsed="false">
      <c r="A475" s="3" t="s">
        <v>1282</v>
      </c>
      <c r="B475" s="3" t="n">
        <v>7</v>
      </c>
      <c r="C475" s="3" t="s">
        <v>1283</v>
      </c>
      <c r="D475" s="3" t="n">
        <v>7</v>
      </c>
      <c r="E475" s="3" t="n">
        <v>7</v>
      </c>
      <c r="F475" s="3"/>
      <c r="G475" s="3" t="n">
        <v>0</v>
      </c>
      <c r="H475" s="3" t="n">
        <v>1000</v>
      </c>
      <c r="I475" s="3" t="s">
        <v>22</v>
      </c>
      <c r="J475" s="3" t="n">
        <v>474</v>
      </c>
      <c r="K475" s="3" t="n">
        <v>0</v>
      </c>
      <c r="L475" s="3" t="n">
        <v>95.9</v>
      </c>
      <c r="M475" s="3" t="s">
        <v>23</v>
      </c>
      <c r="N475" s="3" t="n">
        <v>13</v>
      </c>
      <c r="O475" s="3" t="n">
        <v>28.696</v>
      </c>
      <c r="P475" s="3" t="n">
        <v>-113.104</v>
      </c>
      <c r="Q475" s="3" t="s">
        <v>1284</v>
      </c>
      <c r="R475" s="3" t="s">
        <v>164</v>
      </c>
      <c r="S475" s="3" t="s">
        <v>165</v>
      </c>
    </row>
    <row r="476" customFormat="false" ht="13.8" hidden="false" customHeight="false" outlineLevel="0" collapsed="false">
      <c r="A476" s="3" t="s">
        <v>1285</v>
      </c>
      <c r="B476" s="3" t="n">
        <v>6.5</v>
      </c>
      <c r="C476" s="3" t="s">
        <v>1286</v>
      </c>
      <c r="D476" s="3" t="n">
        <v>7</v>
      </c>
      <c r="E476" s="3" t="n">
        <v>6</v>
      </c>
      <c r="F476" s="3"/>
      <c r="G476" s="3" t="n">
        <v>0</v>
      </c>
      <c r="H476" s="3" t="n">
        <v>1171</v>
      </c>
      <c r="I476" s="3" t="s">
        <v>22</v>
      </c>
      <c r="J476" s="3" t="n">
        <v>599</v>
      </c>
      <c r="K476" s="3" t="n">
        <v>0</v>
      </c>
      <c r="L476" s="3" t="n">
        <v>54.1</v>
      </c>
      <c r="M476" s="3" t="s">
        <v>154</v>
      </c>
      <c r="N476" s="3" t="n">
        <v>20</v>
      </c>
      <c r="O476" s="3" t="n">
        <v>18.229</v>
      </c>
      <c r="P476" s="3" t="n">
        <v>-102.689</v>
      </c>
      <c r="Q476" s="3" t="s">
        <v>1287</v>
      </c>
      <c r="R476" s="3" t="s">
        <v>164</v>
      </c>
      <c r="S476" s="3" t="s">
        <v>165</v>
      </c>
    </row>
    <row r="477" customFormat="false" ht="13.8" hidden="false" customHeight="false" outlineLevel="0" collapsed="false">
      <c r="A477" s="3" t="s">
        <v>1288</v>
      </c>
      <c r="B477" s="3" t="n">
        <v>8.2</v>
      </c>
      <c r="C477" s="3" t="s">
        <v>1289</v>
      </c>
      <c r="D477" s="3" t="n">
        <v>9</v>
      </c>
      <c r="E477" s="3" t="n">
        <v>6</v>
      </c>
      <c r="F477" s="3" t="s">
        <v>21</v>
      </c>
      <c r="G477" s="3" t="n">
        <v>0</v>
      </c>
      <c r="H477" s="3" t="n">
        <v>1213</v>
      </c>
      <c r="I477" s="3" t="s">
        <v>22</v>
      </c>
      <c r="J477" s="3" t="n">
        <v>341</v>
      </c>
      <c r="K477" s="3" t="n">
        <v>0</v>
      </c>
      <c r="L477" s="3" t="n">
        <v>14.9</v>
      </c>
      <c r="M477" s="3" t="s">
        <v>127</v>
      </c>
      <c r="N477" s="3" t="n">
        <v>25.1</v>
      </c>
      <c r="O477" s="3" t="n">
        <v>0.802</v>
      </c>
      <c r="P477" s="3" t="n">
        <v>92.463</v>
      </c>
      <c r="Q477" s="3" t="s">
        <v>1290</v>
      </c>
      <c r="R477" s="3"/>
      <c r="S477" s="3"/>
    </row>
    <row r="478" customFormat="false" ht="13.8" hidden="false" customHeight="false" outlineLevel="0" collapsed="false">
      <c r="A478" s="3" t="s">
        <v>1291</v>
      </c>
      <c r="B478" s="3" t="n">
        <v>8.6</v>
      </c>
      <c r="C478" s="3" t="s">
        <v>1292</v>
      </c>
      <c r="D478" s="3" t="n">
        <v>9</v>
      </c>
      <c r="E478" s="3" t="n">
        <v>7</v>
      </c>
      <c r="F478" s="3" t="s">
        <v>28</v>
      </c>
      <c r="G478" s="3" t="n">
        <v>0</v>
      </c>
      <c r="H478" s="3" t="n">
        <v>2048</v>
      </c>
      <c r="I478" s="3" t="s">
        <v>1293</v>
      </c>
      <c r="J478" s="3" t="n">
        <v>499</v>
      </c>
      <c r="K478" s="3" t="n">
        <v>0</v>
      </c>
      <c r="L478" s="3" t="n">
        <v>16.6</v>
      </c>
      <c r="M478" s="3" t="s">
        <v>485</v>
      </c>
      <c r="N478" s="3" t="n">
        <v>20</v>
      </c>
      <c r="O478" s="3" t="n">
        <v>2.327</v>
      </c>
      <c r="P478" s="3" t="n">
        <v>93.063</v>
      </c>
      <c r="Q478" s="3" t="s">
        <v>1290</v>
      </c>
      <c r="R478" s="3"/>
      <c r="S478" s="3"/>
    </row>
    <row r="479" customFormat="false" ht="13.8" hidden="false" customHeight="false" outlineLevel="0" collapsed="false">
      <c r="A479" s="3" t="s">
        <v>1294</v>
      </c>
      <c r="B479" s="3" t="n">
        <v>7.1</v>
      </c>
      <c r="C479" s="3" t="s">
        <v>1295</v>
      </c>
      <c r="D479" s="3" t="n">
        <v>7</v>
      </c>
      <c r="E479" s="3" t="n">
        <v>7</v>
      </c>
      <c r="F479" s="3"/>
      <c r="G479" s="3" t="n">
        <v>0</v>
      </c>
      <c r="H479" s="3" t="n">
        <v>1496</v>
      </c>
      <c r="I479" s="3" t="s">
        <v>22</v>
      </c>
      <c r="J479" s="3" t="n">
        <v>553</v>
      </c>
      <c r="K479" s="3" t="n">
        <v>0</v>
      </c>
      <c r="L479" s="3" t="n">
        <v>15.2</v>
      </c>
      <c r="M479" s="3" t="s">
        <v>23</v>
      </c>
      <c r="N479" s="3" t="n">
        <v>40.7</v>
      </c>
      <c r="O479" s="3" t="n">
        <v>-35.2</v>
      </c>
      <c r="P479" s="3" t="n">
        <v>-72.217</v>
      </c>
      <c r="Q479" s="3" t="s">
        <v>455</v>
      </c>
      <c r="R479" s="3" t="s">
        <v>33</v>
      </c>
      <c r="S479" s="3" t="s">
        <v>373</v>
      </c>
    </row>
    <row r="480" customFormat="false" ht="13.8" hidden="false" customHeight="false" outlineLevel="0" collapsed="false">
      <c r="A480" s="3" t="s">
        <v>1296</v>
      </c>
      <c r="B480" s="3" t="n">
        <v>6.6</v>
      </c>
      <c r="C480" s="3" t="s">
        <v>1297</v>
      </c>
      <c r="D480" s="3" t="n">
        <v>6</v>
      </c>
      <c r="E480" s="3" t="n">
        <v>6</v>
      </c>
      <c r="F480" s="3"/>
      <c r="G480" s="3" t="n">
        <v>0</v>
      </c>
      <c r="H480" s="3" t="n">
        <v>709</v>
      </c>
      <c r="I480" s="3" t="s">
        <v>22</v>
      </c>
      <c r="J480" s="3" t="n">
        <v>640</v>
      </c>
      <c r="K480" s="3" t="n">
        <v>0</v>
      </c>
      <c r="L480" s="3" t="n">
        <v>10.1</v>
      </c>
      <c r="M480" s="3" t="s">
        <v>23</v>
      </c>
      <c r="N480" s="3" t="n">
        <v>118</v>
      </c>
      <c r="O480" s="3" t="n">
        <v>-6.242</v>
      </c>
      <c r="P480" s="3" t="n">
        <v>145.955</v>
      </c>
      <c r="Q480" s="3" t="s">
        <v>180</v>
      </c>
      <c r="R480" s="3"/>
      <c r="S480" s="3" t="s">
        <v>85</v>
      </c>
    </row>
    <row r="481" customFormat="false" ht="13.8" hidden="false" customHeight="false" outlineLevel="0" collapsed="false">
      <c r="A481" s="3" t="s">
        <v>1298</v>
      </c>
      <c r="B481" s="3" t="n">
        <v>7.4</v>
      </c>
      <c r="C481" s="3" t="s">
        <v>1299</v>
      </c>
      <c r="D481" s="3" t="n">
        <v>9</v>
      </c>
      <c r="E481" s="3" t="n">
        <v>8</v>
      </c>
      <c r="F481" s="3"/>
      <c r="G481" s="3" t="n">
        <v>0</v>
      </c>
      <c r="H481" s="3" t="n">
        <v>1752</v>
      </c>
      <c r="I481" s="3" t="s">
        <v>22</v>
      </c>
      <c r="J481" s="3" t="n">
        <v>672</v>
      </c>
      <c r="K481" s="3" t="n">
        <v>0</v>
      </c>
      <c r="L481" s="3" t="n">
        <v>37.9</v>
      </c>
      <c r="M481" s="3" t="s">
        <v>23</v>
      </c>
      <c r="N481" s="3" t="n">
        <v>20</v>
      </c>
      <c r="O481" s="3" t="n">
        <v>16.493</v>
      </c>
      <c r="P481" s="3" t="n">
        <v>-98.231</v>
      </c>
      <c r="Q481" s="3" t="s">
        <v>1300</v>
      </c>
      <c r="R481" s="3" t="s">
        <v>164</v>
      </c>
      <c r="S481" s="3" t="s">
        <v>165</v>
      </c>
    </row>
    <row r="482" customFormat="false" ht="13.8" hidden="false" customHeight="false" outlineLevel="0" collapsed="false">
      <c r="A482" s="3" t="s">
        <v>1301</v>
      </c>
      <c r="B482" s="3" t="n">
        <v>6.7</v>
      </c>
      <c r="C482" s="3" t="s">
        <v>1302</v>
      </c>
      <c r="D482" s="3" t="n">
        <v>7</v>
      </c>
      <c r="E482" s="3" t="n">
        <v>7</v>
      </c>
      <c r="F482" s="3"/>
      <c r="G482" s="3" t="n">
        <v>0</v>
      </c>
      <c r="H482" s="3" t="n">
        <v>833</v>
      </c>
      <c r="I482" s="3" t="s">
        <v>22</v>
      </c>
      <c r="J482" s="3" t="n">
        <v>596</v>
      </c>
      <c r="K482" s="3" t="n">
        <v>0</v>
      </c>
      <c r="L482" s="3" t="n">
        <v>13.4</v>
      </c>
      <c r="M482" s="3" t="s">
        <v>23</v>
      </c>
      <c r="N482" s="3" t="n">
        <v>12</v>
      </c>
      <c r="O482" s="3" t="n">
        <v>51.708</v>
      </c>
      <c r="P482" s="3" t="n">
        <v>95.991</v>
      </c>
      <c r="Q482" s="3" t="s">
        <v>1303</v>
      </c>
      <c r="R482" s="3" t="s">
        <v>80</v>
      </c>
      <c r="S482" s="3" t="s">
        <v>428</v>
      </c>
    </row>
    <row r="483" customFormat="false" ht="13.8" hidden="false" customHeight="false" outlineLevel="0" collapsed="false">
      <c r="A483" s="3" t="s">
        <v>1304</v>
      </c>
      <c r="B483" s="3" t="n">
        <v>6.7</v>
      </c>
      <c r="C483" s="3" t="s">
        <v>1305</v>
      </c>
      <c r="D483" s="3" t="n">
        <v>9</v>
      </c>
      <c r="E483" s="3" t="n">
        <v>7</v>
      </c>
      <c r="F483" s="3"/>
      <c r="G483" s="3" t="n">
        <v>0</v>
      </c>
      <c r="H483" s="3" t="n">
        <v>1551</v>
      </c>
      <c r="I483" s="3" t="s">
        <v>22</v>
      </c>
      <c r="J483" s="3" t="n">
        <v>572</v>
      </c>
      <c r="K483" s="3" t="n">
        <v>0</v>
      </c>
      <c r="L483" s="3" t="n">
        <v>11.1</v>
      </c>
      <c r="M483" s="3" t="s">
        <v>23</v>
      </c>
      <c r="N483" s="3" t="n">
        <v>11</v>
      </c>
      <c r="O483" s="3" t="n">
        <v>9.999</v>
      </c>
      <c r="P483" s="3" t="n">
        <v>123.206</v>
      </c>
      <c r="Q483" s="3" t="s">
        <v>1306</v>
      </c>
      <c r="R483" s="3"/>
      <c r="S483" s="3" t="s">
        <v>191</v>
      </c>
    </row>
    <row r="484" customFormat="false" ht="13.8" hidden="false" customHeight="false" outlineLevel="0" collapsed="false">
      <c r="A484" s="3" t="s">
        <v>1307</v>
      </c>
      <c r="B484" s="3" t="n">
        <v>7.1</v>
      </c>
      <c r="C484" s="3" t="s">
        <v>1308</v>
      </c>
      <c r="D484" s="3" t="n">
        <v>5</v>
      </c>
      <c r="E484" s="3" t="n">
        <v>5</v>
      </c>
      <c r="F484" s="3"/>
      <c r="G484" s="3" t="n">
        <v>0</v>
      </c>
      <c r="H484" s="3" t="n">
        <v>793</v>
      </c>
      <c r="I484" s="3" t="s">
        <v>22</v>
      </c>
      <c r="J484" s="3" t="n">
        <v>573</v>
      </c>
      <c r="K484" s="3" t="n">
        <v>0</v>
      </c>
      <c r="L484" s="3" t="n">
        <v>12</v>
      </c>
      <c r="M484" s="3" t="s">
        <v>23</v>
      </c>
      <c r="N484" s="3" t="n">
        <v>23</v>
      </c>
      <c r="O484" s="3" t="n">
        <v>-17.827</v>
      </c>
      <c r="P484" s="3" t="n">
        <v>167.133</v>
      </c>
      <c r="Q484" s="3" t="s">
        <v>989</v>
      </c>
      <c r="R484" s="3"/>
      <c r="S484" s="3"/>
    </row>
    <row r="485" customFormat="false" ht="13.8" hidden="false" customHeight="false" outlineLevel="0" collapsed="false">
      <c r="A485" s="3" t="s">
        <v>1309</v>
      </c>
      <c r="B485" s="3" t="n">
        <v>7.2</v>
      </c>
      <c r="C485" s="3" t="s">
        <v>1310</v>
      </c>
      <c r="D485" s="3" t="n">
        <v>4</v>
      </c>
      <c r="E485" s="3" t="n">
        <v>4</v>
      </c>
      <c r="F485" s="3"/>
      <c r="G485" s="3" t="n">
        <v>0</v>
      </c>
      <c r="H485" s="3" t="n">
        <v>838</v>
      </c>
      <c r="I485" s="3" t="s">
        <v>22</v>
      </c>
      <c r="J485" s="3" t="n">
        <v>443</v>
      </c>
      <c r="K485" s="3" t="n">
        <v>0</v>
      </c>
      <c r="L485" s="3" t="n">
        <v>17</v>
      </c>
      <c r="M485" s="3" t="s">
        <v>23</v>
      </c>
      <c r="N485" s="3" t="n">
        <v>19</v>
      </c>
      <c r="O485" s="3" t="n">
        <v>2.433</v>
      </c>
      <c r="P485" s="3" t="n">
        <v>93.21</v>
      </c>
      <c r="Q485" s="3" t="s">
        <v>1290</v>
      </c>
      <c r="R485" s="3"/>
      <c r="S485" s="3"/>
    </row>
    <row r="486" customFormat="false" ht="13.8" hidden="false" customHeight="false" outlineLevel="0" collapsed="false">
      <c r="A486" s="3" t="s">
        <v>1311</v>
      </c>
      <c r="B486" s="3" t="n">
        <v>6.6</v>
      </c>
      <c r="C486" s="3" t="s">
        <v>1312</v>
      </c>
      <c r="D486" s="3" t="n">
        <v>0</v>
      </c>
      <c r="E486" s="3" t="n">
        <v>7</v>
      </c>
      <c r="F486" s="3"/>
      <c r="G486" s="3" t="n">
        <v>0</v>
      </c>
      <c r="H486" s="3" t="n">
        <v>670</v>
      </c>
      <c r="I486" s="3" t="s">
        <v>22</v>
      </c>
      <c r="J486" s="3" t="n">
        <v>545</v>
      </c>
      <c r="K486" s="3" t="n">
        <v>0</v>
      </c>
      <c r="L486" s="3" t="n">
        <v>17.6</v>
      </c>
      <c r="M486" s="3" t="s">
        <v>23</v>
      </c>
      <c r="N486" s="3" t="n">
        <v>15</v>
      </c>
      <c r="O486" s="3" t="n">
        <v>51.842</v>
      </c>
      <c r="P486" s="3" t="n">
        <v>95.911</v>
      </c>
      <c r="Q486" s="3" t="s">
        <v>1303</v>
      </c>
      <c r="R486" s="3" t="s">
        <v>80</v>
      </c>
      <c r="S486" s="3" t="s">
        <v>428</v>
      </c>
    </row>
    <row r="487" customFormat="false" ht="13.8" hidden="false" customHeight="false" outlineLevel="0" collapsed="false">
      <c r="A487" s="3" t="s">
        <v>1313</v>
      </c>
      <c r="B487" s="3" t="n">
        <v>7.1</v>
      </c>
      <c r="C487" s="3" t="s">
        <v>1314</v>
      </c>
      <c r="D487" s="3" t="n">
        <v>6</v>
      </c>
      <c r="E487" s="3" t="n">
        <v>6</v>
      </c>
      <c r="F487" s="3"/>
      <c r="G487" s="3" t="n">
        <v>0</v>
      </c>
      <c r="H487" s="3" t="n">
        <v>834</v>
      </c>
      <c r="I487" s="3" t="s">
        <v>22</v>
      </c>
      <c r="J487" s="3" t="n">
        <v>485</v>
      </c>
      <c r="K487" s="3" t="n">
        <v>0</v>
      </c>
      <c r="L487" s="3" t="n">
        <v>10.6</v>
      </c>
      <c r="M487" s="3" t="s">
        <v>23</v>
      </c>
      <c r="N487" s="3" t="n">
        <v>135</v>
      </c>
      <c r="O487" s="3" t="n">
        <v>-7.551</v>
      </c>
      <c r="P487" s="3" t="n">
        <v>146.809</v>
      </c>
      <c r="Q487" s="3" t="s">
        <v>1315</v>
      </c>
      <c r="R487" s="3"/>
      <c r="S487" s="3" t="s">
        <v>85</v>
      </c>
    </row>
    <row r="488" customFormat="false" ht="13.8" hidden="false" customHeight="false" outlineLevel="0" collapsed="false">
      <c r="A488" s="3" t="s">
        <v>1316</v>
      </c>
      <c r="B488" s="3" t="n">
        <v>6.5</v>
      </c>
      <c r="C488" s="3" t="s">
        <v>1317</v>
      </c>
      <c r="D488" s="3" t="n">
        <v>8</v>
      </c>
      <c r="E488" s="3" t="n">
        <v>7</v>
      </c>
      <c r="F488" s="3"/>
      <c r="G488" s="3" t="n">
        <v>0</v>
      </c>
      <c r="H488" s="3" t="n">
        <v>1400</v>
      </c>
      <c r="I488" s="3" t="s">
        <v>22</v>
      </c>
      <c r="J488" s="3" t="n">
        <v>578</v>
      </c>
      <c r="K488" s="3" t="n">
        <v>0</v>
      </c>
      <c r="L488" s="3" t="n">
        <v>38.6</v>
      </c>
      <c r="M488" s="3" t="s">
        <v>23</v>
      </c>
      <c r="N488" s="3" t="n">
        <v>59</v>
      </c>
      <c r="O488" s="3" t="n">
        <v>17.986</v>
      </c>
      <c r="P488" s="3" t="n">
        <v>-99.789</v>
      </c>
      <c r="Q488" s="3" t="s">
        <v>1318</v>
      </c>
      <c r="R488" s="3" t="s">
        <v>164</v>
      </c>
      <c r="S488" s="3" t="s">
        <v>165</v>
      </c>
    </row>
    <row r="489" customFormat="false" ht="13.8" hidden="false" customHeight="false" outlineLevel="0" collapsed="false">
      <c r="A489" s="3" t="s">
        <v>1319</v>
      </c>
      <c r="B489" s="3" t="n">
        <v>6.9</v>
      </c>
      <c r="C489" s="3" t="s">
        <v>1320</v>
      </c>
      <c r="D489" s="3" t="n">
        <v>6</v>
      </c>
      <c r="E489" s="3" t="n">
        <v>7</v>
      </c>
      <c r="F489" s="3"/>
      <c r="G489" s="3" t="n">
        <v>0</v>
      </c>
      <c r="H489" s="3" t="n">
        <v>847</v>
      </c>
      <c r="I489" s="3" t="s">
        <v>22</v>
      </c>
      <c r="J489" s="3" t="n">
        <v>474</v>
      </c>
      <c r="K489" s="3" t="n">
        <v>0</v>
      </c>
      <c r="L489" s="3" t="n">
        <v>46.5</v>
      </c>
      <c r="M489" s="3" t="s">
        <v>23</v>
      </c>
      <c r="N489" s="3" t="n">
        <v>24</v>
      </c>
      <c r="O489" s="3" t="n">
        <v>-14.438</v>
      </c>
      <c r="P489" s="3" t="n">
        <v>-75.966</v>
      </c>
      <c r="Q489" s="3" t="s">
        <v>1321</v>
      </c>
      <c r="R489" s="3" t="s">
        <v>33</v>
      </c>
      <c r="S489" s="3" t="s">
        <v>199</v>
      </c>
    </row>
    <row r="490" customFormat="false" ht="13.8" hidden="false" customHeight="false" outlineLevel="0" collapsed="false">
      <c r="A490" s="3" t="s">
        <v>1322</v>
      </c>
      <c r="B490" s="3" t="n">
        <v>7.1</v>
      </c>
      <c r="C490" s="3" t="s">
        <v>1323</v>
      </c>
      <c r="D490" s="3" t="n">
        <v>9</v>
      </c>
      <c r="E490" s="3" t="n">
        <v>9</v>
      </c>
      <c r="F490" s="3"/>
      <c r="G490" s="3" t="n">
        <v>0</v>
      </c>
      <c r="H490" s="3" t="n">
        <v>1096</v>
      </c>
      <c r="I490" s="3" t="s">
        <v>22</v>
      </c>
      <c r="J490" s="3" t="n">
        <v>693</v>
      </c>
      <c r="K490" s="3" t="n">
        <v>0</v>
      </c>
      <c r="L490" s="3" t="n">
        <v>19.7</v>
      </c>
      <c r="M490" s="3" t="s">
        <v>23</v>
      </c>
      <c r="N490" s="3" t="n">
        <v>18</v>
      </c>
      <c r="O490" s="3" t="n">
        <v>38.721</v>
      </c>
      <c r="P490" s="3" t="n">
        <v>43.508</v>
      </c>
      <c r="Q490" s="3" t="s">
        <v>1324</v>
      </c>
      <c r="R490" s="3" t="s">
        <v>80</v>
      </c>
      <c r="S490" s="3" t="s">
        <v>435</v>
      </c>
    </row>
    <row r="491" customFormat="false" ht="13.8" hidden="false" customHeight="false" outlineLevel="0" collapsed="false">
      <c r="A491" s="3" t="s">
        <v>1325</v>
      </c>
      <c r="B491" s="3" t="n">
        <v>6.5</v>
      </c>
      <c r="C491" s="3" t="s">
        <v>1326</v>
      </c>
      <c r="D491" s="3" t="n">
        <v>3</v>
      </c>
      <c r="E491" s="3" t="n">
        <v>6</v>
      </c>
      <c r="F491" s="3"/>
      <c r="G491" s="3" t="n">
        <v>0</v>
      </c>
      <c r="H491" s="3" t="n">
        <v>655</v>
      </c>
      <c r="I491" s="3" t="s">
        <v>22</v>
      </c>
      <c r="J491" s="3" t="n">
        <v>423</v>
      </c>
      <c r="K491" s="3" t="n">
        <v>0</v>
      </c>
      <c r="L491" s="3" t="n">
        <v>12.6</v>
      </c>
      <c r="M491" s="3" t="s">
        <v>23</v>
      </c>
      <c r="N491" s="3" t="n">
        <v>37</v>
      </c>
      <c r="O491" s="3" t="n">
        <v>-6.57</v>
      </c>
      <c r="P491" s="3" t="n">
        <v>147.881</v>
      </c>
      <c r="Q491" s="3" t="s">
        <v>1011</v>
      </c>
      <c r="R491" s="3"/>
      <c r="S491" s="3" t="s">
        <v>85</v>
      </c>
    </row>
    <row r="492" customFormat="false" ht="13.8" hidden="false" customHeight="false" outlineLevel="0" collapsed="false">
      <c r="A492" s="3" t="s">
        <v>1327</v>
      </c>
      <c r="B492" s="3" t="n">
        <v>6.9</v>
      </c>
      <c r="C492" s="3" t="s">
        <v>1328</v>
      </c>
      <c r="D492" s="3" t="n">
        <v>8</v>
      </c>
      <c r="E492" s="3" t="n">
        <v>8</v>
      </c>
      <c r="F492" s="3"/>
      <c r="G492" s="3" t="n">
        <v>0</v>
      </c>
      <c r="H492" s="3" t="n">
        <v>1562</v>
      </c>
      <c r="I492" s="3" t="s">
        <v>22</v>
      </c>
      <c r="J492" s="3" t="n">
        <v>383</v>
      </c>
      <c r="K492" s="3" t="n">
        <v>0</v>
      </c>
      <c r="L492" s="3" t="n">
        <v>13</v>
      </c>
      <c r="M492" s="3" t="s">
        <v>23</v>
      </c>
      <c r="N492" s="3" t="n">
        <v>50</v>
      </c>
      <c r="O492" s="3" t="n">
        <v>27.73</v>
      </c>
      <c r="P492" s="3" t="n">
        <v>88.155</v>
      </c>
      <c r="Q492" s="3" t="s">
        <v>1329</v>
      </c>
      <c r="R492" s="3" t="s">
        <v>80</v>
      </c>
      <c r="S492" s="3" t="s">
        <v>860</v>
      </c>
    </row>
    <row r="493" customFormat="false" ht="13.8" hidden="false" customHeight="false" outlineLevel="0" collapsed="false">
      <c r="A493" s="3" t="s">
        <v>1330</v>
      </c>
      <c r="B493" s="3" t="n">
        <v>6.7</v>
      </c>
      <c r="C493" s="3" t="s">
        <v>1331</v>
      </c>
      <c r="D493" s="3" t="n">
        <v>5</v>
      </c>
      <c r="E493" s="3" t="n">
        <v>5</v>
      </c>
      <c r="F493" s="3"/>
      <c r="G493" s="3" t="n">
        <v>0</v>
      </c>
      <c r="H493" s="3" t="n">
        <v>712</v>
      </c>
      <c r="I493" s="3" t="s">
        <v>22</v>
      </c>
      <c r="J493" s="3" t="n">
        <v>667</v>
      </c>
      <c r="K493" s="3" t="n">
        <v>0</v>
      </c>
      <c r="L493" s="3" t="n">
        <v>10.9</v>
      </c>
      <c r="M493" s="3" t="s">
        <v>127</v>
      </c>
      <c r="N493" s="3" t="n">
        <v>30</v>
      </c>
      <c r="O493" s="3" t="n">
        <v>40.273</v>
      </c>
      <c r="P493" s="3" t="n">
        <v>142.779</v>
      </c>
      <c r="Q493" s="3" t="s">
        <v>983</v>
      </c>
      <c r="R493" s="3"/>
      <c r="S493" s="3"/>
    </row>
    <row r="494" customFormat="false" ht="13.8" hidden="false" customHeight="false" outlineLevel="0" collapsed="false">
      <c r="A494" s="3" t="s">
        <v>1332</v>
      </c>
      <c r="B494" s="3" t="n">
        <v>6.7</v>
      </c>
      <c r="C494" s="3" t="s">
        <v>1333</v>
      </c>
      <c r="D494" s="3" t="n">
        <v>5</v>
      </c>
      <c r="E494" s="3" t="n">
        <v>6</v>
      </c>
      <c r="F494" s="3"/>
      <c r="G494" s="3" t="n">
        <v>0</v>
      </c>
      <c r="H494" s="3" t="n">
        <v>915</v>
      </c>
      <c r="I494" s="3" t="s">
        <v>22</v>
      </c>
      <c r="J494" s="3" t="n">
        <v>447</v>
      </c>
      <c r="K494" s="3" t="n">
        <v>0</v>
      </c>
      <c r="L494" s="3" t="n">
        <v>15.3</v>
      </c>
      <c r="M494" s="3" t="s">
        <v>23</v>
      </c>
      <c r="N494" s="3" t="n">
        <v>91</v>
      </c>
      <c r="O494" s="3" t="n">
        <v>2.965</v>
      </c>
      <c r="P494" s="3" t="n">
        <v>97.893</v>
      </c>
      <c r="Q494" s="3" t="s">
        <v>1334</v>
      </c>
      <c r="R494" s="3"/>
      <c r="S494" s="3" t="s">
        <v>68</v>
      </c>
    </row>
    <row r="495" customFormat="false" ht="13.8" hidden="false" customHeight="false" outlineLevel="0" collapsed="false">
      <c r="A495" s="3" t="s">
        <v>1335</v>
      </c>
      <c r="B495" s="3" t="n">
        <v>7</v>
      </c>
      <c r="C495" s="3" t="s">
        <v>1336</v>
      </c>
      <c r="D495" s="3" t="n">
        <v>7</v>
      </c>
      <c r="E495" s="3" t="n">
        <v>5</v>
      </c>
      <c r="F495" s="3"/>
      <c r="G495" s="3" t="n">
        <v>0</v>
      </c>
      <c r="H495" s="3" t="n">
        <v>761</v>
      </c>
      <c r="I495" s="3" t="s">
        <v>22</v>
      </c>
      <c r="J495" s="3" t="n">
        <v>406</v>
      </c>
      <c r="K495" s="3" t="n">
        <v>0</v>
      </c>
      <c r="L495" s="3" t="n">
        <v>15.3</v>
      </c>
      <c r="M495" s="3" t="s">
        <v>23</v>
      </c>
      <c r="N495" s="3" t="n">
        <v>185.1</v>
      </c>
      <c r="O495" s="3" t="n">
        <v>-20.671</v>
      </c>
      <c r="P495" s="3" t="n">
        <v>169.716</v>
      </c>
      <c r="Q495" s="3" t="s">
        <v>177</v>
      </c>
      <c r="R495" s="3"/>
      <c r="S495" s="3"/>
    </row>
    <row r="496" customFormat="false" ht="13.8" hidden="false" customHeight="false" outlineLevel="0" collapsed="false">
      <c r="A496" s="3" t="s">
        <v>1337</v>
      </c>
      <c r="B496" s="3" t="n">
        <v>7</v>
      </c>
      <c r="C496" s="3" t="s">
        <v>1338</v>
      </c>
      <c r="D496" s="3" t="n">
        <v>6</v>
      </c>
      <c r="E496" s="3" t="n">
        <v>6</v>
      </c>
      <c r="F496" s="3"/>
      <c r="G496" s="3" t="n">
        <v>0</v>
      </c>
      <c r="H496" s="3" t="n">
        <v>913</v>
      </c>
      <c r="I496" s="3" t="s">
        <v>22</v>
      </c>
      <c r="J496" s="3" t="n">
        <v>471</v>
      </c>
      <c r="K496" s="3" t="n">
        <v>0</v>
      </c>
      <c r="L496" s="3" t="n">
        <v>26.9</v>
      </c>
      <c r="M496" s="3" t="s">
        <v>23</v>
      </c>
      <c r="N496" s="3" t="n">
        <v>147</v>
      </c>
      <c r="O496" s="3" t="n">
        <v>-7.641</v>
      </c>
      <c r="P496" s="3" t="n">
        <v>-74.525</v>
      </c>
      <c r="Q496" s="3" t="s">
        <v>1339</v>
      </c>
      <c r="R496" s="3" t="s">
        <v>33</v>
      </c>
      <c r="S496" s="3" t="s">
        <v>199</v>
      </c>
    </row>
    <row r="497" customFormat="false" ht="13.8" hidden="false" customHeight="false" outlineLevel="0" collapsed="false">
      <c r="A497" s="3" t="s">
        <v>1340</v>
      </c>
      <c r="B497" s="3" t="n">
        <v>7.1</v>
      </c>
      <c r="C497" s="3" t="s">
        <v>1341</v>
      </c>
      <c r="D497" s="3" t="n">
        <v>5</v>
      </c>
      <c r="E497" s="3" t="n">
        <v>6</v>
      </c>
      <c r="F497" s="3"/>
      <c r="G497" s="3" t="n">
        <v>0</v>
      </c>
      <c r="H497" s="3" t="n">
        <v>787</v>
      </c>
      <c r="I497" s="3" t="s">
        <v>22</v>
      </c>
      <c r="J497" s="3" t="n">
        <v>564</v>
      </c>
      <c r="K497" s="3" t="n">
        <v>0</v>
      </c>
      <c r="L497" s="3" t="n">
        <v>12.3</v>
      </c>
      <c r="M497" s="3" t="s">
        <v>23</v>
      </c>
      <c r="N497" s="3" t="n">
        <v>28</v>
      </c>
      <c r="O497" s="3" t="n">
        <v>-18.311</v>
      </c>
      <c r="P497" s="3" t="n">
        <v>168.218</v>
      </c>
      <c r="Q497" s="3" t="s">
        <v>989</v>
      </c>
      <c r="R497" s="3"/>
      <c r="S497" s="3"/>
    </row>
    <row r="498" customFormat="false" ht="13.8" hidden="false" customHeight="false" outlineLevel="0" collapsed="false">
      <c r="A498" s="3" t="s">
        <v>1342</v>
      </c>
      <c r="B498" s="3" t="n">
        <v>6.5</v>
      </c>
      <c r="C498" s="3" t="s">
        <v>1343</v>
      </c>
      <c r="D498" s="3" t="n">
        <v>0</v>
      </c>
      <c r="E498" s="3" t="n">
        <v>5</v>
      </c>
      <c r="F498" s="3"/>
      <c r="G498" s="3" t="n">
        <v>0</v>
      </c>
      <c r="H498" s="3" t="n">
        <v>650</v>
      </c>
      <c r="I498" s="3" t="s">
        <v>22</v>
      </c>
      <c r="J498" s="3" t="n">
        <v>322</v>
      </c>
      <c r="K498" s="3" t="n">
        <v>0</v>
      </c>
      <c r="L498" s="3" t="n">
        <v>15</v>
      </c>
      <c r="M498" s="3" t="s">
        <v>127</v>
      </c>
      <c r="N498" s="3" t="n">
        <v>35</v>
      </c>
      <c r="O498" s="3" t="n">
        <v>-18.308</v>
      </c>
      <c r="P498" s="3" t="n">
        <v>168.156</v>
      </c>
      <c r="Q498" s="3" t="s">
        <v>989</v>
      </c>
      <c r="R498" s="3"/>
      <c r="S498" s="3"/>
    </row>
    <row r="499" customFormat="false" ht="13.8" hidden="false" customHeight="false" outlineLevel="0" collapsed="false">
      <c r="A499" s="3" t="s">
        <v>1344</v>
      </c>
      <c r="B499" s="3" t="n">
        <v>7.2</v>
      </c>
      <c r="C499" s="3" t="s">
        <v>1345</v>
      </c>
      <c r="D499" s="3" t="n">
        <v>8</v>
      </c>
      <c r="E499" s="3" t="n">
        <v>6</v>
      </c>
      <c r="F499" s="3"/>
      <c r="G499" s="3" t="n">
        <v>0</v>
      </c>
      <c r="H499" s="3" t="n">
        <v>813</v>
      </c>
      <c r="I499" s="3" t="s">
        <v>22</v>
      </c>
      <c r="J499" s="3" t="n">
        <v>280</v>
      </c>
      <c r="K499" s="3" t="n">
        <v>0</v>
      </c>
      <c r="L499" s="3" t="n">
        <v>18.4</v>
      </c>
      <c r="M499" s="3" t="s">
        <v>23</v>
      </c>
      <c r="N499" s="3" t="n">
        <v>32</v>
      </c>
      <c r="O499" s="3" t="n">
        <v>-18.365</v>
      </c>
      <c r="P499" s="3" t="n">
        <v>168.143</v>
      </c>
      <c r="Q499" s="3" t="s">
        <v>989</v>
      </c>
      <c r="R499" s="3"/>
      <c r="S499" s="3"/>
    </row>
    <row r="500" customFormat="false" ht="13.8" hidden="false" customHeight="false" outlineLevel="0" collapsed="false">
      <c r="A500" s="3" t="s">
        <v>1346</v>
      </c>
      <c r="B500" s="3" t="n">
        <v>6.6</v>
      </c>
      <c r="C500" s="3" t="s">
        <v>1347</v>
      </c>
      <c r="D500" s="3" t="n">
        <v>3</v>
      </c>
      <c r="E500" s="3" t="n">
        <v>6</v>
      </c>
      <c r="F500" s="3"/>
      <c r="G500" s="3" t="n">
        <v>0</v>
      </c>
      <c r="H500" s="3" t="n">
        <v>674</v>
      </c>
      <c r="I500" s="3" t="s">
        <v>22</v>
      </c>
      <c r="J500" s="3" t="n">
        <v>229</v>
      </c>
      <c r="K500" s="3" t="n">
        <v>0</v>
      </c>
      <c r="L500" s="3" t="n">
        <v>16.6</v>
      </c>
      <c r="M500" s="3" t="s">
        <v>23</v>
      </c>
      <c r="N500" s="3" t="n">
        <v>10</v>
      </c>
      <c r="O500" s="3" t="n">
        <v>-3.518</v>
      </c>
      <c r="P500" s="3" t="n">
        <v>144.828</v>
      </c>
      <c r="Q500" s="3" t="s">
        <v>663</v>
      </c>
      <c r="R500" s="3"/>
      <c r="S500" s="3" t="s">
        <v>85</v>
      </c>
    </row>
    <row r="501" customFormat="false" ht="13.8" hidden="false" customHeight="false" outlineLevel="0" collapsed="false">
      <c r="A501" s="3" t="s">
        <v>1348</v>
      </c>
      <c r="B501" s="3" t="n">
        <v>7.6</v>
      </c>
      <c r="C501" s="3" t="s">
        <v>1349</v>
      </c>
      <c r="D501" s="3" t="n">
        <v>3</v>
      </c>
      <c r="E501" s="3" t="n">
        <v>7</v>
      </c>
      <c r="F501" s="3"/>
      <c r="G501" s="3" t="n">
        <v>0</v>
      </c>
      <c r="H501" s="3" t="n">
        <v>893</v>
      </c>
      <c r="I501" s="3" t="s">
        <v>22</v>
      </c>
      <c r="J501" s="3" t="n">
        <v>567</v>
      </c>
      <c r="K501" s="3" t="n">
        <v>0</v>
      </c>
      <c r="L501" s="3" t="n">
        <v>33.5</v>
      </c>
      <c r="M501" s="3" t="s">
        <v>23</v>
      </c>
      <c r="N501" s="3" t="n">
        <v>17</v>
      </c>
      <c r="O501" s="3" t="n">
        <v>-29.539</v>
      </c>
      <c r="P501" s="3" t="n">
        <v>-176.34</v>
      </c>
      <c r="Q501" s="3" t="s">
        <v>99</v>
      </c>
      <c r="R501" s="3"/>
      <c r="S501" s="3"/>
    </row>
    <row r="502" customFormat="false" ht="13.8" hidden="false" customHeight="false" outlineLevel="0" collapsed="false">
      <c r="A502" s="3" t="s">
        <v>1350</v>
      </c>
      <c r="B502" s="3" t="n">
        <v>6.7</v>
      </c>
      <c r="C502" s="3" t="s">
        <v>1351</v>
      </c>
      <c r="D502" s="3" t="n">
        <v>6</v>
      </c>
      <c r="E502" s="3" t="n">
        <v>6</v>
      </c>
      <c r="F502" s="3"/>
      <c r="G502" s="3" t="n">
        <v>0</v>
      </c>
      <c r="H502" s="3" t="n">
        <v>749</v>
      </c>
      <c r="I502" s="3" t="s">
        <v>22</v>
      </c>
      <c r="J502" s="3" t="n">
        <v>592</v>
      </c>
      <c r="K502" s="3" t="n">
        <v>0</v>
      </c>
      <c r="L502" s="3" t="n">
        <v>24.9</v>
      </c>
      <c r="M502" s="3" t="s">
        <v>23</v>
      </c>
      <c r="N502" s="3" t="n">
        <v>33</v>
      </c>
      <c r="O502" s="3" t="n">
        <v>39.955</v>
      </c>
      <c r="P502" s="3" t="n">
        <v>142.205</v>
      </c>
      <c r="Q502" s="3" t="s">
        <v>983</v>
      </c>
      <c r="R502" s="3" t="s">
        <v>80</v>
      </c>
      <c r="S502" s="3" t="s">
        <v>322</v>
      </c>
    </row>
    <row r="503" customFormat="false" ht="13.8" hidden="false" customHeight="false" outlineLevel="0" collapsed="false">
      <c r="A503" s="3" t="s">
        <v>1352</v>
      </c>
      <c r="B503" s="3" t="n">
        <v>6.8</v>
      </c>
      <c r="C503" s="3" t="s">
        <v>1353</v>
      </c>
      <c r="D503" s="3" t="n">
        <v>4</v>
      </c>
      <c r="E503" s="3" t="n">
        <v>5</v>
      </c>
      <c r="F503" s="3"/>
      <c r="G503" s="3" t="n">
        <v>0</v>
      </c>
      <c r="H503" s="3" t="n">
        <v>734</v>
      </c>
      <c r="I503" s="3" t="s">
        <v>22</v>
      </c>
      <c r="J503" s="3" t="n">
        <v>519</v>
      </c>
      <c r="K503" s="3" t="n">
        <v>0</v>
      </c>
      <c r="L503" s="3" t="n">
        <v>12.5</v>
      </c>
      <c r="M503" s="3" t="s">
        <v>23</v>
      </c>
      <c r="N503" s="3" t="n">
        <v>11</v>
      </c>
      <c r="O503" s="3" t="n">
        <v>-20.244</v>
      </c>
      <c r="P503" s="3" t="n">
        <v>168.226</v>
      </c>
      <c r="Q503" s="3" t="s">
        <v>1354</v>
      </c>
      <c r="R503" s="3"/>
      <c r="S503" s="3"/>
    </row>
    <row r="504" customFormat="false" ht="13.8" hidden="false" customHeight="false" outlineLevel="0" collapsed="false">
      <c r="A504" s="3" t="s">
        <v>1355</v>
      </c>
      <c r="B504" s="3" t="n">
        <v>6.8</v>
      </c>
      <c r="C504" s="3" t="s">
        <v>1356</v>
      </c>
      <c r="D504" s="3" t="n">
        <v>5</v>
      </c>
      <c r="E504" s="3" t="n">
        <v>6</v>
      </c>
      <c r="F504" s="3"/>
      <c r="G504" s="3" t="n">
        <v>0</v>
      </c>
      <c r="H504" s="3" t="n">
        <v>719</v>
      </c>
      <c r="I504" s="3" t="s">
        <v>22</v>
      </c>
      <c r="J504" s="3" t="n">
        <v>445</v>
      </c>
      <c r="K504" s="3" t="n">
        <v>0</v>
      </c>
      <c r="L504" s="3" t="n">
        <v>13</v>
      </c>
      <c r="M504" s="3" t="s">
        <v>23</v>
      </c>
      <c r="N504" s="3" t="n">
        <v>79</v>
      </c>
      <c r="O504" s="3" t="n">
        <v>-10.375</v>
      </c>
      <c r="P504" s="3" t="n">
        <v>161.2</v>
      </c>
      <c r="Q504" s="3" t="s">
        <v>581</v>
      </c>
      <c r="R504" s="3"/>
      <c r="S504" s="3" t="s">
        <v>140</v>
      </c>
    </row>
    <row r="505" customFormat="false" ht="13.8" hidden="false" customHeight="false" outlineLevel="0" collapsed="false">
      <c r="A505" s="3" t="s">
        <v>1357</v>
      </c>
      <c r="B505" s="3" t="n">
        <v>6.6</v>
      </c>
      <c r="C505" s="3" t="s">
        <v>1358</v>
      </c>
      <c r="D505" s="3" t="n">
        <v>7</v>
      </c>
      <c r="E505" s="3" t="n">
        <v>7</v>
      </c>
      <c r="F505" s="3"/>
      <c r="G505" s="3" t="n">
        <v>0</v>
      </c>
      <c r="H505" s="3" t="n">
        <v>822</v>
      </c>
      <c r="I505" s="3" t="s">
        <v>22</v>
      </c>
      <c r="J505" s="3" t="n">
        <v>586</v>
      </c>
      <c r="K505" s="3" t="n">
        <v>0</v>
      </c>
      <c r="L505" s="3" t="n">
        <v>10.1</v>
      </c>
      <c r="M505" s="3" t="s">
        <v>23</v>
      </c>
      <c r="N505" s="3" t="n">
        <v>11</v>
      </c>
      <c r="O505" s="3" t="n">
        <v>37.001</v>
      </c>
      <c r="P505" s="3" t="n">
        <v>140.401</v>
      </c>
      <c r="Q505" s="3" t="s">
        <v>1359</v>
      </c>
      <c r="R505" s="3" t="s">
        <v>80</v>
      </c>
      <c r="S505" s="3" t="s">
        <v>322</v>
      </c>
    </row>
    <row r="506" customFormat="false" ht="13.8" hidden="false" customHeight="false" outlineLevel="0" collapsed="false">
      <c r="A506" s="3" t="s">
        <v>1360</v>
      </c>
      <c r="B506" s="3" t="n">
        <v>7.1</v>
      </c>
      <c r="C506" s="3" t="s">
        <v>1361</v>
      </c>
      <c r="D506" s="3" t="n">
        <v>8</v>
      </c>
      <c r="E506" s="3" t="n">
        <v>8</v>
      </c>
      <c r="F506" s="3"/>
      <c r="G506" s="3" t="n">
        <v>0</v>
      </c>
      <c r="H506" s="3" t="n">
        <v>1114</v>
      </c>
      <c r="I506" s="3" t="s">
        <v>22</v>
      </c>
      <c r="J506" s="3" t="n">
        <v>446</v>
      </c>
      <c r="K506" s="3" t="n">
        <v>0</v>
      </c>
      <c r="L506" s="3" t="n">
        <v>17.7</v>
      </c>
      <c r="M506" s="3" t="s">
        <v>23</v>
      </c>
      <c r="N506" s="3" t="n">
        <v>42</v>
      </c>
      <c r="O506" s="3" t="n">
        <v>38.276</v>
      </c>
      <c r="P506" s="3" t="n">
        <v>141.588</v>
      </c>
      <c r="Q506" s="3" t="s">
        <v>331</v>
      </c>
      <c r="R506" s="3" t="s">
        <v>80</v>
      </c>
      <c r="S506" s="3" t="s">
        <v>322</v>
      </c>
    </row>
    <row r="507" customFormat="false" ht="13.8" hidden="false" customHeight="false" outlineLevel="0" collapsed="false">
      <c r="A507" s="3" t="s">
        <v>1362</v>
      </c>
      <c r="B507" s="3" t="n">
        <v>6.6</v>
      </c>
      <c r="C507" s="3" t="s">
        <v>1363</v>
      </c>
      <c r="D507" s="3" t="n">
        <v>7</v>
      </c>
      <c r="E507" s="3" t="n">
        <v>6</v>
      </c>
      <c r="F507" s="3"/>
      <c r="G507" s="3" t="n">
        <v>0</v>
      </c>
      <c r="H507" s="3" t="n">
        <v>897</v>
      </c>
      <c r="I507" s="3" t="s">
        <v>22</v>
      </c>
      <c r="J507" s="3" t="n">
        <v>518</v>
      </c>
      <c r="K507" s="3" t="n">
        <v>0</v>
      </c>
      <c r="L507" s="3" t="n">
        <v>37.2</v>
      </c>
      <c r="M507" s="3" t="s">
        <v>23</v>
      </c>
      <c r="N507" s="3" t="n">
        <v>166.2</v>
      </c>
      <c r="O507" s="3" t="n">
        <v>17.208</v>
      </c>
      <c r="P507" s="3" t="n">
        <v>-94.338</v>
      </c>
      <c r="Q507" s="3" t="s">
        <v>1364</v>
      </c>
      <c r="R507" s="3"/>
      <c r="S507" s="3" t="s">
        <v>165</v>
      </c>
    </row>
    <row r="508" customFormat="false" ht="13.8" hidden="false" customHeight="false" outlineLevel="0" collapsed="false">
      <c r="A508" s="3" t="s">
        <v>1365</v>
      </c>
      <c r="B508" s="3" t="n">
        <v>6.9</v>
      </c>
      <c r="C508" s="3" t="s">
        <v>1366</v>
      </c>
      <c r="D508" s="3" t="n">
        <v>7</v>
      </c>
      <c r="E508" s="3" t="n">
        <v>9</v>
      </c>
      <c r="F508" s="3"/>
      <c r="G508" s="3" t="n">
        <v>0</v>
      </c>
      <c r="H508" s="3" t="n">
        <v>1154</v>
      </c>
      <c r="I508" s="3" t="s">
        <v>22</v>
      </c>
      <c r="J508" s="3" t="n">
        <v>335</v>
      </c>
      <c r="K508" s="3" t="n">
        <v>0</v>
      </c>
      <c r="L508" s="3" t="n">
        <v>18.2</v>
      </c>
      <c r="M508" s="3" t="s">
        <v>23</v>
      </c>
      <c r="N508" s="3" t="n">
        <v>8</v>
      </c>
      <c r="O508" s="3" t="n">
        <v>20.687</v>
      </c>
      <c r="P508" s="3" t="n">
        <v>99.822</v>
      </c>
      <c r="Q508" s="3" t="s">
        <v>1367</v>
      </c>
      <c r="R508" s="3" t="s">
        <v>80</v>
      </c>
      <c r="S508" s="3" t="s">
        <v>801</v>
      </c>
    </row>
    <row r="509" customFormat="false" ht="13.8" hidden="false" customHeight="false" outlineLevel="0" collapsed="false">
      <c r="A509" s="3" t="s">
        <v>1368</v>
      </c>
      <c r="B509" s="3" t="n">
        <v>6.6</v>
      </c>
      <c r="C509" s="3" t="s">
        <v>1369</v>
      </c>
      <c r="D509" s="3" t="n">
        <v>6</v>
      </c>
      <c r="E509" s="3" t="n">
        <v>5</v>
      </c>
      <c r="F509" s="3"/>
      <c r="G509" s="3" t="n">
        <v>0</v>
      </c>
      <c r="H509" s="3" t="n">
        <v>673</v>
      </c>
      <c r="I509" s="3" t="s">
        <v>22</v>
      </c>
      <c r="J509" s="3" t="n">
        <v>668</v>
      </c>
      <c r="K509" s="3" t="n">
        <v>0</v>
      </c>
      <c r="L509" s="3" t="n">
        <v>9.5</v>
      </c>
      <c r="M509" s="3" t="s">
        <v>1370</v>
      </c>
      <c r="N509" s="3" t="n">
        <v>25.7</v>
      </c>
      <c r="O509" s="3" t="n">
        <v>39.241</v>
      </c>
      <c r="P509" s="3" t="n">
        <v>142.463</v>
      </c>
      <c r="Q509" s="3" t="s">
        <v>1371</v>
      </c>
      <c r="R509" s="3"/>
      <c r="S509" s="3"/>
    </row>
    <row r="510" customFormat="false" ht="13.8" hidden="false" customHeight="false" outlineLevel="0" collapsed="false">
      <c r="A510" s="3" t="s">
        <v>1372</v>
      </c>
      <c r="B510" s="3" t="n">
        <v>6.5</v>
      </c>
      <c r="C510" s="3" t="s">
        <v>1373</v>
      </c>
      <c r="D510" s="3" t="n">
        <v>0</v>
      </c>
      <c r="E510" s="3" t="n">
        <v>4</v>
      </c>
      <c r="F510" s="3"/>
      <c r="G510" s="3" t="n">
        <v>0</v>
      </c>
      <c r="H510" s="3" t="n">
        <v>650</v>
      </c>
      <c r="I510" s="3" t="s">
        <v>22</v>
      </c>
      <c r="J510" s="3" t="n">
        <v>369</v>
      </c>
      <c r="K510" s="3" t="n">
        <v>0</v>
      </c>
      <c r="L510" s="3" t="n">
        <v>18.7</v>
      </c>
      <c r="M510" s="3" t="s">
        <v>1374</v>
      </c>
      <c r="N510" s="3" t="n">
        <v>6.8</v>
      </c>
      <c r="O510" s="3" t="n">
        <v>36.166</v>
      </c>
      <c r="P510" s="3" t="n">
        <v>141.562</v>
      </c>
      <c r="Q510" s="3" t="s">
        <v>1375</v>
      </c>
      <c r="R510" s="3"/>
      <c r="S510" s="3"/>
    </row>
    <row r="511" customFormat="false" ht="13.8" hidden="false" customHeight="false" outlineLevel="0" collapsed="false">
      <c r="A511" s="3" t="s">
        <v>1376</v>
      </c>
      <c r="B511" s="3" t="n">
        <v>7.7</v>
      </c>
      <c r="C511" s="3" t="s">
        <v>1377</v>
      </c>
      <c r="D511" s="3" t="n">
        <v>7</v>
      </c>
      <c r="E511" s="3" t="n">
        <v>4</v>
      </c>
      <c r="F511" s="3"/>
      <c r="G511" s="3" t="n">
        <v>0</v>
      </c>
      <c r="H511" s="3" t="n">
        <v>931</v>
      </c>
      <c r="I511" s="3" t="s">
        <v>22</v>
      </c>
      <c r="J511" s="3" t="n">
        <v>507</v>
      </c>
      <c r="K511" s="3" t="n">
        <v>0</v>
      </c>
      <c r="L511" s="3" t="n">
        <v>10.8</v>
      </c>
      <c r="M511" s="3" t="s">
        <v>127</v>
      </c>
      <c r="N511" s="3" t="n">
        <v>18.6</v>
      </c>
      <c r="O511" s="3" t="n">
        <v>38.058</v>
      </c>
      <c r="P511" s="3" t="n">
        <v>144.59</v>
      </c>
      <c r="Q511" s="3" t="s">
        <v>1378</v>
      </c>
      <c r="R511" s="3"/>
      <c r="S511" s="3"/>
    </row>
    <row r="512" customFormat="false" ht="13.8" hidden="false" customHeight="false" outlineLevel="0" collapsed="false">
      <c r="A512" s="3" t="s">
        <v>1379</v>
      </c>
      <c r="B512" s="3" t="n">
        <v>7.9</v>
      </c>
      <c r="C512" s="3" t="s">
        <v>1380</v>
      </c>
      <c r="D512" s="3" t="n">
        <v>8</v>
      </c>
      <c r="E512" s="3" t="n">
        <v>7</v>
      </c>
      <c r="F512" s="3"/>
      <c r="G512" s="3" t="n">
        <v>0</v>
      </c>
      <c r="H512" s="3" t="n">
        <v>1140</v>
      </c>
      <c r="I512" s="3" t="s">
        <v>22</v>
      </c>
      <c r="J512" s="3" t="n">
        <v>163</v>
      </c>
      <c r="K512" s="3" t="n">
        <v>0</v>
      </c>
      <c r="L512" s="3" t="n">
        <v>48.4</v>
      </c>
      <c r="M512" s="3" t="s">
        <v>127</v>
      </c>
      <c r="N512" s="3" t="n">
        <v>42.6</v>
      </c>
      <c r="O512" s="3" t="n">
        <v>36.281</v>
      </c>
      <c r="P512" s="3" t="n">
        <v>141.111</v>
      </c>
      <c r="Q512" s="3" t="s">
        <v>1381</v>
      </c>
      <c r="R512" s="3"/>
      <c r="S512" s="3"/>
    </row>
    <row r="513" customFormat="false" ht="13.8" hidden="false" customHeight="false" outlineLevel="0" collapsed="false">
      <c r="A513" s="3" t="s">
        <v>1382</v>
      </c>
      <c r="B513" s="3" t="n">
        <v>9.1</v>
      </c>
      <c r="C513" s="3" t="s">
        <v>1383</v>
      </c>
      <c r="D513" s="3" t="n">
        <v>9</v>
      </c>
      <c r="E513" s="3" t="n">
        <v>8</v>
      </c>
      <c r="F513" s="3"/>
      <c r="G513" s="3" t="n">
        <v>0</v>
      </c>
      <c r="H513" s="3" t="n">
        <v>2184</v>
      </c>
      <c r="I513" s="3" t="s">
        <v>1293</v>
      </c>
      <c r="J513" s="3" t="n">
        <v>541</v>
      </c>
      <c r="K513" s="3" t="n">
        <v>0</v>
      </c>
      <c r="L513" s="3" t="n">
        <v>9.5</v>
      </c>
      <c r="M513" s="3" t="s">
        <v>23</v>
      </c>
      <c r="N513" s="3" t="n">
        <v>29</v>
      </c>
      <c r="O513" s="3" t="n">
        <v>38.297</v>
      </c>
      <c r="P513" s="3" t="n">
        <v>142.373</v>
      </c>
      <c r="Q513" s="3" t="s">
        <v>1384</v>
      </c>
      <c r="R513" s="3"/>
      <c r="S513" s="3"/>
    </row>
    <row r="514" customFormat="false" ht="13.8" hidden="false" customHeight="false" outlineLevel="0" collapsed="false">
      <c r="A514" s="3" t="s">
        <v>1385</v>
      </c>
      <c r="B514" s="3" t="n">
        <v>7.3</v>
      </c>
      <c r="C514" s="3" t="s">
        <v>1386</v>
      </c>
      <c r="D514" s="3" t="n">
        <v>5</v>
      </c>
      <c r="E514" s="3" t="n">
        <v>5</v>
      </c>
      <c r="F514" s="3"/>
      <c r="G514" s="3" t="n">
        <v>0</v>
      </c>
      <c r="H514" s="3" t="n">
        <v>972</v>
      </c>
      <c r="I514" s="3" t="s">
        <v>22</v>
      </c>
      <c r="J514" s="3" t="n">
        <v>550</v>
      </c>
      <c r="K514" s="3" t="n">
        <v>0</v>
      </c>
      <c r="L514" s="3" t="n">
        <v>17.4</v>
      </c>
      <c r="M514" s="3" t="s">
        <v>23</v>
      </c>
      <c r="N514" s="3" t="n">
        <v>32</v>
      </c>
      <c r="O514" s="3" t="n">
        <v>38.435</v>
      </c>
      <c r="P514" s="3" t="n">
        <v>142.842</v>
      </c>
      <c r="Q514" s="3" t="s">
        <v>953</v>
      </c>
      <c r="R514" s="3"/>
      <c r="S514" s="3"/>
    </row>
    <row r="515" customFormat="false" ht="13.8" hidden="false" customHeight="false" outlineLevel="0" collapsed="false">
      <c r="A515" s="3" t="s">
        <v>1387</v>
      </c>
      <c r="B515" s="3" t="n">
        <v>6.7</v>
      </c>
      <c r="C515" s="3" t="s">
        <v>1388</v>
      </c>
      <c r="D515" s="3" t="n">
        <v>5</v>
      </c>
      <c r="E515" s="3" t="n">
        <v>6</v>
      </c>
      <c r="F515" s="3"/>
      <c r="G515" s="3" t="n">
        <v>0</v>
      </c>
      <c r="H515" s="3" t="n">
        <v>731</v>
      </c>
      <c r="I515" s="3" t="s">
        <v>22</v>
      </c>
      <c r="J515" s="3" t="n">
        <v>358</v>
      </c>
      <c r="K515" s="3" t="n">
        <v>0</v>
      </c>
      <c r="L515" s="3" t="n">
        <v>33.9</v>
      </c>
      <c r="M515" s="3" t="s">
        <v>23</v>
      </c>
      <c r="N515" s="3" t="n">
        <v>21</v>
      </c>
      <c r="O515" s="3" t="n">
        <v>-35.38</v>
      </c>
      <c r="P515" s="3" t="n">
        <v>-72.834</v>
      </c>
      <c r="Q515" s="3" t="s">
        <v>455</v>
      </c>
      <c r="R515" s="3"/>
      <c r="S515" s="3"/>
    </row>
    <row r="516" customFormat="false" ht="13.8" hidden="false" customHeight="false" outlineLevel="0" collapsed="false">
      <c r="A516" s="3" t="s">
        <v>1389</v>
      </c>
      <c r="B516" s="3" t="n">
        <v>6.9</v>
      </c>
      <c r="C516" s="3" t="s">
        <v>1390</v>
      </c>
      <c r="D516" s="3" t="n">
        <v>7</v>
      </c>
      <c r="E516" s="3" t="n">
        <v>7</v>
      </c>
      <c r="F516" s="3"/>
      <c r="G516" s="3" t="n">
        <v>0</v>
      </c>
      <c r="H516" s="3" t="n">
        <v>988</v>
      </c>
      <c r="I516" s="3" t="s">
        <v>22</v>
      </c>
      <c r="J516" s="3" t="n">
        <v>382</v>
      </c>
      <c r="K516" s="3" t="n">
        <v>0</v>
      </c>
      <c r="L516" s="3" t="n">
        <v>34.7</v>
      </c>
      <c r="M516" s="3" t="s">
        <v>23</v>
      </c>
      <c r="N516" s="3" t="n">
        <v>26</v>
      </c>
      <c r="O516" s="3" t="n">
        <v>-36.422</v>
      </c>
      <c r="P516" s="3" t="n">
        <v>-72.96</v>
      </c>
      <c r="Q516" s="3" t="s">
        <v>1391</v>
      </c>
      <c r="R516" s="3" t="s">
        <v>33</v>
      </c>
      <c r="S516" s="3" t="s">
        <v>373</v>
      </c>
    </row>
    <row r="517" customFormat="false" ht="13.8" hidden="false" customHeight="false" outlineLevel="0" collapsed="false">
      <c r="A517" s="3" t="s">
        <v>1392</v>
      </c>
      <c r="B517" s="3" t="n">
        <v>7.2</v>
      </c>
      <c r="C517" s="3" t="s">
        <v>1393</v>
      </c>
      <c r="D517" s="3" t="n">
        <v>7</v>
      </c>
      <c r="E517" s="3" t="n">
        <v>7</v>
      </c>
      <c r="F517" s="3"/>
      <c r="G517" s="3" t="n">
        <v>0</v>
      </c>
      <c r="H517" s="3" t="n">
        <v>1449</v>
      </c>
      <c r="I517" s="3" t="s">
        <v>22</v>
      </c>
      <c r="J517" s="3" t="n">
        <v>372</v>
      </c>
      <c r="K517" s="3" t="n">
        <v>0</v>
      </c>
      <c r="L517" s="3" t="n">
        <v>25.3</v>
      </c>
      <c r="M517" s="3" t="s">
        <v>23</v>
      </c>
      <c r="N517" s="3" t="n">
        <v>68</v>
      </c>
      <c r="O517" s="3" t="n">
        <v>28.777</v>
      </c>
      <c r="P517" s="3" t="n">
        <v>63.951</v>
      </c>
      <c r="Q517" s="3" t="s">
        <v>1394</v>
      </c>
      <c r="R517" s="3" t="s">
        <v>80</v>
      </c>
      <c r="S517" s="3" t="s">
        <v>1134</v>
      </c>
    </row>
    <row r="518" customFormat="false" ht="13.8" hidden="false" customHeight="false" outlineLevel="0" collapsed="false">
      <c r="A518" s="3" t="s">
        <v>1395</v>
      </c>
      <c r="B518" s="3" t="n">
        <v>7</v>
      </c>
      <c r="C518" s="3" t="s">
        <v>1396</v>
      </c>
      <c r="D518" s="3" t="n">
        <v>2</v>
      </c>
      <c r="E518" s="3" t="n">
        <v>5</v>
      </c>
      <c r="F518" s="3"/>
      <c r="G518" s="3" t="n">
        <v>0</v>
      </c>
      <c r="H518" s="3" t="n">
        <v>755</v>
      </c>
      <c r="I518" s="3" t="s">
        <v>22</v>
      </c>
      <c r="J518" s="3" t="n">
        <v>578</v>
      </c>
      <c r="K518" s="3" t="n">
        <v>0</v>
      </c>
      <c r="L518" s="3" t="n">
        <v>13.3</v>
      </c>
      <c r="M518" s="3" t="s">
        <v>23</v>
      </c>
      <c r="N518" s="3" t="n">
        <v>9</v>
      </c>
      <c r="O518" s="3" t="n">
        <v>-20.628</v>
      </c>
      <c r="P518" s="3" t="n">
        <v>168.471</v>
      </c>
      <c r="Q518" s="3" t="s">
        <v>211</v>
      </c>
      <c r="R518" s="3"/>
      <c r="S518" s="3"/>
    </row>
    <row r="519" customFormat="false" ht="13.8" hidden="false" customHeight="false" outlineLevel="0" collapsed="false">
      <c r="A519" s="3" t="s">
        <v>1397</v>
      </c>
      <c r="B519" s="3" t="n">
        <v>7.2</v>
      </c>
      <c r="C519" s="3" t="s">
        <v>1398</v>
      </c>
      <c r="D519" s="3" t="n">
        <v>8</v>
      </c>
      <c r="E519" s="3" t="n">
        <v>7</v>
      </c>
      <c r="F519" s="3"/>
      <c r="G519" s="3" t="n">
        <v>0</v>
      </c>
      <c r="H519" s="3" t="n">
        <v>1054</v>
      </c>
      <c r="I519" s="3" t="s">
        <v>22</v>
      </c>
      <c r="J519" s="3" t="n">
        <v>397</v>
      </c>
      <c r="K519" s="3" t="n">
        <v>0</v>
      </c>
      <c r="L519" s="3" t="n">
        <v>30.1</v>
      </c>
      <c r="M519" s="3" t="s">
        <v>23</v>
      </c>
      <c r="N519" s="3" t="n">
        <v>24</v>
      </c>
      <c r="O519" s="3" t="n">
        <v>-38.355</v>
      </c>
      <c r="P519" s="3" t="n">
        <v>-73.326</v>
      </c>
      <c r="Q519" s="3" t="s">
        <v>1399</v>
      </c>
      <c r="R519" s="3" t="s">
        <v>33</v>
      </c>
      <c r="S519" s="3" t="s">
        <v>373</v>
      </c>
    </row>
    <row r="520" customFormat="false" ht="13.8" hidden="false" customHeight="false" outlineLevel="0" collapsed="false">
      <c r="A520" s="3" t="s">
        <v>1400</v>
      </c>
      <c r="B520" s="3" t="n">
        <v>7.3</v>
      </c>
      <c r="C520" s="3" t="s">
        <v>1401</v>
      </c>
      <c r="D520" s="3" t="n">
        <v>0</v>
      </c>
      <c r="E520" s="3" t="n">
        <v>5</v>
      </c>
      <c r="F520" s="3"/>
      <c r="G520" s="3" t="n">
        <v>0</v>
      </c>
      <c r="H520" s="3" t="n">
        <v>820</v>
      </c>
      <c r="I520" s="3" t="s">
        <v>22</v>
      </c>
      <c r="J520" s="3" t="n">
        <v>409</v>
      </c>
      <c r="K520" s="3" t="n">
        <v>0</v>
      </c>
      <c r="L520" s="3" t="n">
        <v>12</v>
      </c>
      <c r="M520" s="3" t="s">
        <v>127</v>
      </c>
      <c r="N520" s="3" t="n">
        <v>16</v>
      </c>
      <c r="O520" s="3" t="n">
        <v>-19.702</v>
      </c>
      <c r="P520" s="3" t="n">
        <v>167.947</v>
      </c>
      <c r="Q520" s="3" t="s">
        <v>177</v>
      </c>
      <c r="R520" s="3"/>
      <c r="S520" s="3"/>
    </row>
    <row r="521" customFormat="false" ht="13.8" hidden="false" customHeight="false" outlineLevel="0" collapsed="false">
      <c r="A521" s="3" t="s">
        <v>1402</v>
      </c>
      <c r="B521" s="3" t="n">
        <v>6.7</v>
      </c>
      <c r="C521" s="3" t="s">
        <v>1403</v>
      </c>
      <c r="D521" s="3" t="n">
        <v>3</v>
      </c>
      <c r="E521" s="3" t="n">
        <v>7</v>
      </c>
      <c r="F521" s="3"/>
      <c r="G521" s="3" t="n">
        <v>0</v>
      </c>
      <c r="H521" s="3" t="n">
        <v>708</v>
      </c>
      <c r="I521" s="3" t="s">
        <v>22</v>
      </c>
      <c r="J521" s="3" t="n">
        <v>279</v>
      </c>
      <c r="K521" s="3" t="n">
        <v>0</v>
      </c>
      <c r="L521" s="3" t="n">
        <v>24.3</v>
      </c>
      <c r="M521" s="3" t="s">
        <v>127</v>
      </c>
      <c r="N521" s="3" t="n">
        <v>12</v>
      </c>
      <c r="O521" s="3" t="n">
        <v>28.412</v>
      </c>
      <c r="P521" s="3" t="n">
        <v>59.18</v>
      </c>
      <c r="Q521" s="3" t="s">
        <v>1404</v>
      </c>
      <c r="R521" s="3" t="s">
        <v>80</v>
      </c>
      <c r="S521" s="3" t="s">
        <v>660</v>
      </c>
    </row>
    <row r="522" customFormat="false" ht="13.8" hidden="false" customHeight="false" outlineLevel="0" collapsed="false">
      <c r="A522" s="3" t="s">
        <v>1405</v>
      </c>
      <c r="B522" s="3" t="n">
        <v>6.6</v>
      </c>
      <c r="C522" s="3" t="s">
        <v>1406</v>
      </c>
      <c r="D522" s="3" t="n">
        <v>0</v>
      </c>
      <c r="E522" s="3" t="n">
        <v>6</v>
      </c>
      <c r="F522" s="3"/>
      <c r="G522" s="3" t="n">
        <v>0</v>
      </c>
      <c r="H522" s="3" t="n">
        <v>670</v>
      </c>
      <c r="I522" s="3" t="s">
        <v>22</v>
      </c>
      <c r="J522" s="3" t="n">
        <v>306</v>
      </c>
      <c r="K522" s="3" t="n">
        <v>0</v>
      </c>
      <c r="L522" s="3" t="n">
        <v>18.5</v>
      </c>
      <c r="M522" s="3" t="s">
        <v>154</v>
      </c>
      <c r="N522" s="3" t="n">
        <v>33</v>
      </c>
      <c r="O522" s="3" t="n">
        <v>-6.001</v>
      </c>
      <c r="P522" s="3" t="n">
        <v>149.977</v>
      </c>
      <c r="Q522" s="3" t="s">
        <v>789</v>
      </c>
      <c r="R522" s="3"/>
      <c r="S522" s="3" t="s">
        <v>85</v>
      </c>
    </row>
    <row r="523" customFormat="false" ht="13.8" hidden="false" customHeight="false" outlineLevel="0" collapsed="false">
      <c r="A523" s="3" t="s">
        <v>1407</v>
      </c>
      <c r="B523" s="3" t="n">
        <v>7.8</v>
      </c>
      <c r="C523" s="3" t="s">
        <v>1408</v>
      </c>
      <c r="D523" s="3" t="n">
        <v>4</v>
      </c>
      <c r="E523" s="3" t="n">
        <v>7</v>
      </c>
      <c r="F523" s="3"/>
      <c r="G523" s="3" t="n">
        <v>0</v>
      </c>
      <c r="H523" s="3" t="n">
        <v>946</v>
      </c>
      <c r="I523" s="3" t="s">
        <v>22</v>
      </c>
      <c r="J523" s="3" t="n">
        <v>379</v>
      </c>
      <c r="K523" s="3" t="n">
        <v>0</v>
      </c>
      <c r="L523" s="3" t="n">
        <v>23</v>
      </c>
      <c r="M523" s="3" t="s">
        <v>127</v>
      </c>
      <c r="N523" s="3" t="n">
        <v>20.1</v>
      </c>
      <c r="O523" s="3" t="n">
        <v>-3.487</v>
      </c>
      <c r="P523" s="3" t="n">
        <v>100.082</v>
      </c>
      <c r="Q523" s="3" t="s">
        <v>809</v>
      </c>
      <c r="R523" s="3"/>
      <c r="S523" s="3"/>
    </row>
    <row r="524" customFormat="false" ht="13.8" hidden="false" customHeight="false" outlineLevel="0" collapsed="false">
      <c r="A524" s="3" t="s">
        <v>1409</v>
      </c>
      <c r="B524" s="3" t="n">
        <v>6.7</v>
      </c>
      <c r="C524" s="3" t="s">
        <v>1410</v>
      </c>
      <c r="D524" s="3" t="n">
        <v>5</v>
      </c>
      <c r="E524" s="3" t="n">
        <v>5</v>
      </c>
      <c r="F524" s="3"/>
      <c r="G524" s="3" t="n">
        <v>0</v>
      </c>
      <c r="H524" s="3" t="n">
        <v>776</v>
      </c>
      <c r="I524" s="3" t="s">
        <v>22</v>
      </c>
      <c r="J524" s="3" t="n">
        <v>352</v>
      </c>
      <c r="K524" s="3" t="n">
        <v>0</v>
      </c>
      <c r="L524" s="3" t="n">
        <v>50.3</v>
      </c>
      <c r="M524" s="3" t="s">
        <v>127</v>
      </c>
      <c r="N524" s="3" t="n">
        <v>13</v>
      </c>
      <c r="O524" s="3" t="n">
        <v>24.696</v>
      </c>
      <c r="P524" s="3" t="n">
        <v>-109.156</v>
      </c>
      <c r="Q524" s="3" t="s">
        <v>1411</v>
      </c>
      <c r="R524" s="3"/>
      <c r="S524" s="3"/>
    </row>
    <row r="525" customFormat="false" ht="13.8" hidden="false" customHeight="false" outlineLevel="0" collapsed="false">
      <c r="A525" s="3" t="s">
        <v>1412</v>
      </c>
      <c r="B525" s="3" t="n">
        <v>7</v>
      </c>
      <c r="C525" s="3" t="s">
        <v>1413</v>
      </c>
      <c r="D525" s="3" t="n">
        <v>8</v>
      </c>
      <c r="E525" s="3" t="n">
        <v>5</v>
      </c>
      <c r="F525" s="3"/>
      <c r="G525" s="3" t="n">
        <v>0</v>
      </c>
      <c r="H525" s="3" t="n">
        <v>772</v>
      </c>
      <c r="I525" s="3" t="s">
        <v>22</v>
      </c>
      <c r="J525" s="3" t="n">
        <v>271</v>
      </c>
      <c r="K525" s="3" t="n">
        <v>0</v>
      </c>
      <c r="L525" s="3" t="n">
        <v>15.1</v>
      </c>
      <c r="M525" s="3" t="s">
        <v>127</v>
      </c>
      <c r="N525" s="3" t="n">
        <v>26</v>
      </c>
      <c r="O525" s="3" t="n">
        <v>-4.963</v>
      </c>
      <c r="P525" s="3" t="n">
        <v>133.76</v>
      </c>
      <c r="Q525" s="3" t="s">
        <v>1414</v>
      </c>
      <c r="R525" s="3"/>
      <c r="S525" s="3" t="s">
        <v>68</v>
      </c>
    </row>
    <row r="526" customFormat="false" ht="13.8" hidden="false" customHeight="false" outlineLevel="0" collapsed="false">
      <c r="A526" s="3" t="s">
        <v>1415</v>
      </c>
      <c r="B526" s="3" t="n">
        <v>7</v>
      </c>
      <c r="C526" s="3" t="s">
        <v>1416</v>
      </c>
      <c r="D526" s="3" t="n">
        <v>8</v>
      </c>
      <c r="E526" s="3" t="n">
        <v>8</v>
      </c>
      <c r="F526" s="3"/>
      <c r="G526" s="3" t="n">
        <v>0</v>
      </c>
      <c r="H526" s="3" t="n">
        <v>1245</v>
      </c>
      <c r="I526" s="3" t="s">
        <v>22</v>
      </c>
      <c r="J526" s="3" t="n">
        <v>365</v>
      </c>
      <c r="K526" s="3" t="n">
        <v>0</v>
      </c>
      <c r="L526" s="3" t="n">
        <v>15.8</v>
      </c>
      <c r="M526" s="3" t="s">
        <v>127</v>
      </c>
      <c r="N526" s="3" t="n">
        <v>12</v>
      </c>
      <c r="O526" s="3" t="n">
        <v>-43.522</v>
      </c>
      <c r="P526" s="3" t="n">
        <v>171.83</v>
      </c>
      <c r="Q526" s="3" t="s">
        <v>1417</v>
      </c>
      <c r="R526" s="3"/>
      <c r="S526" s="3" t="s">
        <v>774</v>
      </c>
    </row>
    <row r="527" customFormat="false" ht="13.8" hidden="false" customHeight="false" outlineLevel="0" collapsed="false">
      <c r="A527" s="3" t="s">
        <v>1418</v>
      </c>
      <c r="B527" s="3" t="n">
        <v>7.1</v>
      </c>
      <c r="C527" s="3" t="s">
        <v>1419</v>
      </c>
      <c r="D527" s="3" t="n">
        <v>6</v>
      </c>
      <c r="E527" s="3" t="n">
        <v>5</v>
      </c>
      <c r="F527" s="3"/>
      <c r="G527" s="3" t="n">
        <v>0</v>
      </c>
      <c r="H527" s="3" t="n">
        <v>945</v>
      </c>
      <c r="I527" s="3" t="s">
        <v>22</v>
      </c>
      <c r="J527" s="3" t="n">
        <v>672</v>
      </c>
      <c r="K527" s="3" t="n">
        <v>0</v>
      </c>
      <c r="L527" s="3" t="n">
        <v>12.4</v>
      </c>
      <c r="M527" s="3" t="s">
        <v>127</v>
      </c>
      <c r="N527" s="3" t="n">
        <v>206.7</v>
      </c>
      <c r="O527" s="3" t="n">
        <v>-1.266</v>
      </c>
      <c r="P527" s="3" t="n">
        <v>-77.306</v>
      </c>
      <c r="Q527" s="3" t="s">
        <v>96</v>
      </c>
      <c r="R527" s="3" t="s">
        <v>33</v>
      </c>
      <c r="S527" s="3" t="s">
        <v>96</v>
      </c>
    </row>
    <row r="528" customFormat="false" ht="13.8" hidden="false" customHeight="false" outlineLevel="0" collapsed="false">
      <c r="A528" s="3" t="s">
        <v>1420</v>
      </c>
      <c r="B528" s="3" t="n">
        <v>7.3</v>
      </c>
      <c r="C528" s="3" t="s">
        <v>1421</v>
      </c>
      <c r="D528" s="3" t="n">
        <v>7</v>
      </c>
      <c r="E528" s="3" t="n">
        <v>7</v>
      </c>
      <c r="F528" s="3"/>
      <c r="G528" s="3" t="n">
        <v>0</v>
      </c>
      <c r="H528" s="3" t="n">
        <v>850</v>
      </c>
      <c r="I528" s="3" t="s">
        <v>22</v>
      </c>
      <c r="J528" s="3" t="n">
        <v>405</v>
      </c>
      <c r="K528" s="3" t="n">
        <v>0</v>
      </c>
      <c r="L528" s="3" t="n">
        <v>20.2</v>
      </c>
      <c r="M528" s="3" t="s">
        <v>127</v>
      </c>
      <c r="N528" s="3" t="n">
        <v>25</v>
      </c>
      <c r="O528" s="3" t="n">
        <v>-17.541</v>
      </c>
      <c r="P528" s="3" t="n">
        <v>168.069</v>
      </c>
      <c r="Q528" s="3" t="s">
        <v>989</v>
      </c>
      <c r="R528" s="3"/>
      <c r="S528" s="3" t="s">
        <v>25</v>
      </c>
    </row>
    <row r="529" customFormat="false" ht="13.8" hidden="false" customHeight="false" outlineLevel="0" collapsed="false">
      <c r="A529" s="3" t="s">
        <v>1422</v>
      </c>
      <c r="B529" s="3" t="n">
        <v>7</v>
      </c>
      <c r="C529" s="3" t="s">
        <v>1423</v>
      </c>
      <c r="D529" s="3" t="n">
        <v>4</v>
      </c>
      <c r="E529" s="3" t="n">
        <v>6</v>
      </c>
      <c r="F529" s="3"/>
      <c r="G529" s="3" t="n">
        <v>0</v>
      </c>
      <c r="H529" s="3" t="n">
        <v>757</v>
      </c>
      <c r="I529" s="3" t="s">
        <v>22</v>
      </c>
      <c r="J529" s="3" t="n">
        <v>396</v>
      </c>
      <c r="K529" s="3" t="n">
        <v>0</v>
      </c>
      <c r="L529" s="3" t="n">
        <v>12.7</v>
      </c>
      <c r="M529" s="3" t="s">
        <v>23</v>
      </c>
      <c r="N529" s="3" t="n">
        <v>44</v>
      </c>
      <c r="O529" s="3" t="n">
        <v>-5.746</v>
      </c>
      <c r="P529" s="3" t="n">
        <v>150.765</v>
      </c>
      <c r="Q529" s="3" t="s">
        <v>107</v>
      </c>
      <c r="R529" s="3"/>
      <c r="S529" s="3" t="s">
        <v>85</v>
      </c>
    </row>
    <row r="530" customFormat="false" ht="13.8" hidden="false" customHeight="false" outlineLevel="0" collapsed="false">
      <c r="A530" s="3" t="s">
        <v>1424</v>
      </c>
      <c r="B530" s="3" t="n">
        <v>6.5</v>
      </c>
      <c r="C530" s="3" t="s">
        <v>1425</v>
      </c>
      <c r="D530" s="3" t="n">
        <v>5</v>
      </c>
      <c r="E530" s="3" t="n">
        <v>4</v>
      </c>
      <c r="F530" s="3"/>
      <c r="G530" s="3" t="n">
        <v>0</v>
      </c>
      <c r="H530" s="3" t="n">
        <v>659</v>
      </c>
      <c r="I530" s="3" t="s">
        <v>22</v>
      </c>
      <c r="J530" s="3" t="n">
        <v>403</v>
      </c>
      <c r="K530" s="3" t="n">
        <v>0</v>
      </c>
      <c r="L530" s="3" t="n">
        <v>11.1</v>
      </c>
      <c r="M530" s="3" t="s">
        <v>127</v>
      </c>
      <c r="N530" s="3" t="n">
        <v>220</v>
      </c>
      <c r="O530" s="3" t="n">
        <v>-5.486</v>
      </c>
      <c r="P530" s="3" t="n">
        <v>146.822</v>
      </c>
      <c r="Q530" s="3" t="s">
        <v>1426</v>
      </c>
      <c r="R530" s="3"/>
      <c r="S530" s="3" t="s">
        <v>85</v>
      </c>
    </row>
    <row r="531" customFormat="false" ht="13.8" hidden="false" customHeight="false" outlineLevel="0" collapsed="false">
      <c r="A531" s="3" t="s">
        <v>1427</v>
      </c>
      <c r="B531" s="3" t="n">
        <v>7.6</v>
      </c>
      <c r="C531" s="3" t="s">
        <v>1428</v>
      </c>
      <c r="D531" s="3" t="n">
        <v>5</v>
      </c>
      <c r="E531" s="3" t="n">
        <v>3</v>
      </c>
      <c r="F531" s="3"/>
      <c r="G531" s="3" t="n">
        <v>0</v>
      </c>
      <c r="H531" s="3" t="n">
        <v>902</v>
      </c>
      <c r="I531" s="3" t="s">
        <v>22</v>
      </c>
      <c r="J531" s="3" t="n">
        <v>340</v>
      </c>
      <c r="K531" s="3" t="n">
        <v>0</v>
      </c>
      <c r="L531" s="3" t="n">
        <v>15.1</v>
      </c>
      <c r="M531" s="3" t="s">
        <v>127</v>
      </c>
      <c r="N531" s="3" t="n">
        <v>578</v>
      </c>
      <c r="O531" s="3" t="n">
        <v>6.497</v>
      </c>
      <c r="P531" s="3" t="n">
        <v>123.48</v>
      </c>
      <c r="Q531" s="3" t="s">
        <v>1429</v>
      </c>
      <c r="R531" s="3"/>
      <c r="S531" s="3" t="s">
        <v>191</v>
      </c>
    </row>
    <row r="532" customFormat="false" ht="13.8" hidden="false" customHeight="false" outlineLevel="0" collapsed="false">
      <c r="A532" s="3" t="s">
        <v>1430</v>
      </c>
      <c r="B532" s="3" t="n">
        <v>7.3</v>
      </c>
      <c r="C532" s="3" t="s">
        <v>1431</v>
      </c>
      <c r="D532" s="3" t="n">
        <v>8</v>
      </c>
      <c r="E532" s="3" t="n">
        <v>7</v>
      </c>
      <c r="F532" s="3"/>
      <c r="G532" s="3" t="n">
        <v>0</v>
      </c>
      <c r="H532" s="3" t="n">
        <v>831</v>
      </c>
      <c r="I532" s="3" t="s">
        <v>22</v>
      </c>
      <c r="J532" s="3" t="n">
        <v>397</v>
      </c>
      <c r="K532" s="3" t="n">
        <v>0</v>
      </c>
      <c r="L532" s="3" t="n">
        <v>18.2</v>
      </c>
      <c r="M532" s="3" t="s">
        <v>127</v>
      </c>
      <c r="N532" s="3" t="n">
        <v>35</v>
      </c>
      <c r="O532" s="3" t="n">
        <v>-5.931</v>
      </c>
      <c r="P532" s="3" t="n">
        <v>150.59</v>
      </c>
      <c r="Q532" s="3" t="s">
        <v>1432</v>
      </c>
      <c r="R532" s="3"/>
      <c r="S532" s="3" t="s">
        <v>85</v>
      </c>
    </row>
    <row r="533" customFormat="false" ht="13.8" hidden="false" customHeight="false" outlineLevel="0" collapsed="false">
      <c r="A533" s="3" t="s">
        <v>1433</v>
      </c>
      <c r="B533" s="3" t="n">
        <v>6.9</v>
      </c>
      <c r="C533" s="3" t="s">
        <v>1434</v>
      </c>
      <c r="D533" s="3" t="n">
        <v>4</v>
      </c>
      <c r="E533" s="3" t="n">
        <v>7</v>
      </c>
      <c r="F533" s="3"/>
      <c r="G533" s="3" t="n">
        <v>0</v>
      </c>
      <c r="H533" s="3" t="n">
        <v>737</v>
      </c>
      <c r="I533" s="3" t="s">
        <v>22</v>
      </c>
      <c r="J533" s="3" t="n">
        <v>456</v>
      </c>
      <c r="K533" s="3" t="n">
        <v>0</v>
      </c>
      <c r="L533" s="3" t="n">
        <v>15.7</v>
      </c>
      <c r="M533" s="3" t="s">
        <v>127</v>
      </c>
      <c r="N533" s="3" t="n">
        <v>28</v>
      </c>
      <c r="O533" s="3" t="n">
        <v>-5.966</v>
      </c>
      <c r="P533" s="3" t="n">
        <v>150.428</v>
      </c>
      <c r="Q533" s="3" t="s">
        <v>107</v>
      </c>
      <c r="R533" s="3"/>
      <c r="S533" s="3" t="s">
        <v>85</v>
      </c>
    </row>
    <row r="534" customFormat="false" ht="13.8" hidden="false" customHeight="false" outlineLevel="0" collapsed="false">
      <c r="A534" s="3" t="s">
        <v>1435</v>
      </c>
      <c r="B534" s="3" t="n">
        <v>6.6</v>
      </c>
      <c r="C534" s="3" t="s">
        <v>1436</v>
      </c>
      <c r="D534" s="3" t="n">
        <v>6</v>
      </c>
      <c r="E534" s="3" t="n">
        <v>7</v>
      </c>
      <c r="F534" s="3"/>
      <c r="G534" s="3" t="n">
        <v>0</v>
      </c>
      <c r="H534" s="3" t="n">
        <v>753</v>
      </c>
      <c r="I534" s="3" t="s">
        <v>22</v>
      </c>
      <c r="J534" s="3" t="n">
        <v>295</v>
      </c>
      <c r="K534" s="3" t="n">
        <v>0</v>
      </c>
      <c r="L534" s="3" t="n">
        <v>52.8</v>
      </c>
      <c r="M534" s="3" t="s">
        <v>127</v>
      </c>
      <c r="N534" s="3" t="n">
        <v>22</v>
      </c>
      <c r="O534" s="3" t="n">
        <v>-38.067</v>
      </c>
      <c r="P534" s="3" t="n">
        <v>-73.31</v>
      </c>
      <c r="Q534" s="3" t="s">
        <v>1437</v>
      </c>
      <c r="R534" s="3" t="s">
        <v>33</v>
      </c>
      <c r="S534" s="3" t="s">
        <v>373</v>
      </c>
    </row>
    <row r="535" customFormat="false" ht="13.8" hidden="false" customHeight="false" outlineLevel="0" collapsed="false">
      <c r="A535" s="3" t="s">
        <v>1438</v>
      </c>
      <c r="B535" s="3" t="n">
        <v>6.7</v>
      </c>
      <c r="C535" s="3" t="s">
        <v>1439</v>
      </c>
      <c r="D535" s="3" t="n">
        <v>5</v>
      </c>
      <c r="E535" s="3" t="n">
        <v>6</v>
      </c>
      <c r="F535" s="3"/>
      <c r="G535" s="3" t="n">
        <v>0</v>
      </c>
      <c r="H535" s="3" t="n">
        <v>696</v>
      </c>
      <c r="I535" s="3" t="s">
        <v>22</v>
      </c>
      <c r="J535" s="3" t="n">
        <v>392</v>
      </c>
      <c r="K535" s="3" t="n">
        <v>0</v>
      </c>
      <c r="L535" s="3" t="n">
        <v>18.7</v>
      </c>
      <c r="M535" s="3" t="s">
        <v>127</v>
      </c>
      <c r="N535" s="3" t="n">
        <v>35</v>
      </c>
      <c r="O535" s="3" t="n">
        <v>-10.627</v>
      </c>
      <c r="P535" s="3" t="n">
        <v>161.447</v>
      </c>
      <c r="Q535" s="3" t="s">
        <v>581</v>
      </c>
      <c r="R535" s="3"/>
      <c r="S535" s="3" t="s">
        <v>140</v>
      </c>
    </row>
    <row r="536" customFormat="false" ht="13.8" hidden="false" customHeight="false" outlineLevel="0" collapsed="false">
      <c r="A536" s="3" t="s">
        <v>1440</v>
      </c>
      <c r="B536" s="3" t="n">
        <v>6.6</v>
      </c>
      <c r="C536" s="3" t="s">
        <v>1441</v>
      </c>
      <c r="D536" s="3" t="n">
        <v>0</v>
      </c>
      <c r="E536" s="3" t="n">
        <v>7</v>
      </c>
      <c r="F536" s="3"/>
      <c r="G536" s="3" t="n">
        <v>0</v>
      </c>
      <c r="H536" s="3" t="n">
        <v>670</v>
      </c>
      <c r="I536" s="3" t="s">
        <v>22</v>
      </c>
      <c r="J536" s="3" t="n">
        <v>309</v>
      </c>
      <c r="K536" s="3" t="n">
        <v>0</v>
      </c>
      <c r="L536" s="3" t="n">
        <v>25</v>
      </c>
      <c r="M536" s="3" t="s">
        <v>127</v>
      </c>
      <c r="N536" s="3" t="n">
        <v>10.5</v>
      </c>
      <c r="O536" s="3" t="n">
        <v>-2.329</v>
      </c>
      <c r="P536" s="3" t="n">
        <v>136.484</v>
      </c>
      <c r="Q536" s="3" t="s">
        <v>1442</v>
      </c>
      <c r="R536" s="3"/>
      <c r="S536" s="3" t="s">
        <v>68</v>
      </c>
    </row>
    <row r="537" customFormat="false" ht="13.8" hidden="false" customHeight="false" outlineLevel="0" collapsed="false">
      <c r="A537" s="3" t="s">
        <v>1443</v>
      </c>
      <c r="B537" s="3" t="n">
        <v>7</v>
      </c>
      <c r="C537" s="3" t="s">
        <v>1444</v>
      </c>
      <c r="D537" s="3" t="n">
        <v>3</v>
      </c>
      <c r="E537" s="3" t="n">
        <v>7</v>
      </c>
      <c r="F537" s="3"/>
      <c r="G537" s="3" t="n">
        <v>0</v>
      </c>
      <c r="H537" s="3" t="n">
        <v>755</v>
      </c>
      <c r="I537" s="3" t="s">
        <v>22</v>
      </c>
      <c r="J537" s="3" t="n">
        <v>307</v>
      </c>
      <c r="K537" s="3" t="n">
        <v>0</v>
      </c>
      <c r="L537" s="3" t="n">
        <v>18.1</v>
      </c>
      <c r="M537" s="3" t="s">
        <v>127</v>
      </c>
      <c r="N537" s="3" t="n">
        <v>18</v>
      </c>
      <c r="O537" s="3" t="n">
        <v>-2.174</v>
      </c>
      <c r="P537" s="3" t="n">
        <v>136.543</v>
      </c>
      <c r="Q537" s="3" t="s">
        <v>1442</v>
      </c>
      <c r="R537" s="3"/>
      <c r="S537" s="3" t="s">
        <v>68</v>
      </c>
    </row>
    <row r="538" customFormat="false" ht="13.8" hidden="false" customHeight="false" outlineLevel="0" collapsed="false">
      <c r="A538" s="3" t="s">
        <v>1445</v>
      </c>
      <c r="B538" s="3" t="n">
        <v>7.5</v>
      </c>
      <c r="C538" s="3" t="s">
        <v>1446</v>
      </c>
      <c r="D538" s="3" t="n">
        <v>6</v>
      </c>
      <c r="E538" s="3" t="n">
        <v>5</v>
      </c>
      <c r="F538" s="3"/>
      <c r="G538" s="3" t="n">
        <v>0</v>
      </c>
      <c r="H538" s="3" t="n">
        <v>1144</v>
      </c>
      <c r="I538" s="3" t="s">
        <v>22</v>
      </c>
      <c r="J538" s="3" t="n">
        <v>514</v>
      </c>
      <c r="K538" s="3" t="n">
        <v>0</v>
      </c>
      <c r="L538" s="3" t="n">
        <v>18.6</v>
      </c>
      <c r="M538" s="3" t="s">
        <v>127</v>
      </c>
      <c r="N538" s="3" t="n">
        <v>35</v>
      </c>
      <c r="O538" s="3" t="n">
        <v>7.881</v>
      </c>
      <c r="P538" s="3" t="n">
        <v>91.936</v>
      </c>
      <c r="Q538" s="3" t="s">
        <v>890</v>
      </c>
      <c r="R538" s="3"/>
      <c r="S538" s="3"/>
    </row>
    <row r="539" customFormat="false" ht="13.8" hidden="false" customHeight="false" outlineLevel="0" collapsed="false">
      <c r="A539" s="3" t="s">
        <v>1447</v>
      </c>
      <c r="B539" s="3" t="n">
        <v>7.2</v>
      </c>
      <c r="C539" s="3" t="s">
        <v>1448</v>
      </c>
      <c r="D539" s="3" t="n">
        <v>5</v>
      </c>
      <c r="E539" s="3" t="n">
        <v>6</v>
      </c>
      <c r="F539" s="3"/>
      <c r="G539" s="3" t="n">
        <v>0</v>
      </c>
      <c r="H539" s="3" t="n">
        <v>804</v>
      </c>
      <c r="I539" s="3" t="s">
        <v>22</v>
      </c>
      <c r="J539" s="3" t="n">
        <v>327</v>
      </c>
      <c r="K539" s="3" t="n">
        <v>0</v>
      </c>
      <c r="L539" s="3" t="n">
        <v>11.7</v>
      </c>
      <c r="M539" s="3" t="s">
        <v>127</v>
      </c>
      <c r="N539" s="3" t="n">
        <v>31</v>
      </c>
      <c r="O539" s="3" t="n">
        <v>-13.698</v>
      </c>
      <c r="P539" s="3" t="n">
        <v>166.643</v>
      </c>
      <c r="Q539" s="3" t="s">
        <v>24</v>
      </c>
      <c r="R539" s="3"/>
      <c r="S539" s="3" t="s">
        <v>25</v>
      </c>
    </row>
    <row r="540" customFormat="false" ht="13.8" hidden="false" customHeight="false" outlineLevel="0" collapsed="false">
      <c r="A540" s="3" t="s">
        <v>1449</v>
      </c>
      <c r="B540" s="3" t="n">
        <v>7.2</v>
      </c>
      <c r="C540" s="3" t="s">
        <v>1450</v>
      </c>
      <c r="D540" s="3" t="n">
        <v>5</v>
      </c>
      <c r="E540" s="3" t="n">
        <v>6</v>
      </c>
      <c r="F540" s="3"/>
      <c r="G540" s="3" t="n">
        <v>0</v>
      </c>
      <c r="H540" s="3" t="n">
        <v>918</v>
      </c>
      <c r="I540" s="3" t="s">
        <v>22</v>
      </c>
      <c r="J540" s="3" t="n">
        <v>611</v>
      </c>
      <c r="K540" s="3" t="n">
        <v>0</v>
      </c>
      <c r="L540" s="3" t="n">
        <v>20.6</v>
      </c>
      <c r="M540" s="3" t="s">
        <v>127</v>
      </c>
      <c r="N540" s="3" t="n">
        <v>38</v>
      </c>
      <c r="O540" s="3" t="n">
        <v>3.748</v>
      </c>
      <c r="P540" s="3" t="n">
        <v>96.018</v>
      </c>
      <c r="Q540" s="3" t="s">
        <v>1451</v>
      </c>
      <c r="R540" s="3"/>
      <c r="S540" s="3" t="s">
        <v>68</v>
      </c>
    </row>
    <row r="541" customFormat="false" ht="13.8" hidden="false" customHeight="false" outlineLevel="0" collapsed="false">
      <c r="A541" s="3" t="s">
        <v>1452</v>
      </c>
      <c r="B541" s="3" t="n">
        <v>6.9</v>
      </c>
      <c r="C541" s="3" t="s">
        <v>1453</v>
      </c>
      <c r="D541" s="3" t="n">
        <v>6</v>
      </c>
      <c r="E541" s="3" t="n">
        <v>9</v>
      </c>
      <c r="F541" s="3"/>
      <c r="G541" s="3" t="n">
        <v>0</v>
      </c>
      <c r="H541" s="3" t="n">
        <v>773</v>
      </c>
      <c r="I541" s="3" t="s">
        <v>22</v>
      </c>
      <c r="J541" s="3" t="n">
        <v>410</v>
      </c>
      <c r="K541" s="3" t="n">
        <v>0</v>
      </c>
      <c r="L541" s="3" t="n">
        <v>14.9</v>
      </c>
      <c r="M541" s="3" t="s">
        <v>127</v>
      </c>
      <c r="N541" s="3" t="n">
        <v>17</v>
      </c>
      <c r="O541" s="3" t="n">
        <v>33.165</v>
      </c>
      <c r="P541" s="3" t="n">
        <v>96.548</v>
      </c>
      <c r="Q541" s="3" t="s">
        <v>1454</v>
      </c>
      <c r="R541" s="3" t="s">
        <v>80</v>
      </c>
      <c r="S541" s="3" t="s">
        <v>184</v>
      </c>
    </row>
    <row r="542" customFormat="false" ht="13.8" hidden="false" customHeight="false" outlineLevel="0" collapsed="false">
      <c r="A542" s="3" t="s">
        <v>1455</v>
      </c>
      <c r="B542" s="3" t="n">
        <v>6.9</v>
      </c>
      <c r="C542" s="3" t="s">
        <v>1456</v>
      </c>
      <c r="D542" s="3" t="n">
        <v>4</v>
      </c>
      <c r="E542" s="3" t="n">
        <v>5</v>
      </c>
      <c r="F542" s="3"/>
      <c r="G542" s="3" t="n">
        <v>0</v>
      </c>
      <c r="H542" s="3" t="n">
        <v>740</v>
      </c>
      <c r="I542" s="3" t="s">
        <v>22</v>
      </c>
      <c r="J542" s="3" t="n">
        <v>399</v>
      </c>
      <c r="K542" s="3" t="n">
        <v>0</v>
      </c>
      <c r="L542" s="3" t="n">
        <v>12.1</v>
      </c>
      <c r="M542" s="3" t="s">
        <v>127</v>
      </c>
      <c r="N542" s="3" t="n">
        <v>21</v>
      </c>
      <c r="O542" s="3" t="n">
        <v>-10.878</v>
      </c>
      <c r="P542" s="3" t="n">
        <v>161.116</v>
      </c>
      <c r="Q542" s="3" t="s">
        <v>581</v>
      </c>
      <c r="R542" s="3"/>
      <c r="S542" s="3"/>
    </row>
    <row r="543" customFormat="false" ht="13.8" hidden="false" customHeight="false" outlineLevel="0" collapsed="false">
      <c r="A543" s="3" t="s">
        <v>1457</v>
      </c>
      <c r="B543" s="3" t="n">
        <v>7.8</v>
      </c>
      <c r="C543" s="3" t="s">
        <v>1458</v>
      </c>
      <c r="D543" s="3" t="n">
        <v>0</v>
      </c>
      <c r="E543" s="3" t="n">
        <v>7</v>
      </c>
      <c r="F543" s="3"/>
      <c r="G543" s="3" t="n">
        <v>0</v>
      </c>
      <c r="H543" s="3" t="n">
        <v>936</v>
      </c>
      <c r="I543" s="3" t="s">
        <v>22</v>
      </c>
      <c r="J543" s="3" t="n">
        <v>352</v>
      </c>
      <c r="K543" s="3" t="n">
        <v>0</v>
      </c>
      <c r="L543" s="3" t="n">
        <v>19.2</v>
      </c>
      <c r="M543" s="3" t="s">
        <v>127</v>
      </c>
      <c r="N543" s="3" t="n">
        <v>31</v>
      </c>
      <c r="O543" s="3" t="n">
        <v>2.383</v>
      </c>
      <c r="P543" s="3" t="n">
        <v>97.048</v>
      </c>
      <c r="Q543" s="3" t="s">
        <v>317</v>
      </c>
      <c r="R543" s="3"/>
      <c r="S543" s="3" t="s">
        <v>68</v>
      </c>
    </row>
    <row r="544" customFormat="false" ht="13.8" hidden="false" customHeight="false" outlineLevel="0" collapsed="false">
      <c r="A544" s="3" t="s">
        <v>1459</v>
      </c>
      <c r="B544" s="3" t="n">
        <v>7.2</v>
      </c>
      <c r="C544" s="3" t="s">
        <v>1460</v>
      </c>
      <c r="D544" s="3" t="n">
        <v>9</v>
      </c>
      <c r="E544" s="3" t="n">
        <v>9</v>
      </c>
      <c r="F544" s="3" t="s">
        <v>121</v>
      </c>
      <c r="G544" s="3" t="n">
        <v>0</v>
      </c>
      <c r="H544" s="3" t="n">
        <v>2910</v>
      </c>
      <c r="I544" s="3" t="s">
        <v>484</v>
      </c>
      <c r="J544" s="3" t="n">
        <v>10</v>
      </c>
      <c r="K544" s="3" t="n">
        <v>0.5137</v>
      </c>
      <c r="L544" s="3" t="n">
        <v>239</v>
      </c>
      <c r="M544" s="3" t="s">
        <v>485</v>
      </c>
      <c r="N544" s="3" t="n">
        <v>9.987</v>
      </c>
      <c r="O544" s="3" t="n">
        <v>32.2862</v>
      </c>
      <c r="P544" s="3" t="n">
        <v>-115.295</v>
      </c>
      <c r="Q544" s="3" t="s">
        <v>1461</v>
      </c>
      <c r="R544" s="3" t="s">
        <v>164</v>
      </c>
      <c r="S544" s="3" t="s">
        <v>165</v>
      </c>
    </row>
    <row r="545" customFormat="false" ht="13.8" hidden="false" customHeight="false" outlineLevel="0" collapsed="false">
      <c r="A545" s="3" t="s">
        <v>1462</v>
      </c>
      <c r="B545" s="3" t="n">
        <v>6.6</v>
      </c>
      <c r="C545" s="3" t="s">
        <v>1463</v>
      </c>
      <c r="D545" s="3" t="n">
        <v>5</v>
      </c>
      <c r="E545" s="3" t="n">
        <v>6</v>
      </c>
      <c r="F545" s="3"/>
      <c r="G545" s="3" t="n">
        <v>0</v>
      </c>
      <c r="H545" s="3" t="n">
        <v>701</v>
      </c>
      <c r="I545" s="3" t="s">
        <v>22</v>
      </c>
      <c r="J545" s="3" t="n">
        <v>413</v>
      </c>
      <c r="K545" s="3" t="n">
        <v>0</v>
      </c>
      <c r="L545" s="3" t="n">
        <v>16.7</v>
      </c>
      <c r="M545" s="3" t="s">
        <v>127</v>
      </c>
      <c r="N545" s="3" t="n">
        <v>34</v>
      </c>
      <c r="O545" s="3" t="n">
        <v>13.667</v>
      </c>
      <c r="P545" s="3" t="n">
        <v>92.831</v>
      </c>
      <c r="Q545" s="3" t="s">
        <v>1464</v>
      </c>
      <c r="R545" s="3"/>
      <c r="S545" s="3" t="s">
        <v>860</v>
      </c>
    </row>
    <row r="546" customFormat="false" ht="13.8" hidden="false" customHeight="false" outlineLevel="0" collapsed="false">
      <c r="A546" s="3" t="s">
        <v>1465</v>
      </c>
      <c r="B546" s="3" t="n">
        <v>6.7</v>
      </c>
      <c r="C546" s="3" t="s">
        <v>1466</v>
      </c>
      <c r="D546" s="3" t="n">
        <v>5</v>
      </c>
      <c r="E546" s="3" t="n">
        <v>6</v>
      </c>
      <c r="F546" s="3"/>
      <c r="G546" s="3" t="n">
        <v>0</v>
      </c>
      <c r="H546" s="3" t="n">
        <v>856</v>
      </c>
      <c r="I546" s="3" t="s">
        <v>22</v>
      </c>
      <c r="J546" s="3" t="n">
        <v>312</v>
      </c>
      <c r="K546" s="3" t="n">
        <v>0</v>
      </c>
      <c r="L546" s="3" t="n">
        <v>34.7</v>
      </c>
      <c r="M546" s="3" t="s">
        <v>127</v>
      </c>
      <c r="N546" s="3" t="n">
        <v>18</v>
      </c>
      <c r="O546" s="3" t="n">
        <v>-36.217</v>
      </c>
      <c r="P546" s="3" t="n">
        <v>-73.257</v>
      </c>
      <c r="Q546" s="3" t="s">
        <v>1391</v>
      </c>
      <c r="R546" s="3"/>
      <c r="S546" s="3"/>
    </row>
    <row r="547" customFormat="false" ht="13.8" hidden="false" customHeight="false" outlineLevel="0" collapsed="false">
      <c r="A547" s="3" t="s">
        <v>1467</v>
      </c>
      <c r="B547" s="3" t="n">
        <v>6.5</v>
      </c>
      <c r="C547" s="3" t="s">
        <v>1468</v>
      </c>
      <c r="D547" s="3" t="n">
        <v>6</v>
      </c>
      <c r="E547" s="3" t="n">
        <v>5</v>
      </c>
      <c r="F547" s="3"/>
      <c r="G547" s="3" t="n">
        <v>0</v>
      </c>
      <c r="H547" s="3" t="n">
        <v>810</v>
      </c>
      <c r="I547" s="3" t="s">
        <v>22</v>
      </c>
      <c r="J547" s="3" t="n">
        <v>491</v>
      </c>
      <c r="K547" s="3" t="n">
        <v>0</v>
      </c>
      <c r="L547" s="3" t="n">
        <v>27</v>
      </c>
      <c r="M547" s="3" t="s">
        <v>127</v>
      </c>
      <c r="N547" s="3" t="n">
        <v>32</v>
      </c>
      <c r="O547" s="3" t="n">
        <v>37.745</v>
      </c>
      <c r="P547" s="3" t="n">
        <v>141.59</v>
      </c>
      <c r="Q547" s="3" t="s">
        <v>217</v>
      </c>
      <c r="R547" s="3"/>
      <c r="S547" s="3"/>
    </row>
    <row r="548" customFormat="false" ht="13.8" hidden="false" customHeight="false" outlineLevel="0" collapsed="false">
      <c r="A548" s="3" t="s">
        <v>1469</v>
      </c>
      <c r="B548" s="3" t="n">
        <v>7</v>
      </c>
      <c r="C548" s="3" t="s">
        <v>1470</v>
      </c>
      <c r="D548" s="3" t="n">
        <v>7</v>
      </c>
      <c r="E548" s="3" t="n">
        <v>7</v>
      </c>
      <c r="F548" s="3"/>
      <c r="G548" s="3" t="n">
        <v>0</v>
      </c>
      <c r="H548" s="3" t="n">
        <v>874</v>
      </c>
      <c r="I548" s="3" t="s">
        <v>22</v>
      </c>
      <c r="J548" s="3" t="n">
        <v>403</v>
      </c>
      <c r="K548" s="3" t="n">
        <v>0</v>
      </c>
      <c r="L548" s="3" t="n">
        <v>17.1</v>
      </c>
      <c r="M548" s="3" t="s">
        <v>127</v>
      </c>
      <c r="N548" s="3" t="n">
        <v>18</v>
      </c>
      <c r="O548" s="3" t="n">
        <v>-34.326</v>
      </c>
      <c r="P548" s="3" t="n">
        <v>-71.799</v>
      </c>
      <c r="Q548" s="3" t="s">
        <v>1471</v>
      </c>
      <c r="R548" s="3" t="s">
        <v>33</v>
      </c>
      <c r="S548" s="3" t="s">
        <v>373</v>
      </c>
    </row>
    <row r="549" customFormat="false" ht="13.8" hidden="false" customHeight="false" outlineLevel="0" collapsed="false">
      <c r="A549" s="3" t="s">
        <v>1472</v>
      </c>
      <c r="B549" s="3" t="n">
        <v>6.9</v>
      </c>
      <c r="C549" s="3" t="s">
        <v>1473</v>
      </c>
      <c r="D549" s="3" t="n">
        <v>7</v>
      </c>
      <c r="E549" s="3" t="n">
        <v>7</v>
      </c>
      <c r="F549" s="3"/>
      <c r="G549" s="3" t="n">
        <v>0</v>
      </c>
      <c r="H549" s="3" t="n">
        <v>1280</v>
      </c>
      <c r="I549" s="3" t="s">
        <v>22</v>
      </c>
      <c r="J549" s="3" t="n">
        <v>415</v>
      </c>
      <c r="K549" s="3" t="n">
        <v>0</v>
      </c>
      <c r="L549" s="3" t="n">
        <v>12.5</v>
      </c>
      <c r="M549" s="3" t="s">
        <v>127</v>
      </c>
      <c r="N549" s="3" t="n">
        <v>11</v>
      </c>
      <c r="O549" s="3" t="n">
        <v>-34.29</v>
      </c>
      <c r="P549" s="3" t="n">
        <v>-71.891</v>
      </c>
      <c r="Q549" s="3" t="s">
        <v>1471</v>
      </c>
      <c r="R549" s="3" t="s">
        <v>33</v>
      </c>
      <c r="S549" s="3" t="s">
        <v>373</v>
      </c>
    </row>
    <row r="550" customFormat="false" ht="13.8" hidden="false" customHeight="false" outlineLevel="0" collapsed="false">
      <c r="A550" s="3" t="s">
        <v>1474</v>
      </c>
      <c r="B550" s="3" t="n">
        <v>6.8</v>
      </c>
      <c r="C550" s="3" t="s">
        <v>1475</v>
      </c>
      <c r="D550" s="3" t="n">
        <v>4</v>
      </c>
      <c r="E550" s="3" t="n">
        <v>6</v>
      </c>
      <c r="F550" s="3"/>
      <c r="G550" s="3" t="n">
        <v>0</v>
      </c>
      <c r="H550" s="3" t="n">
        <v>717</v>
      </c>
      <c r="I550" s="3" t="s">
        <v>22</v>
      </c>
      <c r="J550" s="3" t="n">
        <v>401</v>
      </c>
      <c r="K550" s="3" t="n">
        <v>0</v>
      </c>
      <c r="L550" s="3" t="n">
        <v>23.2</v>
      </c>
      <c r="M550" s="3" t="s">
        <v>127</v>
      </c>
      <c r="N550" s="3" t="n">
        <v>26</v>
      </c>
      <c r="O550" s="3" t="n">
        <v>-3.762</v>
      </c>
      <c r="P550" s="3" t="n">
        <v>100.991</v>
      </c>
      <c r="Q550" s="3" t="s">
        <v>143</v>
      </c>
      <c r="R550" s="3"/>
      <c r="S550" s="3" t="s">
        <v>68</v>
      </c>
    </row>
    <row r="551" customFormat="false" ht="13.8" hidden="false" customHeight="false" outlineLevel="0" collapsed="false">
      <c r="A551" s="3" t="s">
        <v>1476</v>
      </c>
      <c r="B551" s="3" t="n">
        <v>6.6</v>
      </c>
      <c r="C551" s="3" t="s">
        <v>1477</v>
      </c>
      <c r="D551" s="3" t="n">
        <v>7</v>
      </c>
      <c r="E551" s="3" t="n">
        <v>7</v>
      </c>
      <c r="F551" s="3"/>
      <c r="G551" s="3" t="n">
        <v>0</v>
      </c>
      <c r="H551" s="3" t="n">
        <v>736</v>
      </c>
      <c r="I551" s="3" t="s">
        <v>22</v>
      </c>
      <c r="J551" s="3" t="n">
        <v>255</v>
      </c>
      <c r="K551" s="3" t="n">
        <v>0</v>
      </c>
      <c r="L551" s="3" t="n">
        <v>27.8</v>
      </c>
      <c r="M551" s="3" t="s">
        <v>154</v>
      </c>
      <c r="N551" s="3" t="n">
        <v>18</v>
      </c>
      <c r="O551" s="3" t="n">
        <v>-36.665</v>
      </c>
      <c r="P551" s="3" t="n">
        <v>-73.374</v>
      </c>
      <c r="Q551" s="3" t="s">
        <v>1478</v>
      </c>
      <c r="R551" s="3"/>
      <c r="S551" s="3" t="s">
        <v>373</v>
      </c>
    </row>
    <row r="552" customFormat="false" ht="13.8" hidden="false" customHeight="false" outlineLevel="0" collapsed="false">
      <c r="A552" s="3" t="s">
        <v>1479</v>
      </c>
      <c r="B552" s="3" t="n">
        <v>6.5</v>
      </c>
      <c r="C552" s="3" t="s">
        <v>1480</v>
      </c>
      <c r="D552" s="3" t="n">
        <v>0</v>
      </c>
      <c r="E552" s="3" t="n">
        <v>4</v>
      </c>
      <c r="F552" s="3"/>
      <c r="G552" s="3" t="n">
        <v>0</v>
      </c>
      <c r="H552" s="3" t="n">
        <v>650</v>
      </c>
      <c r="I552" s="3" t="s">
        <v>22</v>
      </c>
      <c r="J552" s="3" t="n">
        <v>426</v>
      </c>
      <c r="K552" s="3" t="n">
        <v>0</v>
      </c>
      <c r="L552" s="3" t="n">
        <v>18.7</v>
      </c>
      <c r="M552" s="3" t="s">
        <v>154</v>
      </c>
      <c r="N552" s="3" t="n">
        <v>176</v>
      </c>
      <c r="O552" s="3" t="n">
        <v>-13.571</v>
      </c>
      <c r="P552" s="3" t="n">
        <v>167.227</v>
      </c>
      <c r="Q552" s="3" t="s">
        <v>24</v>
      </c>
      <c r="R552" s="3"/>
      <c r="S552" s="3" t="s">
        <v>25</v>
      </c>
    </row>
    <row r="553" customFormat="false" ht="13.8" hidden="false" customHeight="false" outlineLevel="0" collapsed="false">
      <c r="A553" s="3" t="s">
        <v>1481</v>
      </c>
      <c r="B553" s="3" t="n">
        <v>7.4</v>
      </c>
      <c r="C553" s="3" t="s">
        <v>1482</v>
      </c>
      <c r="D553" s="3" t="n">
        <v>0</v>
      </c>
      <c r="E553" s="3" t="n">
        <v>5</v>
      </c>
      <c r="F553" s="3"/>
      <c r="G553" s="3" t="n">
        <v>0</v>
      </c>
      <c r="H553" s="3" t="n">
        <v>842</v>
      </c>
      <c r="I553" s="3" t="s">
        <v>22</v>
      </c>
      <c r="J553" s="3" t="n">
        <v>409</v>
      </c>
      <c r="K553" s="3" t="n">
        <v>0</v>
      </c>
      <c r="L553" s="3" t="n">
        <v>17.6</v>
      </c>
      <c r="M553" s="3" t="s">
        <v>127</v>
      </c>
      <c r="N553" s="3" t="n">
        <v>35</v>
      </c>
      <c r="O553" s="3" t="n">
        <v>-37.773</v>
      </c>
      <c r="P553" s="3" t="n">
        <v>-75.048</v>
      </c>
      <c r="Q553" s="3" t="s">
        <v>1483</v>
      </c>
      <c r="R553" s="3"/>
      <c r="S553" s="3"/>
    </row>
    <row r="554" customFormat="false" ht="13.8" hidden="false" customHeight="false" outlineLevel="0" collapsed="false">
      <c r="A554" s="3" t="s">
        <v>1484</v>
      </c>
      <c r="B554" s="3" t="n">
        <v>8.8</v>
      </c>
      <c r="C554" s="3" t="s">
        <v>1485</v>
      </c>
      <c r="D554" s="3" t="n">
        <v>8</v>
      </c>
      <c r="E554" s="3" t="n">
        <v>8</v>
      </c>
      <c r="F554" s="3"/>
      <c r="G554" s="3" t="n">
        <v>0</v>
      </c>
      <c r="H554" s="3" t="n">
        <v>1991</v>
      </c>
      <c r="I554" s="3" t="s">
        <v>1293</v>
      </c>
      <c r="J554" s="3" t="n">
        <v>454</v>
      </c>
      <c r="K554" s="3" t="n">
        <v>0</v>
      </c>
      <c r="L554" s="3" t="n">
        <v>17.8</v>
      </c>
      <c r="M554" s="3" t="s">
        <v>23</v>
      </c>
      <c r="N554" s="3" t="n">
        <v>22.9</v>
      </c>
      <c r="O554" s="3" t="n">
        <v>-36.122</v>
      </c>
      <c r="P554" s="3" t="n">
        <v>-72.898</v>
      </c>
      <c r="Q554" s="3" t="s">
        <v>1486</v>
      </c>
      <c r="R554" s="3" t="s">
        <v>33</v>
      </c>
      <c r="S554" s="3" t="s">
        <v>373</v>
      </c>
    </row>
    <row r="555" customFormat="false" ht="13.8" hidden="false" customHeight="false" outlineLevel="0" collapsed="false">
      <c r="A555" s="3" t="s">
        <v>1487</v>
      </c>
      <c r="B555" s="3" t="n">
        <v>7</v>
      </c>
      <c r="C555" s="3" t="s">
        <v>1488</v>
      </c>
      <c r="D555" s="3" t="n">
        <v>6</v>
      </c>
      <c r="E555" s="3" t="n">
        <v>6</v>
      </c>
      <c r="F555" s="3"/>
      <c r="G555" s="3" t="n">
        <v>0</v>
      </c>
      <c r="H555" s="3" t="n">
        <v>1180</v>
      </c>
      <c r="I555" s="3" t="s">
        <v>22</v>
      </c>
      <c r="J555" s="3" t="n">
        <v>487</v>
      </c>
      <c r="K555" s="3" t="n">
        <v>0</v>
      </c>
      <c r="L555" s="3" t="n">
        <v>15.7</v>
      </c>
      <c r="M555" s="3" t="s">
        <v>127</v>
      </c>
      <c r="N555" s="3" t="n">
        <v>25</v>
      </c>
      <c r="O555" s="3" t="n">
        <v>25.93</v>
      </c>
      <c r="P555" s="3" t="n">
        <v>128.425</v>
      </c>
      <c r="Q555" s="3" t="s">
        <v>1489</v>
      </c>
      <c r="R555" s="3"/>
      <c r="S555" s="3"/>
    </row>
    <row r="556" customFormat="false" ht="13.8" hidden="false" customHeight="false" outlineLevel="0" collapsed="false">
      <c r="A556" s="3" t="s">
        <v>1490</v>
      </c>
      <c r="B556" s="3" t="n">
        <v>7</v>
      </c>
      <c r="C556" s="3" t="s">
        <v>1491</v>
      </c>
      <c r="D556" s="3" t="n">
        <v>9</v>
      </c>
      <c r="E556" s="3" t="n">
        <v>9</v>
      </c>
      <c r="F556" s="3"/>
      <c r="G556" s="3" t="n">
        <v>0</v>
      </c>
      <c r="H556" s="3" t="n">
        <v>1623</v>
      </c>
      <c r="I556" s="3" t="s">
        <v>22</v>
      </c>
      <c r="J556" s="3" t="n">
        <v>500</v>
      </c>
      <c r="K556" s="3" t="n">
        <v>0</v>
      </c>
      <c r="L556" s="3" t="n">
        <v>22.7</v>
      </c>
      <c r="M556" s="3" t="s">
        <v>127</v>
      </c>
      <c r="N556" s="3" t="n">
        <v>13</v>
      </c>
      <c r="O556" s="3" t="n">
        <v>18.443</v>
      </c>
      <c r="P556" s="3" t="n">
        <v>-72.571</v>
      </c>
      <c r="Q556" s="3" t="s">
        <v>1492</v>
      </c>
      <c r="R556" s="3"/>
      <c r="S556" s="3" t="s">
        <v>286</v>
      </c>
    </row>
    <row r="557" customFormat="false" ht="13.8" hidden="false" customHeight="false" outlineLevel="0" collapsed="false">
      <c r="A557" s="3" t="s">
        <v>1493</v>
      </c>
      <c r="B557" s="3" t="n">
        <v>6.5</v>
      </c>
      <c r="C557" s="3" t="s">
        <v>1494</v>
      </c>
      <c r="D557" s="3" t="n">
        <v>7</v>
      </c>
      <c r="E557" s="3" t="n">
        <v>7</v>
      </c>
      <c r="F557" s="3"/>
      <c r="G557" s="3" t="n">
        <v>0</v>
      </c>
      <c r="H557" s="3" t="n">
        <v>1360</v>
      </c>
      <c r="I557" s="3" t="s">
        <v>1087</v>
      </c>
      <c r="J557" s="3" t="n">
        <v>51</v>
      </c>
      <c r="K557" s="3" t="n">
        <v>0.3225</v>
      </c>
      <c r="L557" s="3" t="n">
        <v>220</v>
      </c>
      <c r="M557" s="3" t="s">
        <v>485</v>
      </c>
      <c r="N557" s="3" t="n">
        <v>28.737</v>
      </c>
      <c r="O557" s="3" t="n">
        <v>40.652</v>
      </c>
      <c r="P557" s="3" t="n">
        <v>-124.692</v>
      </c>
      <c r="Q557" s="3" t="s">
        <v>760</v>
      </c>
      <c r="R557" s="3" t="s">
        <v>164</v>
      </c>
      <c r="S557" s="3"/>
    </row>
    <row r="558" customFormat="false" ht="13.8" hidden="false" customHeight="false" outlineLevel="0" collapsed="false">
      <c r="A558" s="3" t="s">
        <v>1495</v>
      </c>
      <c r="B558" s="3" t="n">
        <v>6.8</v>
      </c>
      <c r="C558" s="3" t="s">
        <v>1496</v>
      </c>
      <c r="D558" s="3" t="n">
        <v>3</v>
      </c>
      <c r="E558" s="3" t="n">
        <v>6</v>
      </c>
      <c r="F558" s="3"/>
      <c r="G558" s="3" t="n">
        <v>0</v>
      </c>
      <c r="H558" s="3" t="n">
        <v>713</v>
      </c>
      <c r="I558" s="3" t="s">
        <v>22</v>
      </c>
      <c r="J558" s="3" t="n">
        <v>338</v>
      </c>
      <c r="K558" s="3" t="n">
        <v>0</v>
      </c>
      <c r="L558" s="3" t="n">
        <v>15</v>
      </c>
      <c r="M558" s="3" t="s">
        <v>127</v>
      </c>
      <c r="N558" s="3" t="n">
        <v>15.4</v>
      </c>
      <c r="O558" s="3" t="n">
        <v>-9.019</v>
      </c>
      <c r="P558" s="3" t="n">
        <v>157.551</v>
      </c>
      <c r="Q558" s="3" t="s">
        <v>921</v>
      </c>
      <c r="R558" s="3"/>
      <c r="S558" s="3"/>
    </row>
    <row r="559" customFormat="false" ht="13.8" hidden="false" customHeight="false" outlineLevel="0" collapsed="false">
      <c r="A559" s="3" t="s">
        <v>1497</v>
      </c>
      <c r="B559" s="3" t="n">
        <v>7.1</v>
      </c>
      <c r="C559" s="3" t="s">
        <v>1498</v>
      </c>
      <c r="D559" s="3" t="n">
        <v>5</v>
      </c>
      <c r="E559" s="3" t="n">
        <v>7</v>
      </c>
      <c r="F559" s="3"/>
      <c r="G559" s="3" t="n">
        <v>0</v>
      </c>
      <c r="H559" s="3" t="n">
        <v>780</v>
      </c>
      <c r="I559" s="3" t="s">
        <v>22</v>
      </c>
      <c r="J559" s="3" t="n">
        <v>377</v>
      </c>
      <c r="K559" s="3" t="n">
        <v>0</v>
      </c>
      <c r="L559" s="3" t="n">
        <v>15</v>
      </c>
      <c r="M559" s="3" t="s">
        <v>127</v>
      </c>
      <c r="N559" s="3" t="n">
        <v>10</v>
      </c>
      <c r="O559" s="3" t="n">
        <v>-8.783</v>
      </c>
      <c r="P559" s="3" t="n">
        <v>157.354</v>
      </c>
      <c r="Q559" s="3" t="s">
        <v>921</v>
      </c>
      <c r="R559" s="3"/>
      <c r="S559" s="3" t="s">
        <v>140</v>
      </c>
    </row>
    <row r="560" customFormat="false" ht="13.8" hidden="false" customHeight="false" outlineLevel="0" collapsed="false">
      <c r="A560" s="3" t="s">
        <v>1499</v>
      </c>
      <c r="B560" s="3" t="n">
        <v>6.6</v>
      </c>
      <c r="C560" s="3" t="s">
        <v>1500</v>
      </c>
      <c r="D560" s="3" t="n">
        <v>5</v>
      </c>
      <c r="E560" s="3" t="n">
        <v>7</v>
      </c>
      <c r="F560" s="3"/>
      <c r="G560" s="3" t="n">
        <v>0</v>
      </c>
      <c r="H560" s="3" t="n">
        <v>672</v>
      </c>
      <c r="I560" s="3" t="s">
        <v>22</v>
      </c>
      <c r="J560" s="3" t="n">
        <v>282</v>
      </c>
      <c r="K560" s="3" t="n">
        <v>0</v>
      </c>
      <c r="L560" s="3" t="n">
        <v>16.6</v>
      </c>
      <c r="M560" s="3" t="s">
        <v>127</v>
      </c>
      <c r="N560" s="3" t="n">
        <v>10</v>
      </c>
      <c r="O560" s="3" t="n">
        <v>-8.726</v>
      </c>
      <c r="P560" s="3" t="n">
        <v>157.487</v>
      </c>
      <c r="Q560" s="3" t="s">
        <v>921</v>
      </c>
      <c r="R560" s="3"/>
      <c r="S560" s="3" t="s">
        <v>140</v>
      </c>
    </row>
    <row r="561" customFormat="false" ht="13.8" hidden="false" customHeight="false" outlineLevel="0" collapsed="false">
      <c r="A561" s="3" t="s">
        <v>1501</v>
      </c>
      <c r="B561" s="3" t="n">
        <v>6.5</v>
      </c>
      <c r="C561" s="3" t="s">
        <v>1502</v>
      </c>
      <c r="D561" s="3" t="n">
        <v>6</v>
      </c>
      <c r="E561" s="3" t="n">
        <v>7</v>
      </c>
      <c r="F561" s="3"/>
      <c r="G561" s="3" t="n">
        <v>0</v>
      </c>
      <c r="H561" s="3" t="n">
        <v>698</v>
      </c>
      <c r="I561" s="3" t="s">
        <v>22</v>
      </c>
      <c r="J561" s="3" t="n">
        <v>390</v>
      </c>
      <c r="K561" s="3" t="n">
        <v>0</v>
      </c>
      <c r="L561" s="3" t="n">
        <v>17.7</v>
      </c>
      <c r="M561" s="3" t="s">
        <v>127</v>
      </c>
      <c r="N561" s="3" t="n">
        <v>27</v>
      </c>
      <c r="O561" s="3" t="n">
        <v>-19.394</v>
      </c>
      <c r="P561" s="3" t="n">
        <v>-70.321</v>
      </c>
      <c r="Q561" s="3" t="s">
        <v>1076</v>
      </c>
      <c r="R561" s="3" t="s">
        <v>33</v>
      </c>
      <c r="S561" s="3" t="s">
        <v>373</v>
      </c>
    </row>
    <row r="562" customFormat="false" ht="13.8" hidden="false" customHeight="false" outlineLevel="0" collapsed="false">
      <c r="A562" s="3" t="s">
        <v>1503</v>
      </c>
      <c r="B562" s="3" t="n">
        <v>7.3</v>
      </c>
      <c r="C562" s="3" t="s">
        <v>1504</v>
      </c>
      <c r="D562" s="3" t="n">
        <v>0</v>
      </c>
      <c r="E562" s="3" t="n">
        <v>4</v>
      </c>
      <c r="F562" s="3"/>
      <c r="G562" s="3" t="n">
        <v>0</v>
      </c>
      <c r="H562" s="3" t="n">
        <v>820</v>
      </c>
      <c r="I562" s="3" t="s">
        <v>22</v>
      </c>
      <c r="J562" s="3" t="n">
        <v>430</v>
      </c>
      <c r="K562" s="3" t="n">
        <v>0</v>
      </c>
      <c r="L562" s="3" t="n">
        <v>15</v>
      </c>
      <c r="M562" s="3" t="s">
        <v>127</v>
      </c>
      <c r="N562" s="3" t="n">
        <v>595</v>
      </c>
      <c r="O562" s="3" t="n">
        <v>-17.239</v>
      </c>
      <c r="P562" s="3" t="n">
        <v>178.331</v>
      </c>
      <c r="Q562" s="3" t="s">
        <v>1505</v>
      </c>
      <c r="R562" s="3"/>
      <c r="S562" s="3" t="s">
        <v>146</v>
      </c>
    </row>
    <row r="563" customFormat="false" ht="13.8" hidden="false" customHeight="false" outlineLevel="0" collapsed="false">
      <c r="A563" s="3" t="s">
        <v>1506</v>
      </c>
      <c r="B563" s="3" t="n">
        <v>6.6</v>
      </c>
      <c r="C563" s="3" t="s">
        <v>1507</v>
      </c>
      <c r="D563" s="3" t="n">
        <v>7</v>
      </c>
      <c r="E563" s="3" t="n">
        <v>6</v>
      </c>
      <c r="F563" s="3"/>
      <c r="G563" s="3" t="n">
        <v>0</v>
      </c>
      <c r="H563" s="3" t="n">
        <v>677</v>
      </c>
      <c r="I563" s="3" t="s">
        <v>22</v>
      </c>
      <c r="J563" s="3" t="n">
        <v>305</v>
      </c>
      <c r="K563" s="3" t="n">
        <v>0</v>
      </c>
      <c r="L563" s="3" t="n">
        <v>20.4</v>
      </c>
      <c r="M563" s="3" t="s">
        <v>127</v>
      </c>
      <c r="N563" s="3" t="n">
        <v>18</v>
      </c>
      <c r="O563" s="3" t="n">
        <v>-8.207</v>
      </c>
      <c r="P563" s="3" t="n">
        <v>118.631</v>
      </c>
      <c r="Q563" s="3" t="s">
        <v>1508</v>
      </c>
      <c r="R563" s="3"/>
      <c r="S563" s="3" t="s">
        <v>68</v>
      </c>
    </row>
    <row r="564" customFormat="false" ht="13.8" hidden="false" customHeight="false" outlineLevel="0" collapsed="false">
      <c r="A564" s="3" t="s">
        <v>1509</v>
      </c>
      <c r="B564" s="3" t="n">
        <v>6.8</v>
      </c>
      <c r="C564" s="3" t="s">
        <v>1510</v>
      </c>
      <c r="D564" s="3" t="n">
        <v>0</v>
      </c>
      <c r="E564" s="3" t="n">
        <v>6</v>
      </c>
      <c r="F564" s="3"/>
      <c r="G564" s="3" t="n">
        <v>0</v>
      </c>
      <c r="H564" s="3" t="n">
        <v>711</v>
      </c>
      <c r="I564" s="3" t="s">
        <v>22</v>
      </c>
      <c r="J564" s="3" t="n">
        <v>424</v>
      </c>
      <c r="K564" s="3" t="n">
        <v>0</v>
      </c>
      <c r="L564" s="3" t="n">
        <v>21.4</v>
      </c>
      <c r="M564" s="3" t="s">
        <v>127</v>
      </c>
      <c r="N564" s="3" t="n">
        <v>34</v>
      </c>
      <c r="O564" s="3" t="n">
        <v>29.218</v>
      </c>
      <c r="P564" s="3" t="n">
        <v>129.782</v>
      </c>
      <c r="Q564" s="3" t="s">
        <v>401</v>
      </c>
      <c r="R564" s="3"/>
      <c r="S564" s="3"/>
    </row>
    <row r="565" customFormat="false" ht="13.8" hidden="false" customHeight="false" outlineLevel="0" collapsed="false">
      <c r="A565" s="3" t="s">
        <v>1511</v>
      </c>
      <c r="B565" s="3" t="n">
        <v>6.9</v>
      </c>
      <c r="C565" s="3" t="s">
        <v>1512</v>
      </c>
      <c r="D565" s="3" t="n">
        <v>4</v>
      </c>
      <c r="E565" s="3" t="n">
        <v>6</v>
      </c>
      <c r="F565" s="3"/>
      <c r="G565" s="3" t="n">
        <v>0</v>
      </c>
      <c r="H565" s="3" t="n">
        <v>972</v>
      </c>
      <c r="I565" s="3" t="s">
        <v>22</v>
      </c>
      <c r="J565" s="3" t="n">
        <v>397</v>
      </c>
      <c r="K565" s="3" t="n">
        <v>0</v>
      </c>
      <c r="L565" s="3" t="n">
        <v>11</v>
      </c>
      <c r="M565" s="3" t="s">
        <v>127</v>
      </c>
      <c r="N565" s="3" t="n">
        <v>130</v>
      </c>
      <c r="O565" s="3" t="n">
        <v>-6.133</v>
      </c>
      <c r="P565" s="3" t="n">
        <v>130.385</v>
      </c>
      <c r="Q565" s="3" t="s">
        <v>1252</v>
      </c>
      <c r="R565" s="3"/>
      <c r="S565" s="3" t="s">
        <v>68</v>
      </c>
    </row>
    <row r="566" customFormat="false" ht="13.8" hidden="false" customHeight="false" outlineLevel="0" collapsed="false">
      <c r="A566" s="3" t="s">
        <v>1513</v>
      </c>
      <c r="B566" s="3" t="n">
        <v>6.8</v>
      </c>
      <c r="C566" s="3" t="s">
        <v>1514</v>
      </c>
      <c r="D566" s="3" t="n">
        <v>0</v>
      </c>
      <c r="E566" s="3" t="n">
        <v>5</v>
      </c>
      <c r="F566" s="3"/>
      <c r="G566" s="3" t="n">
        <v>0</v>
      </c>
      <c r="H566" s="3" t="n">
        <v>711</v>
      </c>
      <c r="I566" s="3" t="s">
        <v>22</v>
      </c>
      <c r="J566" s="3" t="n">
        <v>174</v>
      </c>
      <c r="K566" s="3" t="n">
        <v>0</v>
      </c>
      <c r="L566" s="3" t="n">
        <v>30.2</v>
      </c>
      <c r="M566" s="3" t="s">
        <v>127</v>
      </c>
      <c r="N566" s="3" t="n">
        <v>35</v>
      </c>
      <c r="O566" s="3" t="n">
        <v>-13.298</v>
      </c>
      <c r="P566" s="3" t="n">
        <v>165.91</v>
      </c>
      <c r="Q566" s="3" t="s">
        <v>24</v>
      </c>
      <c r="R566" s="3"/>
      <c r="S566" s="3"/>
    </row>
    <row r="567" customFormat="false" ht="13.8" hidden="false" customHeight="false" outlineLevel="0" collapsed="false">
      <c r="A567" s="3" t="s">
        <v>1515</v>
      </c>
      <c r="B567" s="3" t="n">
        <v>7.4</v>
      </c>
      <c r="C567" s="3" t="s">
        <v>1516</v>
      </c>
      <c r="D567" s="3" t="n">
        <v>0</v>
      </c>
      <c r="E567" s="3" t="n">
        <v>7</v>
      </c>
      <c r="F567" s="3"/>
      <c r="G567" s="3" t="n">
        <v>0</v>
      </c>
      <c r="H567" s="3" t="n">
        <v>842</v>
      </c>
      <c r="I567" s="3" t="s">
        <v>22</v>
      </c>
      <c r="J567" s="3" t="n">
        <v>314</v>
      </c>
      <c r="K567" s="3" t="n">
        <v>0</v>
      </c>
      <c r="L567" s="3" t="n">
        <v>20.2</v>
      </c>
      <c r="M567" s="3" t="s">
        <v>127</v>
      </c>
      <c r="N567" s="3" t="n">
        <v>31.1</v>
      </c>
      <c r="O567" s="3" t="n">
        <v>-13.093</v>
      </c>
      <c r="P567" s="3" t="n">
        <v>166.497</v>
      </c>
      <c r="Q567" s="3" t="s">
        <v>24</v>
      </c>
      <c r="R567" s="3"/>
      <c r="S567" s="3" t="s">
        <v>25</v>
      </c>
    </row>
    <row r="568" customFormat="false" ht="13.8" hidden="false" customHeight="false" outlineLevel="0" collapsed="false">
      <c r="A568" s="3" t="s">
        <v>1517</v>
      </c>
      <c r="B568" s="3" t="n">
        <v>7.8</v>
      </c>
      <c r="C568" s="3" t="s">
        <v>1518</v>
      </c>
      <c r="D568" s="3" t="n">
        <v>0</v>
      </c>
      <c r="E568" s="3" t="n">
        <v>6</v>
      </c>
      <c r="F568" s="3"/>
      <c r="G568" s="3" t="n">
        <v>0</v>
      </c>
      <c r="H568" s="3" t="n">
        <v>936</v>
      </c>
      <c r="I568" s="3" t="s">
        <v>22</v>
      </c>
      <c r="J568" s="3" t="n">
        <v>195</v>
      </c>
      <c r="K568" s="3" t="n">
        <v>0</v>
      </c>
      <c r="L568" s="3" t="n">
        <v>20.3</v>
      </c>
      <c r="M568" s="3" t="s">
        <v>127</v>
      </c>
      <c r="N568" s="3" t="n">
        <v>35</v>
      </c>
      <c r="O568" s="3" t="n">
        <v>-12.517</v>
      </c>
      <c r="P568" s="3" t="n">
        <v>166.382</v>
      </c>
      <c r="Q568" s="3" t="s">
        <v>24</v>
      </c>
      <c r="R568" s="3"/>
      <c r="S568" s="3"/>
    </row>
    <row r="569" customFormat="false" ht="13.8" hidden="false" customHeight="false" outlineLevel="0" collapsed="false">
      <c r="A569" s="3" t="s">
        <v>1519</v>
      </c>
      <c r="B569" s="3" t="n">
        <v>7.7</v>
      </c>
      <c r="C569" s="3" t="s">
        <v>1520</v>
      </c>
      <c r="D569" s="3" t="n">
        <v>4</v>
      </c>
      <c r="E569" s="3" t="n">
        <v>7</v>
      </c>
      <c r="F569" s="3"/>
      <c r="G569" s="3" t="n">
        <v>0</v>
      </c>
      <c r="H569" s="3" t="n">
        <v>916</v>
      </c>
      <c r="I569" s="3" t="s">
        <v>22</v>
      </c>
      <c r="J569" s="3" t="n">
        <v>283</v>
      </c>
      <c r="K569" s="3" t="n">
        <v>0</v>
      </c>
      <c r="L569" s="3" t="n">
        <v>23.2</v>
      </c>
      <c r="M569" s="3" t="s">
        <v>23</v>
      </c>
      <c r="N569" s="3" t="n">
        <v>45</v>
      </c>
      <c r="O569" s="3" t="n">
        <v>-13.006</v>
      </c>
      <c r="P569" s="3" t="n">
        <v>166.51</v>
      </c>
      <c r="Q569" s="3" t="s">
        <v>24</v>
      </c>
      <c r="R569" s="3"/>
      <c r="S569" s="3" t="s">
        <v>25</v>
      </c>
    </row>
    <row r="570" customFormat="false" ht="13.8" hidden="false" customHeight="false" outlineLevel="0" collapsed="false">
      <c r="A570" s="3" t="s">
        <v>1521</v>
      </c>
      <c r="B570" s="3" t="n">
        <v>6.6</v>
      </c>
      <c r="C570" s="3" t="s">
        <v>1522</v>
      </c>
      <c r="D570" s="3" t="n">
        <v>7</v>
      </c>
      <c r="E570" s="3" t="n">
        <v>7</v>
      </c>
      <c r="F570" s="3"/>
      <c r="G570" s="3" t="n">
        <v>0</v>
      </c>
      <c r="H570" s="3" t="n">
        <v>787</v>
      </c>
      <c r="I570" s="3" t="s">
        <v>22</v>
      </c>
      <c r="J570" s="3" t="n">
        <v>417</v>
      </c>
      <c r="K570" s="3" t="n">
        <v>0</v>
      </c>
      <c r="L570" s="3" t="n">
        <v>30.1</v>
      </c>
      <c r="M570" s="3" t="s">
        <v>127</v>
      </c>
      <c r="N570" s="3" t="n">
        <v>9</v>
      </c>
      <c r="O570" s="3" t="n">
        <v>-2.482</v>
      </c>
      <c r="P570" s="3" t="n">
        <v>101.524</v>
      </c>
      <c r="Q570" s="3" t="s">
        <v>809</v>
      </c>
      <c r="R570" s="3"/>
      <c r="S570" s="3" t="s">
        <v>68</v>
      </c>
    </row>
    <row r="571" customFormat="false" ht="13.8" hidden="false" customHeight="false" outlineLevel="0" collapsed="false">
      <c r="A571" s="3" t="s">
        <v>1523</v>
      </c>
      <c r="B571" s="3" t="n">
        <v>7.6</v>
      </c>
      <c r="C571" s="3" t="s">
        <v>1524</v>
      </c>
      <c r="D571" s="3" t="n">
        <v>8</v>
      </c>
      <c r="E571" s="3" t="n">
        <v>8</v>
      </c>
      <c r="F571" s="3"/>
      <c r="G571" s="3" t="n">
        <v>0</v>
      </c>
      <c r="H571" s="3" t="n">
        <v>1639</v>
      </c>
      <c r="I571" s="3" t="s">
        <v>22</v>
      </c>
      <c r="J571" s="3" t="n">
        <v>498</v>
      </c>
      <c r="K571" s="3" t="n">
        <v>0</v>
      </c>
      <c r="L571" s="3" t="n">
        <v>14</v>
      </c>
      <c r="M571" s="3" t="s">
        <v>127</v>
      </c>
      <c r="N571" s="3" t="n">
        <v>81</v>
      </c>
      <c r="O571" s="3" t="n">
        <v>-0.72</v>
      </c>
      <c r="P571" s="3" t="n">
        <v>99.867</v>
      </c>
      <c r="Q571" s="3" t="s">
        <v>220</v>
      </c>
      <c r="R571" s="3"/>
      <c r="S571" s="3" t="s">
        <v>68</v>
      </c>
    </row>
    <row r="572" customFormat="false" ht="13.8" hidden="false" customHeight="false" outlineLevel="0" collapsed="false">
      <c r="A572" s="3" t="s">
        <v>1525</v>
      </c>
      <c r="B572" s="3" t="n">
        <v>8.1</v>
      </c>
      <c r="C572" s="3" t="s">
        <v>1526</v>
      </c>
      <c r="D572" s="3" t="n">
        <v>7</v>
      </c>
      <c r="E572" s="3" t="n">
        <v>6</v>
      </c>
      <c r="F572" s="3"/>
      <c r="G572" s="3" t="n">
        <v>0</v>
      </c>
      <c r="H572" s="3" t="n">
        <v>1055</v>
      </c>
      <c r="I572" s="3" t="s">
        <v>22</v>
      </c>
      <c r="J572" s="3" t="n">
        <v>520</v>
      </c>
      <c r="K572" s="3" t="n">
        <v>0</v>
      </c>
      <c r="L572" s="3" t="n">
        <v>20.8</v>
      </c>
      <c r="M572" s="3" t="s">
        <v>127</v>
      </c>
      <c r="N572" s="3" t="n">
        <v>18</v>
      </c>
      <c r="O572" s="3" t="n">
        <v>-15.489</v>
      </c>
      <c r="P572" s="3" t="n">
        <v>-172.095</v>
      </c>
      <c r="Q572" s="3" t="s">
        <v>1527</v>
      </c>
      <c r="R572" s="3"/>
      <c r="S572" s="3"/>
    </row>
    <row r="573" customFormat="false" ht="13.8" hidden="false" customHeight="false" outlineLevel="0" collapsed="false">
      <c r="A573" s="3" t="s">
        <v>1528</v>
      </c>
      <c r="B573" s="3" t="n">
        <v>7</v>
      </c>
      <c r="C573" s="3" t="s">
        <v>1529</v>
      </c>
      <c r="D573" s="3" t="n">
        <v>7</v>
      </c>
      <c r="E573" s="3" t="n">
        <v>7</v>
      </c>
      <c r="F573" s="3"/>
      <c r="G573" s="3" t="n">
        <v>0</v>
      </c>
      <c r="H573" s="3" t="n">
        <v>1175</v>
      </c>
      <c r="I573" s="3" t="s">
        <v>22</v>
      </c>
      <c r="J573" s="3" t="n">
        <v>312</v>
      </c>
      <c r="K573" s="3" t="n">
        <v>0</v>
      </c>
      <c r="L573" s="3" t="n">
        <v>16.3</v>
      </c>
      <c r="M573" s="3" t="s">
        <v>127</v>
      </c>
      <c r="N573" s="3" t="n">
        <v>46</v>
      </c>
      <c r="O573" s="3" t="n">
        <v>-7.782</v>
      </c>
      <c r="P573" s="3" t="n">
        <v>107.297</v>
      </c>
      <c r="Q573" s="3" t="s">
        <v>1530</v>
      </c>
      <c r="R573" s="3"/>
      <c r="S573" s="3" t="s">
        <v>68</v>
      </c>
    </row>
    <row r="574" customFormat="false" ht="13.8" hidden="false" customHeight="false" outlineLevel="0" collapsed="false">
      <c r="A574" s="3" t="s">
        <v>1531</v>
      </c>
      <c r="B574" s="3" t="n">
        <v>6.7</v>
      </c>
      <c r="C574" s="3" t="s">
        <v>1532</v>
      </c>
      <c r="D574" s="3" t="n">
        <v>5</v>
      </c>
      <c r="E574" s="3" t="n">
        <v>6</v>
      </c>
      <c r="F574" s="3"/>
      <c r="G574" s="3" t="n">
        <v>0</v>
      </c>
      <c r="H574" s="3" t="n">
        <v>753</v>
      </c>
      <c r="I574" s="3" t="s">
        <v>22</v>
      </c>
      <c r="J574" s="3" t="n">
        <v>369</v>
      </c>
      <c r="K574" s="3" t="n">
        <v>0</v>
      </c>
      <c r="L574" s="3" t="n">
        <v>14.9</v>
      </c>
      <c r="M574" s="3" t="s">
        <v>127</v>
      </c>
      <c r="N574" s="3" t="n">
        <v>20</v>
      </c>
      <c r="O574" s="3" t="n">
        <v>-1.479</v>
      </c>
      <c r="P574" s="3" t="n">
        <v>99.49</v>
      </c>
      <c r="Q574" s="3" t="s">
        <v>1533</v>
      </c>
      <c r="R574" s="3"/>
      <c r="S574" s="3" t="s">
        <v>68</v>
      </c>
    </row>
    <row r="575" customFormat="false" ht="13.8" hidden="false" customHeight="false" outlineLevel="0" collapsed="false">
      <c r="A575" s="3" t="s">
        <v>1534</v>
      </c>
      <c r="B575" s="3" t="n">
        <v>6.6</v>
      </c>
      <c r="C575" s="3" t="s">
        <v>1535</v>
      </c>
      <c r="D575" s="3" t="n">
        <v>4</v>
      </c>
      <c r="E575" s="3" t="n">
        <v>5</v>
      </c>
      <c r="F575" s="3"/>
      <c r="G575" s="3" t="n">
        <v>0</v>
      </c>
      <c r="H575" s="3" t="n">
        <v>703</v>
      </c>
      <c r="I575" s="3" t="s">
        <v>22</v>
      </c>
      <c r="J575" s="3" t="n">
        <v>336</v>
      </c>
      <c r="K575" s="3" t="n">
        <v>0</v>
      </c>
      <c r="L575" s="3" t="n">
        <v>14.1</v>
      </c>
      <c r="M575" s="3" t="s">
        <v>127</v>
      </c>
      <c r="N575" s="3" t="n">
        <v>53</v>
      </c>
      <c r="O575" s="3" t="n">
        <v>32.821</v>
      </c>
      <c r="P575" s="3" t="n">
        <v>140.395</v>
      </c>
      <c r="Q575" s="3" t="s">
        <v>1536</v>
      </c>
      <c r="R575" s="3"/>
      <c r="S575" s="3"/>
    </row>
    <row r="576" customFormat="false" ht="13.8" hidden="false" customHeight="false" outlineLevel="0" collapsed="false">
      <c r="A576" s="3" t="s">
        <v>1537</v>
      </c>
      <c r="B576" s="3" t="n">
        <v>7.5</v>
      </c>
      <c r="C576" s="3" t="s">
        <v>1538</v>
      </c>
      <c r="D576" s="3" t="n">
        <v>7</v>
      </c>
      <c r="E576" s="3" t="n">
        <v>6</v>
      </c>
      <c r="F576" s="3"/>
      <c r="G576" s="3" t="n">
        <v>0</v>
      </c>
      <c r="H576" s="3" t="n">
        <v>1248</v>
      </c>
      <c r="I576" s="3" t="s">
        <v>22</v>
      </c>
      <c r="J576" s="3" t="n">
        <v>303</v>
      </c>
      <c r="K576" s="3" t="n">
        <v>0</v>
      </c>
      <c r="L576" s="3" t="n">
        <v>18.2</v>
      </c>
      <c r="M576" s="3" t="s">
        <v>127</v>
      </c>
      <c r="N576" s="3" t="n">
        <v>24</v>
      </c>
      <c r="O576" s="3" t="n">
        <v>14.099</v>
      </c>
      <c r="P576" s="3" t="n">
        <v>92.902</v>
      </c>
      <c r="Q576" s="3" t="s">
        <v>1464</v>
      </c>
      <c r="R576" s="3"/>
      <c r="S576" s="3"/>
    </row>
    <row r="577" customFormat="false" ht="13.8" hidden="false" customHeight="false" outlineLevel="0" collapsed="false">
      <c r="A577" s="3" t="s">
        <v>1539</v>
      </c>
      <c r="B577" s="3" t="n">
        <v>7.1</v>
      </c>
      <c r="C577" s="3" t="s">
        <v>1540</v>
      </c>
      <c r="D577" s="3" t="n">
        <v>5</v>
      </c>
      <c r="E577" s="3" t="n">
        <v>4</v>
      </c>
      <c r="F577" s="3"/>
      <c r="G577" s="3" t="n">
        <v>0</v>
      </c>
      <c r="H577" s="3" t="n">
        <v>1005</v>
      </c>
      <c r="I577" s="3" t="s">
        <v>22</v>
      </c>
      <c r="J577" s="3" t="n">
        <v>447</v>
      </c>
      <c r="K577" s="3" t="n">
        <v>0</v>
      </c>
      <c r="L577" s="3" t="n">
        <v>14.2</v>
      </c>
      <c r="M577" s="3" t="s">
        <v>127</v>
      </c>
      <c r="N577" s="3" t="n">
        <v>292</v>
      </c>
      <c r="O577" s="3" t="n">
        <v>33.167</v>
      </c>
      <c r="P577" s="3" t="n">
        <v>137.944</v>
      </c>
      <c r="Q577" s="3" t="s">
        <v>1541</v>
      </c>
      <c r="R577" s="3"/>
      <c r="S577" s="3"/>
    </row>
    <row r="578" customFormat="false" ht="13.8" hidden="false" customHeight="false" outlineLevel="0" collapsed="false">
      <c r="A578" s="3" t="s">
        <v>1542</v>
      </c>
      <c r="B578" s="3" t="n">
        <v>6.9</v>
      </c>
      <c r="C578" s="3" t="s">
        <v>1543</v>
      </c>
      <c r="D578" s="3" t="n">
        <v>5</v>
      </c>
      <c r="E578" s="3" t="n">
        <v>7</v>
      </c>
      <c r="F578" s="3"/>
      <c r="G578" s="3" t="n">
        <v>0</v>
      </c>
      <c r="H578" s="3" t="n">
        <v>1202</v>
      </c>
      <c r="I578" s="3" t="s">
        <v>22</v>
      </c>
      <c r="J578" s="3" t="n">
        <v>243</v>
      </c>
      <c r="K578" s="3" t="n">
        <v>0</v>
      </c>
      <c r="L578" s="3" t="n">
        <v>35</v>
      </c>
      <c r="M578" s="3" t="s">
        <v>127</v>
      </c>
      <c r="N578" s="3" t="n">
        <v>10</v>
      </c>
      <c r="O578" s="3" t="n">
        <v>29.039</v>
      </c>
      <c r="P578" s="3" t="n">
        <v>-112.903</v>
      </c>
      <c r="Q578" s="3" t="s">
        <v>1544</v>
      </c>
      <c r="R578" s="3" t="s">
        <v>164</v>
      </c>
      <c r="S578" s="3" t="s">
        <v>165</v>
      </c>
    </row>
    <row r="579" customFormat="false" ht="13.8" hidden="false" customHeight="false" outlineLevel="0" collapsed="false">
      <c r="A579" s="3" t="s">
        <v>1545</v>
      </c>
      <c r="B579" s="3" t="n">
        <v>7.8</v>
      </c>
      <c r="C579" s="3" t="s">
        <v>1546</v>
      </c>
      <c r="D579" s="3" t="n">
        <v>6</v>
      </c>
      <c r="E579" s="3" t="n">
        <v>8</v>
      </c>
      <c r="F579" s="3"/>
      <c r="G579" s="3" t="n">
        <v>0</v>
      </c>
      <c r="H579" s="3" t="n">
        <v>1165</v>
      </c>
      <c r="I579" s="3" t="s">
        <v>22</v>
      </c>
      <c r="J579" s="3" t="n">
        <v>434</v>
      </c>
      <c r="K579" s="3" t="n">
        <v>0</v>
      </c>
      <c r="L579" s="3" t="n">
        <v>16.8</v>
      </c>
      <c r="M579" s="3" t="s">
        <v>127</v>
      </c>
      <c r="N579" s="3" t="n">
        <v>12</v>
      </c>
      <c r="O579" s="3" t="n">
        <v>-45.762</v>
      </c>
      <c r="P579" s="3" t="n">
        <v>166.562</v>
      </c>
      <c r="Q579" s="3" t="s">
        <v>1547</v>
      </c>
      <c r="R579" s="3"/>
      <c r="S579" s="3" t="s">
        <v>774</v>
      </c>
    </row>
    <row r="580" customFormat="false" ht="13.8" hidden="false" customHeight="false" outlineLevel="0" collapsed="false">
      <c r="A580" s="3" t="s">
        <v>1548</v>
      </c>
      <c r="B580" s="3" t="n">
        <v>6.7</v>
      </c>
      <c r="C580" s="3" t="s">
        <v>1549</v>
      </c>
      <c r="D580" s="3" t="n">
        <v>5</v>
      </c>
      <c r="E580" s="3" t="n">
        <v>5</v>
      </c>
      <c r="F580" s="3"/>
      <c r="G580" s="3" t="n">
        <v>0</v>
      </c>
      <c r="H580" s="3" t="n">
        <v>693</v>
      </c>
      <c r="I580" s="3" t="s">
        <v>22</v>
      </c>
      <c r="J580" s="3" t="n">
        <v>269</v>
      </c>
      <c r="K580" s="3" t="n">
        <v>0</v>
      </c>
      <c r="L580" s="3" t="n">
        <v>13.8</v>
      </c>
      <c r="M580" s="3" t="s">
        <v>127</v>
      </c>
      <c r="N580" s="3" t="n">
        <v>64</v>
      </c>
      <c r="O580" s="3" t="n">
        <v>-5.157</v>
      </c>
      <c r="P580" s="3" t="n">
        <v>153.782</v>
      </c>
      <c r="Q580" s="3" t="s">
        <v>625</v>
      </c>
      <c r="R580" s="3"/>
      <c r="S580" s="3" t="s">
        <v>85</v>
      </c>
    </row>
    <row r="581" customFormat="false" ht="13.8" hidden="false" customHeight="false" outlineLevel="0" collapsed="false">
      <c r="A581" s="3" t="s">
        <v>1550</v>
      </c>
      <c r="B581" s="3" t="n">
        <v>7.3</v>
      </c>
      <c r="C581" s="3" t="s">
        <v>1551</v>
      </c>
      <c r="D581" s="3" t="n">
        <v>7</v>
      </c>
      <c r="E581" s="3" t="n">
        <v>8</v>
      </c>
      <c r="F581" s="3"/>
      <c r="G581" s="3" t="n">
        <v>0</v>
      </c>
      <c r="H581" s="3" t="n">
        <v>1560</v>
      </c>
      <c r="I581" s="3" t="s">
        <v>22</v>
      </c>
      <c r="J581" s="3" t="n">
        <v>464</v>
      </c>
      <c r="K581" s="3" t="n">
        <v>0</v>
      </c>
      <c r="L581" s="3" t="n">
        <v>27.2</v>
      </c>
      <c r="M581" s="3" t="s">
        <v>127</v>
      </c>
      <c r="N581" s="3" t="n">
        <v>19</v>
      </c>
      <c r="O581" s="3" t="n">
        <v>16.731</v>
      </c>
      <c r="P581" s="3" t="n">
        <v>-86.217</v>
      </c>
      <c r="Q581" s="3" t="s">
        <v>1552</v>
      </c>
      <c r="R581" s="3"/>
      <c r="S581" s="3"/>
    </row>
    <row r="582" customFormat="false" ht="13.8" hidden="false" customHeight="false" outlineLevel="0" collapsed="false">
      <c r="A582" s="3" t="s">
        <v>1553</v>
      </c>
      <c r="B582" s="3" t="n">
        <v>7.6</v>
      </c>
      <c r="C582" s="3" t="s">
        <v>1554</v>
      </c>
      <c r="D582" s="3" t="n">
        <v>7</v>
      </c>
      <c r="E582" s="3" t="n">
        <v>5</v>
      </c>
      <c r="F582" s="3"/>
      <c r="G582" s="3" t="n">
        <v>0</v>
      </c>
      <c r="H582" s="3" t="n">
        <v>916</v>
      </c>
      <c r="I582" s="3" t="s">
        <v>22</v>
      </c>
      <c r="J582" s="3" t="n">
        <v>504</v>
      </c>
      <c r="K582" s="3" t="n">
        <v>0</v>
      </c>
      <c r="L582" s="3" t="n">
        <v>14</v>
      </c>
      <c r="M582" s="3" t="s">
        <v>127</v>
      </c>
      <c r="N582" s="3" t="n">
        <v>31</v>
      </c>
      <c r="O582" s="3" t="n">
        <v>-23.043</v>
      </c>
      <c r="P582" s="3" t="n">
        <v>-174.66</v>
      </c>
      <c r="Q582" s="3" t="s">
        <v>1555</v>
      </c>
      <c r="R582" s="3"/>
      <c r="S582" s="3"/>
    </row>
    <row r="583" customFormat="false" ht="13.8" hidden="false" customHeight="false" outlineLevel="0" collapsed="false">
      <c r="A583" s="3" t="s">
        <v>1556</v>
      </c>
      <c r="B583" s="3" t="n">
        <v>7.2</v>
      </c>
      <c r="C583" s="3" t="s">
        <v>1557</v>
      </c>
      <c r="D583" s="3" t="n">
        <v>3</v>
      </c>
      <c r="E583" s="3" t="n">
        <v>7</v>
      </c>
      <c r="F583" s="3"/>
      <c r="G583" s="3" t="n">
        <v>0</v>
      </c>
      <c r="H583" s="3" t="n">
        <v>802</v>
      </c>
      <c r="I583" s="3" t="s">
        <v>22</v>
      </c>
      <c r="J583" s="3" t="n">
        <v>432</v>
      </c>
      <c r="K583" s="3" t="n">
        <v>0</v>
      </c>
      <c r="L583" s="3" t="n">
        <v>18.6</v>
      </c>
      <c r="M583" s="3" t="s">
        <v>127</v>
      </c>
      <c r="N583" s="3" t="n">
        <v>20</v>
      </c>
      <c r="O583" s="3" t="n">
        <v>3.886</v>
      </c>
      <c r="P583" s="3" t="n">
        <v>126.387</v>
      </c>
      <c r="Q583" s="3" t="s">
        <v>856</v>
      </c>
      <c r="R583" s="3"/>
      <c r="S583" s="3" t="s">
        <v>68</v>
      </c>
    </row>
    <row r="584" customFormat="false" ht="13.8" hidden="false" customHeight="false" outlineLevel="0" collapsed="false">
      <c r="A584" s="3" t="s">
        <v>1558</v>
      </c>
      <c r="B584" s="3" t="n">
        <v>7.4</v>
      </c>
      <c r="C584" s="3" t="s">
        <v>1559</v>
      </c>
      <c r="D584" s="3" t="n">
        <v>7</v>
      </c>
      <c r="E584" s="3" t="n">
        <v>7</v>
      </c>
      <c r="F584" s="3"/>
      <c r="G584" s="3" t="n">
        <v>0</v>
      </c>
      <c r="H584" s="3" t="n">
        <v>846</v>
      </c>
      <c r="I584" s="3" t="s">
        <v>22</v>
      </c>
      <c r="J584" s="3" t="n">
        <v>314</v>
      </c>
      <c r="K584" s="3" t="n">
        <v>0</v>
      </c>
      <c r="L584" s="3" t="n">
        <v>21.1</v>
      </c>
      <c r="M584" s="3" t="s">
        <v>127</v>
      </c>
      <c r="N584" s="3" t="n">
        <v>23</v>
      </c>
      <c r="O584" s="3" t="n">
        <v>-0.691</v>
      </c>
      <c r="P584" s="3" t="n">
        <v>133.305</v>
      </c>
      <c r="Q584" s="3" t="s">
        <v>1275</v>
      </c>
      <c r="R584" s="3"/>
      <c r="S584" s="3" t="s">
        <v>68</v>
      </c>
    </row>
    <row r="585" customFormat="false" ht="13.8" hidden="false" customHeight="false" outlineLevel="0" collapsed="false">
      <c r="A585" s="3" t="s">
        <v>1560</v>
      </c>
      <c r="B585" s="3" t="n">
        <v>6.6</v>
      </c>
      <c r="C585" s="3" t="s">
        <v>1561</v>
      </c>
      <c r="D585" s="3" t="n">
        <v>5</v>
      </c>
      <c r="E585" s="3" t="n">
        <v>4</v>
      </c>
      <c r="F585" s="3"/>
      <c r="G585" s="3" t="n">
        <v>0</v>
      </c>
      <c r="H585" s="3" t="n">
        <v>765</v>
      </c>
      <c r="I585" s="3" t="s">
        <v>22</v>
      </c>
      <c r="J585" s="3" t="n">
        <v>344</v>
      </c>
      <c r="K585" s="3" t="n">
        <v>0</v>
      </c>
      <c r="L585" s="3" t="n">
        <v>22.6</v>
      </c>
      <c r="M585" s="3" t="s">
        <v>127</v>
      </c>
      <c r="N585" s="3" t="n">
        <v>204.8</v>
      </c>
      <c r="O585" s="3" t="n">
        <v>36.419</v>
      </c>
      <c r="P585" s="3" t="n">
        <v>70.743</v>
      </c>
      <c r="Q585" s="3" t="s">
        <v>91</v>
      </c>
      <c r="R585" s="3" t="s">
        <v>80</v>
      </c>
      <c r="S585" s="3" t="s">
        <v>92</v>
      </c>
    </row>
    <row r="586" customFormat="false" ht="13.8" hidden="false" customHeight="false" outlineLevel="0" collapsed="false">
      <c r="A586" s="3" t="s">
        <v>1562</v>
      </c>
      <c r="B586" s="3" t="n">
        <v>7.7</v>
      </c>
      <c r="C586" s="3" t="s">
        <v>1563</v>
      </c>
      <c r="D586" s="3" t="n">
        <v>5</v>
      </c>
      <c r="E586" s="3" t="n">
        <v>7</v>
      </c>
      <c r="F586" s="3"/>
      <c r="G586" s="3" t="n">
        <v>0</v>
      </c>
      <c r="H586" s="3" t="n">
        <v>918</v>
      </c>
      <c r="I586" s="3" t="s">
        <v>22</v>
      </c>
      <c r="J586" s="3" t="n">
        <v>288</v>
      </c>
      <c r="K586" s="3" t="n">
        <v>0</v>
      </c>
      <c r="L586" s="3" t="n">
        <v>29.8</v>
      </c>
      <c r="M586" s="3" t="s">
        <v>127</v>
      </c>
      <c r="N586" s="3" t="n">
        <v>17</v>
      </c>
      <c r="O586" s="3" t="n">
        <v>-0.414</v>
      </c>
      <c r="P586" s="3" t="n">
        <v>132.885</v>
      </c>
      <c r="Q586" s="3" t="s">
        <v>1275</v>
      </c>
      <c r="R586" s="3"/>
      <c r="S586" s="3" t="s">
        <v>68</v>
      </c>
    </row>
    <row r="587" customFormat="false" ht="13.8" hidden="false" customHeight="false" outlineLevel="0" collapsed="false">
      <c r="A587" s="3" t="s">
        <v>1564</v>
      </c>
      <c r="B587" s="3" t="n">
        <v>7.4</v>
      </c>
      <c r="C587" s="3" t="s">
        <v>1565</v>
      </c>
      <c r="D587" s="3" t="n">
        <v>9</v>
      </c>
      <c r="E587" s="3" t="n">
        <v>7</v>
      </c>
      <c r="F587" s="3"/>
      <c r="G587" s="3" t="n">
        <v>0</v>
      </c>
      <c r="H587" s="3" t="n">
        <v>848</v>
      </c>
      <c r="I587" s="3" t="s">
        <v>22</v>
      </c>
      <c r="J587" s="3" t="n">
        <v>365</v>
      </c>
      <c r="K587" s="3" t="n">
        <v>0</v>
      </c>
      <c r="L587" s="3" t="n">
        <v>33.7</v>
      </c>
      <c r="M587" s="3" t="s">
        <v>23</v>
      </c>
      <c r="N587" s="3" t="n">
        <v>30</v>
      </c>
      <c r="O587" s="3" t="n">
        <v>1.271</v>
      </c>
      <c r="P587" s="3" t="n">
        <v>122.091</v>
      </c>
      <c r="Q587" s="3" t="s">
        <v>1566</v>
      </c>
      <c r="R587" s="3"/>
      <c r="S587" s="3" t="s">
        <v>68</v>
      </c>
    </row>
    <row r="588" customFormat="false" ht="13.8" hidden="false" customHeight="false" outlineLevel="0" collapsed="false">
      <c r="A588" s="3" t="s">
        <v>1567</v>
      </c>
      <c r="B588" s="3" t="n">
        <v>6.7</v>
      </c>
      <c r="C588" s="3" t="s">
        <v>1568</v>
      </c>
      <c r="D588" s="3" t="n">
        <v>5</v>
      </c>
      <c r="E588" s="3" t="n">
        <v>6</v>
      </c>
      <c r="F588" s="3"/>
      <c r="G588" s="3" t="n">
        <v>0</v>
      </c>
      <c r="H588" s="3" t="n">
        <v>731</v>
      </c>
      <c r="I588" s="3" t="s">
        <v>22</v>
      </c>
      <c r="J588" s="3" t="n">
        <v>481</v>
      </c>
      <c r="K588" s="3" t="n">
        <v>0</v>
      </c>
      <c r="L588" s="3" t="n">
        <v>28.6</v>
      </c>
      <c r="M588" s="3" t="s">
        <v>127</v>
      </c>
      <c r="N588" s="3" t="n">
        <v>24</v>
      </c>
      <c r="O588" s="3" t="n">
        <v>14.423</v>
      </c>
      <c r="P588" s="3" t="n">
        <v>-92.364</v>
      </c>
      <c r="Q588" s="3" t="s">
        <v>1569</v>
      </c>
      <c r="R588" s="3"/>
      <c r="S588" s="3" t="s">
        <v>165</v>
      </c>
    </row>
    <row r="589" customFormat="false" ht="13.8" hidden="false" customHeight="false" outlineLevel="0" collapsed="false">
      <c r="A589" s="3" t="s">
        <v>1570</v>
      </c>
      <c r="B589" s="3" t="n">
        <v>6.7</v>
      </c>
      <c r="C589" s="3" t="s">
        <v>1571</v>
      </c>
      <c r="D589" s="3" t="n">
        <v>0</v>
      </c>
      <c r="E589" s="3" t="n">
        <v>6</v>
      </c>
      <c r="F589" s="3"/>
      <c r="G589" s="3" t="n">
        <v>0</v>
      </c>
      <c r="H589" s="3" t="n">
        <v>691</v>
      </c>
      <c r="I589" s="3" t="s">
        <v>22</v>
      </c>
      <c r="J589" s="3" t="n">
        <v>529</v>
      </c>
      <c r="K589" s="3" t="n">
        <v>0</v>
      </c>
      <c r="L589" s="3" t="n">
        <v>22.3</v>
      </c>
      <c r="M589" s="3" t="s">
        <v>127</v>
      </c>
      <c r="N589" s="3" t="n">
        <v>27.4</v>
      </c>
      <c r="O589" s="3" t="n">
        <v>39.533</v>
      </c>
      <c r="P589" s="3" t="n">
        <v>73.824</v>
      </c>
      <c r="Q589" s="3" t="s">
        <v>1572</v>
      </c>
      <c r="R589" s="3" t="s">
        <v>80</v>
      </c>
      <c r="S589" s="3" t="s">
        <v>1573</v>
      </c>
    </row>
    <row r="590" customFormat="false" ht="13.8" hidden="false" customHeight="false" outlineLevel="0" collapsed="false">
      <c r="A590" s="3" t="s">
        <v>1574</v>
      </c>
      <c r="B590" s="3" t="n">
        <v>6.8</v>
      </c>
      <c r="C590" s="3" t="s">
        <v>1575</v>
      </c>
      <c r="D590" s="3" t="n">
        <v>0</v>
      </c>
      <c r="E590" s="3" t="n">
        <v>6</v>
      </c>
      <c r="F590" s="3"/>
      <c r="G590" s="3" t="n">
        <v>0</v>
      </c>
      <c r="H590" s="3" t="n">
        <v>711</v>
      </c>
      <c r="I590" s="3" t="s">
        <v>22</v>
      </c>
      <c r="J590" s="3" t="n">
        <v>500</v>
      </c>
      <c r="K590" s="3" t="n">
        <v>0</v>
      </c>
      <c r="L590" s="3" t="n">
        <v>22.2</v>
      </c>
      <c r="M590" s="3" t="s">
        <v>127</v>
      </c>
      <c r="N590" s="3" t="n">
        <v>25</v>
      </c>
      <c r="O590" s="3" t="n">
        <v>41.892</v>
      </c>
      <c r="P590" s="3" t="n">
        <v>143.754</v>
      </c>
      <c r="Q590" s="3" t="s">
        <v>1224</v>
      </c>
      <c r="R590" s="3"/>
      <c r="S590" s="3"/>
    </row>
    <row r="591" customFormat="false" ht="13.8" hidden="false" customHeight="false" outlineLevel="0" collapsed="false">
      <c r="A591" s="3" t="s">
        <v>1576</v>
      </c>
      <c r="B591" s="3" t="n">
        <v>6.6</v>
      </c>
      <c r="C591" s="3" t="s">
        <v>1577</v>
      </c>
      <c r="D591" s="3" t="n">
        <v>0</v>
      </c>
      <c r="E591" s="3" t="n">
        <v>6</v>
      </c>
      <c r="F591" s="3"/>
      <c r="G591" s="3" t="n">
        <v>0</v>
      </c>
      <c r="H591" s="3" t="n">
        <v>670</v>
      </c>
      <c r="I591" s="3" t="s">
        <v>22</v>
      </c>
      <c r="J591" s="3" t="n">
        <v>463</v>
      </c>
      <c r="K591" s="3" t="n">
        <v>0</v>
      </c>
      <c r="L591" s="3" t="n">
        <v>14.1</v>
      </c>
      <c r="M591" s="3" t="s">
        <v>127</v>
      </c>
      <c r="N591" s="3" t="n">
        <v>96</v>
      </c>
      <c r="O591" s="3" t="n">
        <v>1.885</v>
      </c>
      <c r="P591" s="3" t="n">
        <v>127.363</v>
      </c>
      <c r="Q591" s="3" t="s">
        <v>128</v>
      </c>
      <c r="R591" s="3"/>
      <c r="S591" s="3" t="s">
        <v>68</v>
      </c>
    </row>
    <row r="592" customFormat="false" ht="13.8" hidden="false" customHeight="false" outlineLevel="0" collapsed="false">
      <c r="A592" s="3" t="s">
        <v>1578</v>
      </c>
      <c r="B592" s="3" t="n">
        <v>6.9</v>
      </c>
      <c r="C592" s="3" t="s">
        <v>1579</v>
      </c>
      <c r="D592" s="3" t="n">
        <v>0</v>
      </c>
      <c r="E592" s="3" t="n">
        <v>6</v>
      </c>
      <c r="F592" s="3"/>
      <c r="G592" s="3" t="n">
        <v>0</v>
      </c>
      <c r="H592" s="3" t="n">
        <v>732</v>
      </c>
      <c r="I592" s="3" t="s">
        <v>22</v>
      </c>
      <c r="J592" s="3" t="n">
        <v>531</v>
      </c>
      <c r="K592" s="3" t="n">
        <v>0</v>
      </c>
      <c r="L592" s="3" t="n">
        <v>14.9</v>
      </c>
      <c r="M592" s="3" t="s">
        <v>127</v>
      </c>
      <c r="N592" s="3" t="n">
        <v>110</v>
      </c>
      <c r="O592" s="3" t="n">
        <v>-13.501</v>
      </c>
      <c r="P592" s="3" t="n">
        <v>166.967</v>
      </c>
      <c r="Q592" s="3" t="s">
        <v>24</v>
      </c>
      <c r="R592" s="3"/>
      <c r="S592" s="3" t="s">
        <v>25</v>
      </c>
    </row>
    <row r="593" customFormat="false" ht="13.8" hidden="false" customHeight="false" outlineLevel="0" collapsed="false">
      <c r="A593" s="3" t="s">
        <v>1580</v>
      </c>
      <c r="B593" s="3" t="n">
        <v>6.7</v>
      </c>
      <c r="C593" s="3" t="s">
        <v>1581</v>
      </c>
      <c r="D593" s="3" t="n">
        <v>4</v>
      </c>
      <c r="E593" s="3" t="n">
        <v>7</v>
      </c>
      <c r="F593" s="3"/>
      <c r="G593" s="3" t="n">
        <v>0</v>
      </c>
      <c r="H593" s="3" t="n">
        <v>692</v>
      </c>
      <c r="I593" s="3" t="s">
        <v>22</v>
      </c>
      <c r="J593" s="3" t="n">
        <v>325</v>
      </c>
      <c r="K593" s="3" t="n">
        <v>0</v>
      </c>
      <c r="L593" s="3" t="n">
        <v>28</v>
      </c>
      <c r="M593" s="3" t="s">
        <v>127</v>
      </c>
      <c r="N593" s="3" t="n">
        <v>12</v>
      </c>
      <c r="O593" s="3" t="n">
        <v>30.901</v>
      </c>
      <c r="P593" s="3" t="n">
        <v>83.52</v>
      </c>
      <c r="Q593" s="3" t="s">
        <v>1582</v>
      </c>
      <c r="R593" s="3" t="s">
        <v>80</v>
      </c>
      <c r="S593" s="3" t="s">
        <v>184</v>
      </c>
    </row>
    <row r="594" customFormat="false" ht="13.8" hidden="false" customHeight="false" outlineLevel="0" collapsed="false">
      <c r="A594" s="3" t="s">
        <v>1583</v>
      </c>
      <c r="B594" s="3" t="n">
        <v>6.8</v>
      </c>
      <c r="C594" s="3" t="s">
        <v>1584</v>
      </c>
      <c r="D594" s="3" t="n">
        <v>8</v>
      </c>
      <c r="E594" s="3" t="n">
        <v>7</v>
      </c>
      <c r="F594" s="3"/>
      <c r="G594" s="3" t="n">
        <v>0</v>
      </c>
      <c r="H594" s="3" t="n">
        <v>1046</v>
      </c>
      <c r="I594" s="3" t="s">
        <v>22</v>
      </c>
      <c r="J594" s="3" t="n">
        <v>633</v>
      </c>
      <c r="K594" s="3" t="n">
        <v>0</v>
      </c>
      <c r="L594" s="3" t="n">
        <v>20.2</v>
      </c>
      <c r="M594" s="3" t="s">
        <v>127</v>
      </c>
      <c r="N594" s="3" t="n">
        <v>108</v>
      </c>
      <c r="O594" s="3" t="n">
        <v>39.802</v>
      </c>
      <c r="P594" s="3" t="n">
        <v>141.464</v>
      </c>
      <c r="Q594" s="3" t="s">
        <v>1585</v>
      </c>
      <c r="R594" s="3" t="s">
        <v>80</v>
      </c>
      <c r="S594" s="3" t="s">
        <v>322</v>
      </c>
    </row>
    <row r="595" customFormat="false" ht="13.8" hidden="false" customHeight="false" outlineLevel="0" collapsed="false">
      <c r="A595" s="3" t="s">
        <v>1586</v>
      </c>
      <c r="B595" s="3" t="n">
        <v>7</v>
      </c>
      <c r="C595" s="3" t="s">
        <v>1587</v>
      </c>
      <c r="D595" s="3" t="n">
        <v>5</v>
      </c>
      <c r="E595" s="3" t="n">
        <v>5</v>
      </c>
      <c r="F595" s="3"/>
      <c r="G595" s="3" t="n">
        <v>0</v>
      </c>
      <c r="H595" s="3" t="n">
        <v>840</v>
      </c>
      <c r="I595" s="3" t="s">
        <v>22</v>
      </c>
      <c r="J595" s="3" t="n">
        <v>577</v>
      </c>
      <c r="K595" s="3" t="n">
        <v>0</v>
      </c>
      <c r="L595" s="3" t="n">
        <v>18.2</v>
      </c>
      <c r="M595" s="3" t="s">
        <v>127</v>
      </c>
      <c r="N595" s="3" t="n">
        <v>22</v>
      </c>
      <c r="O595" s="3" t="n">
        <v>37.552</v>
      </c>
      <c r="P595" s="3" t="n">
        <v>142.214</v>
      </c>
      <c r="Q595" s="3" t="s">
        <v>217</v>
      </c>
      <c r="R595" s="3"/>
      <c r="S595" s="3"/>
    </row>
    <row r="596" customFormat="false" ht="13.8" hidden="false" customHeight="false" outlineLevel="0" collapsed="false">
      <c r="A596" s="3" t="s">
        <v>1588</v>
      </c>
      <c r="B596" s="3" t="n">
        <v>6.9</v>
      </c>
      <c r="C596" s="3" t="s">
        <v>1587</v>
      </c>
      <c r="D596" s="3" t="n">
        <v>5</v>
      </c>
      <c r="E596" s="3" t="n">
        <v>5</v>
      </c>
      <c r="F596" s="3"/>
      <c r="G596" s="3" t="n">
        <v>0</v>
      </c>
      <c r="H596" s="3" t="n">
        <v>825</v>
      </c>
      <c r="I596" s="3" t="s">
        <v>1589</v>
      </c>
      <c r="J596" s="3" t="n">
        <v>0</v>
      </c>
      <c r="K596" s="3" t="n">
        <v>0</v>
      </c>
      <c r="L596" s="3" t="n">
        <v>0</v>
      </c>
      <c r="M596" s="3" t="s">
        <v>23</v>
      </c>
      <c r="N596" s="3" t="n">
        <v>25.5</v>
      </c>
      <c r="O596" s="3" t="n">
        <v>37.55</v>
      </c>
      <c r="P596" s="3" t="n">
        <v>142.714</v>
      </c>
      <c r="Q596" s="3" t="s">
        <v>217</v>
      </c>
      <c r="R596" s="3"/>
      <c r="S596" s="3"/>
    </row>
    <row r="597" customFormat="false" ht="13.8" hidden="false" customHeight="false" outlineLevel="0" collapsed="false">
      <c r="A597" s="3" t="s">
        <v>1590</v>
      </c>
      <c r="B597" s="3" t="n">
        <v>6.6</v>
      </c>
      <c r="C597" s="3" t="s">
        <v>1591</v>
      </c>
      <c r="D597" s="3" t="n">
        <v>4</v>
      </c>
      <c r="E597" s="3" t="n">
        <v>5</v>
      </c>
      <c r="F597" s="3"/>
      <c r="G597" s="3" t="n">
        <v>0</v>
      </c>
      <c r="H597" s="3" t="n">
        <v>680</v>
      </c>
      <c r="I597" s="3" t="s">
        <v>22</v>
      </c>
      <c r="J597" s="3" t="n">
        <v>630</v>
      </c>
      <c r="K597" s="3" t="n">
        <v>0</v>
      </c>
      <c r="L597" s="3" t="n">
        <v>18.4</v>
      </c>
      <c r="M597" s="3" t="s">
        <v>127</v>
      </c>
      <c r="N597" s="3" t="n">
        <v>17</v>
      </c>
      <c r="O597" s="3" t="n">
        <v>11.005</v>
      </c>
      <c r="P597" s="3" t="n">
        <v>91.824</v>
      </c>
      <c r="Q597" s="3" t="s">
        <v>1464</v>
      </c>
      <c r="R597" s="3"/>
      <c r="S597" s="3"/>
    </row>
    <row r="598" customFormat="false" ht="13.8" hidden="false" customHeight="false" outlineLevel="0" collapsed="false">
      <c r="A598" s="3" t="s">
        <v>1592</v>
      </c>
      <c r="B598" s="3" t="n">
        <v>6.9</v>
      </c>
      <c r="C598" s="3" t="s">
        <v>1593</v>
      </c>
      <c r="D598" s="3" t="n">
        <v>7</v>
      </c>
      <c r="E598" s="3" t="n">
        <v>8</v>
      </c>
      <c r="F598" s="3"/>
      <c r="G598" s="3" t="n">
        <v>0</v>
      </c>
      <c r="H598" s="3" t="n">
        <v>888</v>
      </c>
      <c r="I598" s="3" t="s">
        <v>22</v>
      </c>
      <c r="J598" s="3" t="n">
        <v>654</v>
      </c>
      <c r="K598" s="3" t="n">
        <v>0</v>
      </c>
      <c r="L598" s="3" t="n">
        <v>17.1</v>
      </c>
      <c r="M598" s="3" t="s">
        <v>127</v>
      </c>
      <c r="N598" s="3" t="n">
        <v>7.8</v>
      </c>
      <c r="O598" s="3" t="n">
        <v>39.03</v>
      </c>
      <c r="P598" s="3" t="n">
        <v>140.881</v>
      </c>
      <c r="Q598" s="3" t="s">
        <v>1594</v>
      </c>
      <c r="R598" s="3" t="s">
        <v>80</v>
      </c>
      <c r="S598" s="3" t="s">
        <v>322</v>
      </c>
    </row>
    <row r="599" customFormat="false" ht="13.8" hidden="false" customHeight="false" outlineLevel="0" collapsed="false">
      <c r="A599" s="3" t="s">
        <v>1595</v>
      </c>
      <c r="B599" s="3" t="n">
        <v>7.9</v>
      </c>
      <c r="C599" s="3" t="s">
        <v>1596</v>
      </c>
      <c r="D599" s="3" t="n">
        <v>9</v>
      </c>
      <c r="E599" s="3" t="n">
        <v>9</v>
      </c>
      <c r="F599" s="3"/>
      <c r="G599" s="3" t="n">
        <v>0</v>
      </c>
      <c r="H599" s="3" t="n">
        <v>1870</v>
      </c>
      <c r="I599" s="3" t="s">
        <v>22</v>
      </c>
      <c r="J599" s="3" t="n">
        <v>774</v>
      </c>
      <c r="K599" s="3" t="n">
        <v>0</v>
      </c>
      <c r="L599" s="3" t="n">
        <v>11.3</v>
      </c>
      <c r="M599" s="3" t="s">
        <v>127</v>
      </c>
      <c r="N599" s="3" t="n">
        <v>19</v>
      </c>
      <c r="O599" s="3" t="n">
        <v>31.002</v>
      </c>
      <c r="P599" s="3" t="n">
        <v>103.322</v>
      </c>
      <c r="Q599" s="3" t="s">
        <v>1597</v>
      </c>
      <c r="R599" s="3" t="s">
        <v>80</v>
      </c>
      <c r="S599" s="3" t="s">
        <v>184</v>
      </c>
    </row>
    <row r="600" customFormat="false" ht="13.8" hidden="false" customHeight="false" outlineLevel="0" collapsed="false">
      <c r="A600" s="3" t="s">
        <v>1598</v>
      </c>
      <c r="B600" s="3" t="n">
        <v>6.9</v>
      </c>
      <c r="C600" s="3" t="s">
        <v>1599</v>
      </c>
      <c r="D600" s="3" t="n">
        <v>5</v>
      </c>
      <c r="E600" s="3" t="n">
        <v>5</v>
      </c>
      <c r="F600" s="3"/>
      <c r="G600" s="3" t="n">
        <v>0</v>
      </c>
      <c r="H600" s="3" t="n">
        <v>910</v>
      </c>
      <c r="I600" s="3" t="s">
        <v>22</v>
      </c>
      <c r="J600" s="3" t="n">
        <v>519</v>
      </c>
      <c r="K600" s="3" t="n">
        <v>0</v>
      </c>
      <c r="L600" s="3" t="n">
        <v>21.1</v>
      </c>
      <c r="M600" s="3" t="s">
        <v>127</v>
      </c>
      <c r="N600" s="3" t="n">
        <v>27</v>
      </c>
      <c r="O600" s="3" t="n">
        <v>36.164</v>
      </c>
      <c r="P600" s="3" t="n">
        <v>141.526</v>
      </c>
      <c r="Q600" s="3" t="s">
        <v>1375</v>
      </c>
      <c r="R600" s="3"/>
      <c r="S600" s="3"/>
    </row>
    <row r="601" customFormat="false" ht="13.8" hidden="false" customHeight="false" outlineLevel="0" collapsed="false">
      <c r="A601" s="3" t="s">
        <v>1600</v>
      </c>
      <c r="B601" s="3" t="n">
        <v>7.3</v>
      </c>
      <c r="C601" s="3" t="s">
        <v>1601</v>
      </c>
      <c r="D601" s="3" t="n">
        <v>0</v>
      </c>
      <c r="E601" s="3" t="n">
        <v>6</v>
      </c>
      <c r="F601" s="3"/>
      <c r="G601" s="3" t="n">
        <v>0</v>
      </c>
      <c r="H601" s="3" t="n">
        <v>820</v>
      </c>
      <c r="I601" s="3" t="s">
        <v>22</v>
      </c>
      <c r="J601" s="3" t="n">
        <v>486</v>
      </c>
      <c r="K601" s="3" t="n">
        <v>0</v>
      </c>
      <c r="L601" s="3" t="n">
        <v>13.4</v>
      </c>
      <c r="M601" s="3" t="s">
        <v>127</v>
      </c>
      <c r="N601" s="3" t="n">
        <v>33</v>
      </c>
      <c r="O601" s="3" t="n">
        <v>-20.071</v>
      </c>
      <c r="P601" s="3" t="n">
        <v>168.892</v>
      </c>
      <c r="Q601" s="3" t="s">
        <v>177</v>
      </c>
      <c r="R601" s="3"/>
      <c r="S601" s="3"/>
    </row>
    <row r="602" customFormat="false" ht="13.8" hidden="false" customHeight="false" outlineLevel="0" collapsed="false">
      <c r="A602" s="3" t="s">
        <v>1602</v>
      </c>
      <c r="B602" s="3" t="n">
        <v>7.2</v>
      </c>
      <c r="C602" s="3" t="s">
        <v>1603</v>
      </c>
      <c r="D602" s="3" t="n">
        <v>0</v>
      </c>
      <c r="E602" s="3" t="n">
        <v>7</v>
      </c>
      <c r="F602" s="3"/>
      <c r="G602" s="3" t="n">
        <v>0</v>
      </c>
      <c r="H602" s="3" t="n">
        <v>798</v>
      </c>
      <c r="I602" s="3" t="s">
        <v>22</v>
      </c>
      <c r="J602" s="3" t="n">
        <v>532</v>
      </c>
      <c r="K602" s="3" t="n">
        <v>0</v>
      </c>
      <c r="L602" s="3" t="n">
        <v>25.9</v>
      </c>
      <c r="M602" s="3" t="s">
        <v>127</v>
      </c>
      <c r="N602" s="3" t="n">
        <v>10</v>
      </c>
      <c r="O602" s="3" t="n">
        <v>35.49</v>
      </c>
      <c r="P602" s="3" t="n">
        <v>81.467</v>
      </c>
      <c r="Q602" s="3" t="s">
        <v>1097</v>
      </c>
      <c r="R602" s="3" t="s">
        <v>80</v>
      </c>
      <c r="S602" s="3" t="s">
        <v>184</v>
      </c>
    </row>
    <row r="603" customFormat="false" ht="13.8" hidden="false" customHeight="false" outlineLevel="0" collapsed="false">
      <c r="A603" s="3" t="s">
        <v>1604</v>
      </c>
      <c r="B603" s="3" t="n">
        <v>6.9</v>
      </c>
      <c r="C603" s="3" t="s">
        <v>1605</v>
      </c>
      <c r="D603" s="3" t="n">
        <v>4</v>
      </c>
      <c r="E603" s="3" t="n">
        <v>5</v>
      </c>
      <c r="F603" s="3"/>
      <c r="G603" s="3" t="n">
        <v>0</v>
      </c>
      <c r="H603" s="3" t="n">
        <v>740</v>
      </c>
      <c r="I603" s="3" t="s">
        <v>22</v>
      </c>
      <c r="J603" s="3" t="n">
        <v>544</v>
      </c>
      <c r="K603" s="3" t="n">
        <v>0</v>
      </c>
      <c r="L603" s="3" t="n">
        <v>25.9</v>
      </c>
      <c r="M603" s="3" t="s">
        <v>127</v>
      </c>
      <c r="N603" s="3" t="n">
        <v>24</v>
      </c>
      <c r="O603" s="3" t="n">
        <v>13.351</v>
      </c>
      <c r="P603" s="3" t="n">
        <v>125.63</v>
      </c>
      <c r="Q603" s="3" t="s">
        <v>1606</v>
      </c>
      <c r="R603" s="3"/>
      <c r="S603" s="3"/>
    </row>
    <row r="604" customFormat="false" ht="13.8" hidden="false" customHeight="false" outlineLevel="0" collapsed="false">
      <c r="A604" s="3" t="s">
        <v>1607</v>
      </c>
      <c r="B604" s="3" t="n">
        <v>6.7</v>
      </c>
      <c r="C604" s="3" t="s">
        <v>1608</v>
      </c>
      <c r="D604" s="3" t="n">
        <v>5</v>
      </c>
      <c r="E604" s="3" t="n">
        <v>6</v>
      </c>
      <c r="F604" s="3"/>
      <c r="G604" s="3" t="n">
        <v>0</v>
      </c>
      <c r="H604" s="3" t="n">
        <v>696</v>
      </c>
      <c r="I604" s="3" t="s">
        <v>22</v>
      </c>
      <c r="J604" s="3" t="n">
        <v>543</v>
      </c>
      <c r="K604" s="3" t="n">
        <v>0</v>
      </c>
      <c r="L604" s="3" t="n">
        <v>15.1</v>
      </c>
      <c r="M604" s="3" t="s">
        <v>127</v>
      </c>
      <c r="N604" s="3" t="n">
        <v>25</v>
      </c>
      <c r="O604" s="3" t="n">
        <v>-2.245</v>
      </c>
      <c r="P604" s="3" t="n">
        <v>99.808</v>
      </c>
      <c r="Q604" s="3" t="s">
        <v>1533</v>
      </c>
      <c r="R604" s="3"/>
      <c r="S604" s="3" t="s">
        <v>68</v>
      </c>
    </row>
    <row r="605" customFormat="false" ht="13.8" hidden="false" customHeight="false" outlineLevel="0" collapsed="false">
      <c r="A605" s="3" t="s">
        <v>1609</v>
      </c>
      <c r="B605" s="3" t="n">
        <v>6.6</v>
      </c>
      <c r="C605" s="3" t="s">
        <v>1610</v>
      </c>
      <c r="D605" s="3" t="n">
        <v>4</v>
      </c>
      <c r="E605" s="3" t="n">
        <v>6</v>
      </c>
      <c r="F605" s="3"/>
      <c r="G605" s="3" t="n">
        <v>0</v>
      </c>
      <c r="H605" s="3" t="n">
        <v>674</v>
      </c>
      <c r="I605" s="3" t="s">
        <v>22</v>
      </c>
      <c r="J605" s="3" t="n">
        <v>421</v>
      </c>
      <c r="K605" s="3" t="n">
        <v>0</v>
      </c>
      <c r="L605" s="3" t="n">
        <v>17.7</v>
      </c>
      <c r="M605" s="3" t="s">
        <v>127</v>
      </c>
      <c r="N605" s="3" t="n">
        <v>25</v>
      </c>
      <c r="O605" s="3" t="n">
        <v>-2.332</v>
      </c>
      <c r="P605" s="3" t="n">
        <v>99.891</v>
      </c>
      <c r="Q605" s="3" t="s">
        <v>1533</v>
      </c>
      <c r="R605" s="3"/>
      <c r="S605" s="3" t="s">
        <v>68</v>
      </c>
    </row>
    <row r="606" customFormat="false" ht="13.8" hidden="false" customHeight="false" outlineLevel="0" collapsed="false">
      <c r="A606" s="3" t="s">
        <v>1611</v>
      </c>
      <c r="B606" s="3" t="n">
        <v>7.2</v>
      </c>
      <c r="C606" s="3" t="s">
        <v>1612</v>
      </c>
      <c r="D606" s="3" t="n">
        <v>4</v>
      </c>
      <c r="E606" s="3" t="n">
        <v>7</v>
      </c>
      <c r="F606" s="3"/>
      <c r="G606" s="3" t="n">
        <v>0</v>
      </c>
      <c r="H606" s="3" t="n">
        <v>832</v>
      </c>
      <c r="I606" s="3" t="s">
        <v>22</v>
      </c>
      <c r="J606" s="3" t="n">
        <v>505</v>
      </c>
      <c r="K606" s="3" t="n">
        <v>0</v>
      </c>
      <c r="L606" s="3" t="n">
        <v>18.4</v>
      </c>
      <c r="M606" s="3" t="s">
        <v>127</v>
      </c>
      <c r="N606" s="3" t="n">
        <v>25</v>
      </c>
      <c r="O606" s="3" t="n">
        <v>-2.486</v>
      </c>
      <c r="P606" s="3" t="n">
        <v>99.972</v>
      </c>
      <c r="Q606" s="3" t="s">
        <v>809</v>
      </c>
      <c r="R606" s="3"/>
      <c r="S606" s="3" t="s">
        <v>68</v>
      </c>
    </row>
    <row r="607" customFormat="false" ht="13.8" hidden="false" customHeight="false" outlineLevel="0" collapsed="false">
      <c r="A607" s="3" t="s">
        <v>1613</v>
      </c>
      <c r="B607" s="3" t="n">
        <v>6.5</v>
      </c>
      <c r="C607" s="3" t="s">
        <v>1614</v>
      </c>
      <c r="D607" s="3" t="n">
        <v>4</v>
      </c>
      <c r="E607" s="3" t="n">
        <v>6</v>
      </c>
      <c r="F607" s="3"/>
      <c r="G607" s="3" t="n">
        <v>0</v>
      </c>
      <c r="H607" s="3" t="n">
        <v>654</v>
      </c>
      <c r="I607" s="3" t="s">
        <v>22</v>
      </c>
      <c r="J607" s="3" t="n">
        <v>429</v>
      </c>
      <c r="K607" s="3" t="n">
        <v>0</v>
      </c>
      <c r="L607" s="3" t="n">
        <v>28.3</v>
      </c>
      <c r="M607" s="3" t="s">
        <v>127</v>
      </c>
      <c r="N607" s="3" t="n">
        <v>22</v>
      </c>
      <c r="O607" s="3" t="n">
        <v>-2.405</v>
      </c>
      <c r="P607" s="3" t="n">
        <v>99.931</v>
      </c>
      <c r="Q607" s="3" t="s">
        <v>809</v>
      </c>
      <c r="R607" s="3"/>
      <c r="S607" s="3" t="s">
        <v>68</v>
      </c>
    </row>
    <row r="608" customFormat="false" ht="13.8" hidden="false" customHeight="false" outlineLevel="0" collapsed="false">
      <c r="A608" s="3" t="s">
        <v>1615</v>
      </c>
      <c r="B608" s="3" t="n">
        <v>7.4</v>
      </c>
      <c r="C608" s="3" t="s">
        <v>1616</v>
      </c>
      <c r="D608" s="3" t="n">
        <v>5</v>
      </c>
      <c r="E608" s="3" t="n">
        <v>7</v>
      </c>
      <c r="F608" s="3"/>
      <c r="G608" s="3" t="n">
        <v>0</v>
      </c>
      <c r="H608" s="3" t="n">
        <v>914</v>
      </c>
      <c r="I608" s="3" t="s">
        <v>22</v>
      </c>
      <c r="J608" s="3" t="n">
        <v>607</v>
      </c>
      <c r="K608" s="3" t="n">
        <v>0</v>
      </c>
      <c r="L608" s="3" t="n">
        <v>16.4</v>
      </c>
      <c r="M608" s="3" t="s">
        <v>127</v>
      </c>
      <c r="N608" s="3" t="n">
        <v>26</v>
      </c>
      <c r="O608" s="3" t="n">
        <v>2.768</v>
      </c>
      <c r="P608" s="3" t="n">
        <v>95.964</v>
      </c>
      <c r="Q608" s="3" t="s">
        <v>317</v>
      </c>
      <c r="R608" s="3"/>
      <c r="S608" s="3" t="s">
        <v>68</v>
      </c>
    </row>
    <row r="609" customFormat="false" ht="13.8" hidden="false" customHeight="false" outlineLevel="0" collapsed="false">
      <c r="A609" s="3" t="s">
        <v>1617</v>
      </c>
      <c r="B609" s="3" t="n">
        <v>6.5</v>
      </c>
      <c r="C609" s="3" t="s">
        <v>1618</v>
      </c>
      <c r="D609" s="3" t="n">
        <v>8</v>
      </c>
      <c r="E609" s="3" t="n">
        <v>5</v>
      </c>
      <c r="F609" s="3"/>
      <c r="G609" s="3" t="n">
        <v>0</v>
      </c>
      <c r="H609" s="3" t="n">
        <v>692</v>
      </c>
      <c r="I609" s="3" t="s">
        <v>22</v>
      </c>
      <c r="J609" s="3" t="n">
        <v>650</v>
      </c>
      <c r="K609" s="3" t="n">
        <v>0</v>
      </c>
      <c r="L609" s="3" t="n">
        <v>30.7</v>
      </c>
      <c r="M609" s="3" t="s">
        <v>127</v>
      </c>
      <c r="N609" s="3" t="n">
        <v>28</v>
      </c>
      <c r="O609" s="3" t="n">
        <v>36.345</v>
      </c>
      <c r="P609" s="3" t="n">
        <v>21.863</v>
      </c>
      <c r="Q609" s="3" t="s">
        <v>1619</v>
      </c>
      <c r="R609" s="3" t="s">
        <v>361</v>
      </c>
      <c r="S609" s="3"/>
    </row>
    <row r="610" customFormat="false" ht="13.8" hidden="false" customHeight="false" outlineLevel="0" collapsed="false">
      <c r="A610" s="3" t="s">
        <v>1620</v>
      </c>
      <c r="B610" s="3" t="n">
        <v>6.9</v>
      </c>
      <c r="C610" s="3" t="s">
        <v>1621</v>
      </c>
      <c r="D610" s="3" t="n">
        <v>6</v>
      </c>
      <c r="E610" s="3" t="n">
        <v>6</v>
      </c>
      <c r="F610" s="3"/>
      <c r="G610" s="3" t="n">
        <v>0</v>
      </c>
      <c r="H610" s="3" t="n">
        <v>941</v>
      </c>
      <c r="I610" s="3" t="s">
        <v>22</v>
      </c>
      <c r="J610" s="3" t="n">
        <v>645</v>
      </c>
      <c r="K610" s="3" t="n">
        <v>0</v>
      </c>
      <c r="L610" s="3" t="n">
        <v>30.6</v>
      </c>
      <c r="M610" s="3" t="s">
        <v>127</v>
      </c>
      <c r="N610" s="3" t="n">
        <v>29</v>
      </c>
      <c r="O610" s="3" t="n">
        <v>36.501</v>
      </c>
      <c r="P610" s="3" t="n">
        <v>21.67</v>
      </c>
      <c r="Q610" s="3" t="s">
        <v>1622</v>
      </c>
      <c r="R610" s="3" t="s">
        <v>361</v>
      </c>
      <c r="S610" s="3"/>
    </row>
    <row r="611" customFormat="false" ht="13.8" hidden="false" customHeight="false" outlineLevel="0" collapsed="false">
      <c r="A611" s="3" t="s">
        <v>1623</v>
      </c>
      <c r="B611" s="3" t="n">
        <v>6.5</v>
      </c>
      <c r="C611" s="3" t="s">
        <v>1624</v>
      </c>
      <c r="D611" s="3" t="n">
        <v>7</v>
      </c>
      <c r="E611" s="3" t="n">
        <v>6</v>
      </c>
      <c r="F611" s="3"/>
      <c r="G611" s="3" t="n">
        <v>0</v>
      </c>
      <c r="H611" s="3" t="n">
        <v>723</v>
      </c>
      <c r="I611" s="3" t="s">
        <v>22</v>
      </c>
      <c r="J611" s="3" t="n">
        <v>521</v>
      </c>
      <c r="K611" s="3" t="n">
        <v>0</v>
      </c>
      <c r="L611" s="3" t="n">
        <v>27.6</v>
      </c>
      <c r="M611" s="3" t="s">
        <v>127</v>
      </c>
      <c r="N611" s="3" t="n">
        <v>83</v>
      </c>
      <c r="O611" s="3" t="n">
        <v>16.357</v>
      </c>
      <c r="P611" s="3" t="n">
        <v>-94.304</v>
      </c>
      <c r="Q611" s="3" t="s">
        <v>1625</v>
      </c>
      <c r="R611" s="3"/>
      <c r="S611" s="3" t="s">
        <v>165</v>
      </c>
    </row>
    <row r="612" customFormat="false" ht="13.8" hidden="false" customHeight="false" outlineLevel="0" collapsed="false">
      <c r="A612" s="3" t="s">
        <v>1626</v>
      </c>
      <c r="B612" s="3" t="n">
        <v>6.6</v>
      </c>
      <c r="C612" s="3" t="s">
        <v>1627</v>
      </c>
      <c r="D612" s="3" t="n">
        <v>7</v>
      </c>
      <c r="E612" s="3" t="n">
        <v>6</v>
      </c>
      <c r="F612" s="3"/>
      <c r="G612" s="3" t="n">
        <v>0</v>
      </c>
      <c r="H612" s="3" t="n">
        <v>808</v>
      </c>
      <c r="I612" s="3" t="s">
        <v>22</v>
      </c>
      <c r="J612" s="3" t="n">
        <v>461</v>
      </c>
      <c r="K612" s="3" t="n">
        <v>0</v>
      </c>
      <c r="L612" s="3" t="n">
        <v>18.8</v>
      </c>
      <c r="M612" s="3" t="s">
        <v>127</v>
      </c>
      <c r="N612" s="3" t="n">
        <v>20</v>
      </c>
      <c r="O612" s="3" t="n">
        <v>-39.011</v>
      </c>
      <c r="P612" s="3" t="n">
        <v>178.291</v>
      </c>
      <c r="Q612" s="3" t="s">
        <v>342</v>
      </c>
      <c r="R612" s="3"/>
      <c r="S612" s="3"/>
    </row>
    <row r="613" customFormat="false" ht="13.8" hidden="false" customHeight="false" outlineLevel="0" collapsed="false">
      <c r="A613" s="3" t="s">
        <v>1628</v>
      </c>
      <c r="B613" s="3" t="n">
        <v>6.7</v>
      </c>
      <c r="C613" s="3" t="s">
        <v>1629</v>
      </c>
      <c r="D613" s="3" t="n">
        <v>5</v>
      </c>
      <c r="E613" s="3" t="n">
        <v>7</v>
      </c>
      <c r="F613" s="3"/>
      <c r="G613" s="3" t="n">
        <v>0</v>
      </c>
      <c r="H613" s="3" t="n">
        <v>704</v>
      </c>
      <c r="I613" s="3" t="s">
        <v>22</v>
      </c>
      <c r="J613" s="3" t="n">
        <v>481</v>
      </c>
      <c r="K613" s="3" t="n">
        <v>0</v>
      </c>
      <c r="L613" s="3" t="n">
        <v>30.3</v>
      </c>
      <c r="M613" s="3" t="s">
        <v>154</v>
      </c>
      <c r="N613" s="3" t="n">
        <v>45</v>
      </c>
      <c r="O613" s="3" t="n">
        <v>-22.954</v>
      </c>
      <c r="P613" s="3" t="n">
        <v>-70.182</v>
      </c>
      <c r="Q613" s="3" t="s">
        <v>1630</v>
      </c>
      <c r="R613" s="3" t="s">
        <v>33</v>
      </c>
      <c r="S613" s="3" t="s">
        <v>373</v>
      </c>
    </row>
    <row r="614" customFormat="false" ht="13.8" hidden="false" customHeight="false" outlineLevel="0" collapsed="false">
      <c r="A614" s="3" t="s">
        <v>1631</v>
      </c>
      <c r="B614" s="3" t="n">
        <v>7.4</v>
      </c>
      <c r="C614" s="3" t="s">
        <v>1632</v>
      </c>
      <c r="D614" s="3" t="n">
        <v>7</v>
      </c>
      <c r="E614" s="3" t="n">
        <v>7</v>
      </c>
      <c r="F614" s="3"/>
      <c r="G614" s="3" t="n">
        <v>0</v>
      </c>
      <c r="H614" s="3" t="n">
        <v>1542</v>
      </c>
      <c r="I614" s="3" t="s">
        <v>22</v>
      </c>
      <c r="J614" s="3" t="n">
        <v>663</v>
      </c>
      <c r="K614" s="3" t="n">
        <v>0</v>
      </c>
      <c r="L614" s="3" t="n">
        <v>13.4</v>
      </c>
      <c r="M614" s="3" t="s">
        <v>154</v>
      </c>
      <c r="N614" s="3" t="n">
        <v>156</v>
      </c>
      <c r="O614" s="3" t="n">
        <v>14.944</v>
      </c>
      <c r="P614" s="3" t="n">
        <v>-61.274</v>
      </c>
      <c r="Q614" s="3" t="s">
        <v>1633</v>
      </c>
      <c r="R614" s="3"/>
      <c r="S614" s="3" t="s">
        <v>1634</v>
      </c>
    </row>
    <row r="615" customFormat="false" ht="13.8" hidden="false" customHeight="false" outlineLevel="0" collapsed="false">
      <c r="A615" s="3" t="s">
        <v>1635</v>
      </c>
      <c r="B615" s="3" t="n">
        <v>6.6</v>
      </c>
      <c r="C615" s="3" t="s">
        <v>1636</v>
      </c>
      <c r="D615" s="3" t="n">
        <v>3</v>
      </c>
      <c r="E615" s="3" t="n">
        <v>6</v>
      </c>
      <c r="F615" s="3"/>
      <c r="G615" s="3" t="n">
        <v>0</v>
      </c>
      <c r="H615" s="3" t="n">
        <v>672</v>
      </c>
      <c r="I615" s="3" t="s">
        <v>22</v>
      </c>
      <c r="J615" s="3" t="n">
        <v>280</v>
      </c>
      <c r="K615" s="3" t="n">
        <v>0</v>
      </c>
      <c r="L615" s="3" t="n">
        <v>26.9</v>
      </c>
      <c r="M615" s="3" t="s">
        <v>127</v>
      </c>
      <c r="N615" s="3" t="n">
        <v>16</v>
      </c>
      <c r="O615" s="3" t="n">
        <v>-10.95</v>
      </c>
      <c r="P615" s="3" t="n">
        <v>162.149</v>
      </c>
      <c r="Q615" s="3" t="s">
        <v>581</v>
      </c>
      <c r="R615" s="3"/>
      <c r="S615" s="3" t="s">
        <v>140</v>
      </c>
    </row>
    <row r="616" customFormat="false" ht="13.8" hidden="false" customHeight="false" outlineLevel="0" collapsed="false">
      <c r="A616" s="3" t="s">
        <v>1637</v>
      </c>
      <c r="B616" s="3" t="n">
        <v>6.5</v>
      </c>
      <c r="C616" s="3" t="s">
        <v>1638</v>
      </c>
      <c r="D616" s="3" t="n">
        <v>5</v>
      </c>
      <c r="E616" s="3" t="n">
        <v>7</v>
      </c>
      <c r="F616" s="3"/>
      <c r="G616" s="3" t="n">
        <v>0</v>
      </c>
      <c r="H616" s="3" t="n">
        <v>653</v>
      </c>
      <c r="I616" s="3" t="s">
        <v>22</v>
      </c>
      <c r="J616" s="3" t="n">
        <v>272</v>
      </c>
      <c r="K616" s="3" t="n">
        <v>0</v>
      </c>
      <c r="L616" s="3" t="n">
        <v>27.6</v>
      </c>
      <c r="M616" s="3" t="s">
        <v>127</v>
      </c>
      <c r="N616" s="3" t="n">
        <v>18</v>
      </c>
      <c r="O616" s="3" t="n">
        <v>-8.224</v>
      </c>
      <c r="P616" s="3" t="n">
        <v>118.467</v>
      </c>
      <c r="Q616" s="3" t="s">
        <v>1639</v>
      </c>
      <c r="R616" s="3"/>
      <c r="S616" s="3" t="s">
        <v>68</v>
      </c>
    </row>
    <row r="617" customFormat="false" ht="13.8" hidden="false" customHeight="false" outlineLevel="0" collapsed="false">
      <c r="A617" s="3" t="s">
        <v>1640</v>
      </c>
      <c r="B617" s="3" t="n">
        <v>6.5</v>
      </c>
      <c r="C617" s="3" t="s">
        <v>1641</v>
      </c>
      <c r="D617" s="3" t="n">
        <v>7</v>
      </c>
      <c r="E617" s="3" t="n">
        <v>7</v>
      </c>
      <c r="F617" s="3"/>
      <c r="G617" s="3" t="n">
        <v>0</v>
      </c>
      <c r="H617" s="3" t="n">
        <v>657</v>
      </c>
      <c r="I617" s="3" t="s">
        <v>22</v>
      </c>
      <c r="J617" s="3" t="n">
        <v>353</v>
      </c>
      <c r="K617" s="3" t="n">
        <v>0</v>
      </c>
      <c r="L617" s="3" t="n">
        <v>27.5</v>
      </c>
      <c r="M617" s="3" t="s">
        <v>127</v>
      </c>
      <c r="N617" s="3" t="n">
        <v>20</v>
      </c>
      <c r="O617" s="3" t="n">
        <v>-8.292</v>
      </c>
      <c r="P617" s="3" t="n">
        <v>118.37</v>
      </c>
      <c r="Q617" s="3" t="s">
        <v>1639</v>
      </c>
      <c r="R617" s="3"/>
      <c r="S617" s="3" t="s">
        <v>68</v>
      </c>
    </row>
    <row r="618" customFormat="false" ht="13.8" hidden="false" customHeight="false" outlineLevel="0" collapsed="false">
      <c r="A618" s="3" t="s">
        <v>1642</v>
      </c>
      <c r="B618" s="3" t="n">
        <v>6.8</v>
      </c>
      <c r="C618" s="3" t="s">
        <v>1643</v>
      </c>
      <c r="D618" s="3" t="n">
        <v>6</v>
      </c>
      <c r="E618" s="3" t="n">
        <v>6</v>
      </c>
      <c r="F618" s="3"/>
      <c r="G618" s="3" t="n">
        <v>0</v>
      </c>
      <c r="H618" s="3" t="n">
        <v>722</v>
      </c>
      <c r="I618" s="3" t="s">
        <v>22</v>
      </c>
      <c r="J618" s="3" t="n">
        <v>341</v>
      </c>
      <c r="K618" s="3" t="n">
        <v>0</v>
      </c>
      <c r="L618" s="3" t="n">
        <v>15.9</v>
      </c>
      <c r="M618" s="3" t="s">
        <v>127</v>
      </c>
      <c r="N618" s="3" t="n">
        <v>53</v>
      </c>
      <c r="O618" s="3" t="n">
        <v>-5.757</v>
      </c>
      <c r="P618" s="3" t="n">
        <v>147.098</v>
      </c>
      <c r="Q618" s="3" t="s">
        <v>1278</v>
      </c>
      <c r="R618" s="3"/>
      <c r="S618" s="3" t="s">
        <v>85</v>
      </c>
    </row>
    <row r="619" customFormat="false" ht="13.8" hidden="false" customHeight="false" outlineLevel="0" collapsed="false">
      <c r="A619" s="3" t="s">
        <v>1644</v>
      </c>
      <c r="B619" s="3" t="n">
        <v>6.8</v>
      </c>
      <c r="C619" s="3" t="s">
        <v>1645</v>
      </c>
      <c r="D619" s="3" t="n">
        <v>7</v>
      </c>
      <c r="E619" s="3" t="n">
        <v>6</v>
      </c>
      <c r="F619" s="3"/>
      <c r="G619" s="3" t="n">
        <v>0</v>
      </c>
      <c r="H619" s="3" t="n">
        <v>790</v>
      </c>
      <c r="I619" s="3" t="s">
        <v>22</v>
      </c>
      <c r="J619" s="3" t="n">
        <v>649</v>
      </c>
      <c r="K619" s="3" t="n">
        <v>0</v>
      </c>
      <c r="L619" s="3" t="n">
        <v>27</v>
      </c>
      <c r="M619" s="3" t="s">
        <v>127</v>
      </c>
      <c r="N619" s="3" t="n">
        <v>122.9</v>
      </c>
      <c r="O619" s="3" t="n">
        <v>-2.312</v>
      </c>
      <c r="P619" s="3" t="n">
        <v>-77.838</v>
      </c>
      <c r="Q619" s="3" t="s">
        <v>1646</v>
      </c>
      <c r="R619" s="3" t="s">
        <v>33</v>
      </c>
      <c r="S619" s="3" t="s">
        <v>96</v>
      </c>
    </row>
    <row r="620" customFormat="false" ht="13.8" hidden="false" customHeight="false" outlineLevel="0" collapsed="false">
      <c r="A620" s="3" t="s">
        <v>1647</v>
      </c>
      <c r="B620" s="3" t="n">
        <v>6.8</v>
      </c>
      <c r="C620" s="3" t="s">
        <v>1648</v>
      </c>
      <c r="D620" s="3" t="n">
        <v>6</v>
      </c>
      <c r="E620" s="3" t="n">
        <v>7</v>
      </c>
      <c r="F620" s="3"/>
      <c r="G620" s="3" t="n">
        <v>0</v>
      </c>
      <c r="H620" s="3" t="n">
        <v>716</v>
      </c>
      <c r="I620" s="3" t="s">
        <v>22</v>
      </c>
      <c r="J620" s="3" t="n">
        <v>285</v>
      </c>
      <c r="K620" s="3" t="n">
        <v>0</v>
      </c>
      <c r="L620" s="3" t="n">
        <v>40.1</v>
      </c>
      <c r="M620" s="3" t="s">
        <v>127</v>
      </c>
      <c r="N620" s="3" t="n">
        <v>26</v>
      </c>
      <c r="O620" s="3" t="n">
        <v>-22.925</v>
      </c>
      <c r="P620" s="3" t="n">
        <v>-70.237</v>
      </c>
      <c r="Q620" s="3" t="s">
        <v>1630</v>
      </c>
      <c r="R620" s="3" t="s">
        <v>33</v>
      </c>
      <c r="S620" s="3" t="s">
        <v>373</v>
      </c>
    </row>
    <row r="621" customFormat="false" ht="13.8" hidden="false" customHeight="false" outlineLevel="0" collapsed="false">
      <c r="A621" s="3" t="s">
        <v>1649</v>
      </c>
      <c r="B621" s="3" t="n">
        <v>7.7</v>
      </c>
      <c r="C621" s="3" t="s">
        <v>1650</v>
      </c>
      <c r="D621" s="3" t="n">
        <v>8</v>
      </c>
      <c r="E621" s="3" t="n">
        <v>7</v>
      </c>
      <c r="F621" s="3"/>
      <c r="G621" s="3" t="n">
        <v>0</v>
      </c>
      <c r="H621" s="3" t="n">
        <v>995</v>
      </c>
      <c r="I621" s="3" t="s">
        <v>22</v>
      </c>
      <c r="J621" s="3" t="n">
        <v>610</v>
      </c>
      <c r="K621" s="3" t="n">
        <v>0</v>
      </c>
      <c r="L621" s="3" t="n">
        <v>22.4</v>
      </c>
      <c r="M621" s="3" t="s">
        <v>127</v>
      </c>
      <c r="N621" s="3" t="n">
        <v>40</v>
      </c>
      <c r="O621" s="3" t="n">
        <v>-22.247</v>
      </c>
      <c r="P621" s="3" t="n">
        <v>-69.89</v>
      </c>
      <c r="Q621" s="3" t="s">
        <v>1651</v>
      </c>
      <c r="R621" s="3" t="s">
        <v>33</v>
      </c>
      <c r="S621" s="3" t="s">
        <v>373</v>
      </c>
    </row>
    <row r="622" customFormat="false" ht="13.8" hidden="false" customHeight="false" outlineLevel="0" collapsed="false">
      <c r="A622" s="3" t="s">
        <v>1652</v>
      </c>
      <c r="B622" s="3" t="n">
        <v>6.8</v>
      </c>
      <c r="C622" s="3" t="s">
        <v>1653</v>
      </c>
      <c r="D622" s="3" t="n">
        <v>3</v>
      </c>
      <c r="E622" s="3" t="n">
        <v>5</v>
      </c>
      <c r="F622" s="3"/>
      <c r="G622" s="3" t="n">
        <v>0</v>
      </c>
      <c r="H622" s="3" t="n">
        <v>713</v>
      </c>
      <c r="I622" s="3" t="s">
        <v>22</v>
      </c>
      <c r="J622" s="3" t="n">
        <v>494</v>
      </c>
      <c r="K622" s="3" t="n">
        <v>0</v>
      </c>
      <c r="L622" s="3" t="n">
        <v>23.9</v>
      </c>
      <c r="M622" s="3" t="s">
        <v>127</v>
      </c>
      <c r="N622" s="3" t="n">
        <v>21</v>
      </c>
      <c r="O622" s="3" t="n">
        <v>-3.899</v>
      </c>
      <c r="P622" s="3" t="n">
        <v>101.02</v>
      </c>
      <c r="Q622" s="3" t="s">
        <v>143</v>
      </c>
      <c r="R622" s="3"/>
      <c r="S622" s="3" t="s">
        <v>68</v>
      </c>
    </row>
    <row r="623" customFormat="false" ht="13.8" hidden="false" customHeight="false" outlineLevel="0" collapsed="false">
      <c r="A623" s="3" t="s">
        <v>1654</v>
      </c>
      <c r="B623" s="3" t="n">
        <v>6.8</v>
      </c>
      <c r="C623" s="3" t="s">
        <v>1655</v>
      </c>
      <c r="D623" s="3" t="n">
        <v>4</v>
      </c>
      <c r="E623" s="3" t="n">
        <v>7</v>
      </c>
      <c r="F623" s="3"/>
      <c r="G623" s="3" t="n">
        <v>0</v>
      </c>
      <c r="H623" s="3" t="n">
        <v>744</v>
      </c>
      <c r="I623" s="3" t="s">
        <v>22</v>
      </c>
      <c r="J623" s="3" t="n">
        <v>338</v>
      </c>
      <c r="K623" s="3" t="n">
        <v>0</v>
      </c>
      <c r="L623" s="3" t="n">
        <v>19</v>
      </c>
      <c r="M623" s="3" t="s">
        <v>127</v>
      </c>
      <c r="N623" s="3" t="n">
        <v>18</v>
      </c>
      <c r="O623" s="3" t="n">
        <v>-44.796</v>
      </c>
      <c r="P623" s="3" t="n">
        <v>167.553</v>
      </c>
      <c r="Q623" s="3" t="s">
        <v>1547</v>
      </c>
      <c r="R623" s="3"/>
      <c r="S623" s="3" t="s">
        <v>774</v>
      </c>
    </row>
    <row r="624" customFormat="false" ht="13.8" hidden="false" customHeight="false" outlineLevel="0" collapsed="false">
      <c r="A624" s="3" t="s">
        <v>1656</v>
      </c>
      <c r="B624" s="3" t="n">
        <v>6.8</v>
      </c>
      <c r="C624" s="3" t="s">
        <v>1657</v>
      </c>
      <c r="D624" s="3" t="n">
        <v>4</v>
      </c>
      <c r="E624" s="3" t="n">
        <v>5</v>
      </c>
      <c r="F624" s="3"/>
      <c r="G624" s="3" t="n">
        <v>0</v>
      </c>
      <c r="H624" s="3" t="n">
        <v>713</v>
      </c>
      <c r="I624" s="3" t="s">
        <v>22</v>
      </c>
      <c r="J624" s="3" t="n">
        <v>348</v>
      </c>
      <c r="K624" s="3" t="n">
        <v>0</v>
      </c>
      <c r="L624" s="3" t="n">
        <v>15.5</v>
      </c>
      <c r="M624" s="3" t="s">
        <v>127</v>
      </c>
      <c r="N624" s="3" t="n">
        <v>40</v>
      </c>
      <c r="O624" s="3" t="n">
        <v>-4.99</v>
      </c>
      <c r="P624" s="3" t="n">
        <v>153.5</v>
      </c>
      <c r="Q624" s="3" t="s">
        <v>625</v>
      </c>
      <c r="R624" s="3"/>
      <c r="S624" s="3" t="s">
        <v>85</v>
      </c>
    </row>
    <row r="625" customFormat="false" ht="13.8" hidden="false" customHeight="false" outlineLevel="0" collapsed="false">
      <c r="A625" s="3" t="s">
        <v>1658</v>
      </c>
      <c r="B625" s="3" t="n">
        <v>6.7</v>
      </c>
      <c r="C625" s="3" t="s">
        <v>1659</v>
      </c>
      <c r="D625" s="3" t="n">
        <v>3</v>
      </c>
      <c r="E625" s="3" t="n">
        <v>5</v>
      </c>
      <c r="F625" s="3"/>
      <c r="G625" s="3" t="n">
        <v>0</v>
      </c>
      <c r="H625" s="3" t="n">
        <v>696</v>
      </c>
      <c r="I625" s="3" t="s">
        <v>22</v>
      </c>
      <c r="J625" s="3" t="n">
        <v>503</v>
      </c>
      <c r="K625" s="3" t="n">
        <v>0</v>
      </c>
      <c r="L625" s="3" t="n">
        <v>26.9</v>
      </c>
      <c r="M625" s="3" t="s">
        <v>127</v>
      </c>
      <c r="N625" s="3" t="n">
        <v>30</v>
      </c>
      <c r="O625" s="3" t="n">
        <v>-1.999</v>
      </c>
      <c r="P625" s="3" t="n">
        <v>100.141</v>
      </c>
      <c r="Q625" s="3" t="s">
        <v>1533</v>
      </c>
      <c r="R625" s="3"/>
      <c r="S625" s="3" t="s">
        <v>68</v>
      </c>
    </row>
    <row r="626" customFormat="false" ht="13.8" hidden="false" customHeight="false" outlineLevel="0" collapsed="false">
      <c r="A626" s="3" t="s">
        <v>1660</v>
      </c>
      <c r="B626" s="3" t="n">
        <v>7</v>
      </c>
      <c r="C626" s="3" t="s">
        <v>1661</v>
      </c>
      <c r="D626" s="3" t="n">
        <v>4</v>
      </c>
      <c r="E626" s="3" t="n">
        <v>7</v>
      </c>
      <c r="F626" s="3"/>
      <c r="G626" s="3" t="n">
        <v>0</v>
      </c>
      <c r="H626" s="3" t="n">
        <v>768</v>
      </c>
      <c r="I626" s="3" t="s">
        <v>22</v>
      </c>
      <c r="J626" s="3" t="n">
        <v>537</v>
      </c>
      <c r="K626" s="3" t="n">
        <v>0</v>
      </c>
      <c r="L626" s="3" t="n">
        <v>23.1</v>
      </c>
      <c r="M626" s="3" t="s">
        <v>127</v>
      </c>
      <c r="N626" s="3" t="n">
        <v>22</v>
      </c>
      <c r="O626" s="3" t="n">
        <v>-2.13</v>
      </c>
      <c r="P626" s="3" t="n">
        <v>99.627</v>
      </c>
      <c r="Q626" s="3" t="s">
        <v>1533</v>
      </c>
      <c r="R626" s="3"/>
      <c r="S626" s="3" t="s">
        <v>68</v>
      </c>
    </row>
    <row r="627" customFormat="false" ht="13.8" hidden="false" customHeight="false" outlineLevel="0" collapsed="false">
      <c r="A627" s="3" t="s">
        <v>1662</v>
      </c>
      <c r="B627" s="3" t="n">
        <v>6.5</v>
      </c>
      <c r="C627" s="3" t="s">
        <v>1663</v>
      </c>
      <c r="D627" s="3" t="n">
        <v>0</v>
      </c>
      <c r="E627" s="3" t="n">
        <v>5</v>
      </c>
      <c r="F627" s="3"/>
      <c r="G627" s="3" t="n">
        <v>0</v>
      </c>
      <c r="H627" s="3" t="n">
        <v>650</v>
      </c>
      <c r="I627" s="3" t="s">
        <v>22</v>
      </c>
      <c r="J627" s="3" t="n">
        <v>409</v>
      </c>
      <c r="K627" s="3" t="n">
        <v>0</v>
      </c>
      <c r="L627" s="3" t="n">
        <v>26.2</v>
      </c>
      <c r="M627" s="3" t="s">
        <v>127</v>
      </c>
      <c r="N627" s="3" t="n">
        <v>28.9</v>
      </c>
      <c r="O627" s="3" t="n">
        <v>-1.689</v>
      </c>
      <c r="P627" s="3" t="n">
        <v>99.668</v>
      </c>
      <c r="Q627" s="3" t="s">
        <v>1664</v>
      </c>
      <c r="R627" s="3"/>
      <c r="S627" s="3" t="s">
        <v>68</v>
      </c>
    </row>
    <row r="628" customFormat="false" ht="13.8" hidden="false" customHeight="false" outlineLevel="0" collapsed="false">
      <c r="A628" s="3" t="s">
        <v>1665</v>
      </c>
      <c r="B628" s="3" t="n">
        <v>7.9</v>
      </c>
      <c r="C628" s="3" t="s">
        <v>1666</v>
      </c>
      <c r="D628" s="3" t="n">
        <v>8</v>
      </c>
      <c r="E628" s="3" t="n">
        <v>7</v>
      </c>
      <c r="F628" s="3"/>
      <c r="G628" s="3" t="n">
        <v>0</v>
      </c>
      <c r="H628" s="3" t="n">
        <v>1133</v>
      </c>
      <c r="I628" s="3" t="s">
        <v>22</v>
      </c>
      <c r="J628" s="3" t="n">
        <v>446</v>
      </c>
      <c r="K628" s="3" t="n">
        <v>0</v>
      </c>
      <c r="L628" s="3" t="n">
        <v>29.1</v>
      </c>
      <c r="M628" s="3" t="s">
        <v>127</v>
      </c>
      <c r="N628" s="3" t="n">
        <v>35</v>
      </c>
      <c r="O628" s="3" t="n">
        <v>-2.625</v>
      </c>
      <c r="P628" s="3" t="n">
        <v>100.841</v>
      </c>
      <c r="Q628" s="3" t="s">
        <v>809</v>
      </c>
      <c r="R628" s="3"/>
      <c r="S628" s="3" t="s">
        <v>68</v>
      </c>
    </row>
    <row r="629" customFormat="false" ht="13.8" hidden="false" customHeight="false" outlineLevel="0" collapsed="false">
      <c r="A629" s="3" t="s">
        <v>1667</v>
      </c>
      <c r="B629" s="3" t="n">
        <v>7.8</v>
      </c>
      <c r="C629" s="3" t="s">
        <v>1666</v>
      </c>
      <c r="D629" s="3" t="n">
        <v>7</v>
      </c>
      <c r="E629" s="3" t="n">
        <v>8</v>
      </c>
      <c r="F629" s="3"/>
      <c r="G629" s="3" t="n">
        <v>0</v>
      </c>
      <c r="H629" s="3" t="n">
        <v>1152</v>
      </c>
      <c r="I629" s="3" t="s">
        <v>1589</v>
      </c>
      <c r="J629" s="3" t="n">
        <v>0</v>
      </c>
      <c r="K629" s="3" t="n">
        <v>0</v>
      </c>
      <c r="L629" s="3" t="n">
        <v>0</v>
      </c>
      <c r="M629" s="3" t="s">
        <v>23</v>
      </c>
      <c r="N629" s="3" t="n">
        <v>40.5</v>
      </c>
      <c r="O629" s="3" t="n">
        <v>-2.52</v>
      </c>
      <c r="P629" s="3" t="n">
        <v>100.139</v>
      </c>
      <c r="Q629" s="3" t="s">
        <v>809</v>
      </c>
      <c r="R629" s="3" t="s">
        <v>80</v>
      </c>
      <c r="S629" s="3" t="s">
        <v>68</v>
      </c>
    </row>
    <row r="630" customFormat="false" ht="13.8" hidden="false" customHeight="false" outlineLevel="0" collapsed="false">
      <c r="A630" s="3" t="s">
        <v>1668</v>
      </c>
      <c r="B630" s="3" t="n">
        <v>8.4</v>
      </c>
      <c r="C630" s="3" t="s">
        <v>1669</v>
      </c>
      <c r="D630" s="3" t="n">
        <v>0</v>
      </c>
      <c r="E630" s="3" t="n">
        <v>6</v>
      </c>
      <c r="F630" s="3"/>
      <c r="G630" s="3" t="n">
        <v>0</v>
      </c>
      <c r="H630" s="3" t="n">
        <v>1086</v>
      </c>
      <c r="I630" s="3" t="s">
        <v>1293</v>
      </c>
      <c r="J630" s="3" t="n">
        <v>411</v>
      </c>
      <c r="K630" s="3" t="n">
        <v>0</v>
      </c>
      <c r="L630" s="3" t="n">
        <v>32.3</v>
      </c>
      <c r="M630" s="3" t="s">
        <v>23</v>
      </c>
      <c r="N630" s="3" t="n">
        <v>34</v>
      </c>
      <c r="O630" s="3" t="n">
        <v>-4.438</v>
      </c>
      <c r="P630" s="3" t="n">
        <v>101.367</v>
      </c>
      <c r="Q630" s="3" t="s">
        <v>143</v>
      </c>
      <c r="R630" s="3"/>
      <c r="S630" s="3" t="s">
        <v>68</v>
      </c>
    </row>
    <row r="631" customFormat="false" ht="13.8" hidden="false" customHeight="false" outlineLevel="0" collapsed="false">
      <c r="A631" s="3" t="s">
        <v>1670</v>
      </c>
      <c r="B631" s="3" t="n">
        <v>6.8</v>
      </c>
      <c r="C631" s="3" t="s">
        <v>1671</v>
      </c>
      <c r="D631" s="3" t="n">
        <v>5</v>
      </c>
      <c r="E631" s="3" t="n">
        <v>6</v>
      </c>
      <c r="F631" s="3"/>
      <c r="G631" s="3" t="n">
        <v>0</v>
      </c>
      <c r="H631" s="3" t="n">
        <v>747</v>
      </c>
      <c r="I631" s="3" t="s">
        <v>22</v>
      </c>
      <c r="J631" s="3" t="n">
        <v>653</v>
      </c>
      <c r="K631" s="3" t="n">
        <v>0</v>
      </c>
      <c r="L631" s="3" t="n">
        <v>17.6</v>
      </c>
      <c r="M631" s="3" t="s">
        <v>127</v>
      </c>
      <c r="N631" s="3" t="n">
        <v>15</v>
      </c>
      <c r="O631" s="3" t="n">
        <v>2.966</v>
      </c>
      <c r="P631" s="3" t="n">
        <v>-77.963</v>
      </c>
      <c r="Q631" s="3" t="s">
        <v>1672</v>
      </c>
      <c r="R631" s="3"/>
      <c r="S631" s="3" t="s">
        <v>54</v>
      </c>
    </row>
    <row r="632" customFormat="false" ht="13.8" hidden="false" customHeight="false" outlineLevel="0" collapsed="false">
      <c r="A632" s="3" t="s">
        <v>1673</v>
      </c>
      <c r="B632" s="3" t="n">
        <v>7.2</v>
      </c>
      <c r="C632" s="3" t="s">
        <v>1674</v>
      </c>
      <c r="D632" s="3" t="n">
        <v>0</v>
      </c>
      <c r="E632" s="3" t="n">
        <v>5</v>
      </c>
      <c r="F632" s="3"/>
      <c r="G632" s="3" t="n">
        <v>0</v>
      </c>
      <c r="H632" s="3" t="n">
        <v>798</v>
      </c>
      <c r="I632" s="3" t="s">
        <v>22</v>
      </c>
      <c r="J632" s="3" t="n">
        <v>312</v>
      </c>
      <c r="K632" s="3" t="n">
        <v>0</v>
      </c>
      <c r="L632" s="3" t="n">
        <v>21.3</v>
      </c>
      <c r="M632" s="3" t="s">
        <v>127</v>
      </c>
      <c r="N632" s="3" t="n">
        <v>35</v>
      </c>
      <c r="O632" s="3" t="n">
        <v>-11.61</v>
      </c>
      <c r="P632" s="3" t="n">
        <v>165.762</v>
      </c>
      <c r="Q632" s="3" t="s">
        <v>412</v>
      </c>
      <c r="R632" s="3"/>
      <c r="S632" s="3"/>
    </row>
    <row r="633" customFormat="false" ht="13.8" hidden="false" customHeight="false" outlineLevel="0" collapsed="false">
      <c r="A633" s="3" t="s">
        <v>1675</v>
      </c>
      <c r="B633" s="3" t="n">
        <v>6.5</v>
      </c>
      <c r="C633" s="3" t="s">
        <v>1676</v>
      </c>
      <c r="D633" s="3" t="n">
        <v>5</v>
      </c>
      <c r="E633" s="3" t="n">
        <v>6</v>
      </c>
      <c r="F633" s="3"/>
      <c r="G633" s="3" t="n">
        <v>0</v>
      </c>
      <c r="H633" s="3" t="n">
        <v>675</v>
      </c>
      <c r="I633" s="3" t="s">
        <v>22</v>
      </c>
      <c r="J633" s="3" t="n">
        <v>382</v>
      </c>
      <c r="K633" s="3" t="n">
        <v>0</v>
      </c>
      <c r="L633" s="3" t="n">
        <v>12.8</v>
      </c>
      <c r="M633" s="3" t="s">
        <v>127</v>
      </c>
      <c r="N633" s="3" t="n">
        <v>15</v>
      </c>
      <c r="O633" s="3" t="n">
        <v>-9.834</v>
      </c>
      <c r="P633" s="3" t="n">
        <v>159.465</v>
      </c>
      <c r="Q633" s="3" t="s">
        <v>138</v>
      </c>
      <c r="R633" s="3"/>
      <c r="S633" s="3"/>
    </row>
    <row r="634" customFormat="false" ht="13.8" hidden="false" customHeight="false" outlineLevel="0" collapsed="false">
      <c r="A634" s="3" t="s">
        <v>1677</v>
      </c>
      <c r="B634" s="3" t="n">
        <v>8</v>
      </c>
      <c r="C634" s="3" t="s">
        <v>1678</v>
      </c>
      <c r="D634" s="3" t="n">
        <v>9</v>
      </c>
      <c r="E634" s="3" t="n">
        <v>8</v>
      </c>
      <c r="F634" s="3"/>
      <c r="G634" s="3" t="n">
        <v>0</v>
      </c>
      <c r="H634" s="3" t="n">
        <v>1385</v>
      </c>
      <c r="I634" s="3" t="s">
        <v>22</v>
      </c>
      <c r="J634" s="3" t="n">
        <v>625</v>
      </c>
      <c r="K634" s="3" t="n">
        <v>0</v>
      </c>
      <c r="L634" s="3" t="n">
        <v>25.7</v>
      </c>
      <c r="M634" s="3" t="s">
        <v>127</v>
      </c>
      <c r="N634" s="3" t="n">
        <v>39</v>
      </c>
      <c r="O634" s="3" t="n">
        <v>-13.386</v>
      </c>
      <c r="P634" s="3" t="n">
        <v>-76.603</v>
      </c>
      <c r="Q634" s="3" t="s">
        <v>1679</v>
      </c>
      <c r="R634" s="3"/>
      <c r="S634" s="3" t="s">
        <v>199</v>
      </c>
    </row>
    <row r="635" customFormat="false" ht="13.8" hidden="false" customHeight="false" outlineLevel="0" collapsed="false">
      <c r="A635" s="3" t="s">
        <v>1680</v>
      </c>
      <c r="B635" s="3" t="n">
        <v>7.5</v>
      </c>
      <c r="C635" s="3" t="s">
        <v>1681</v>
      </c>
      <c r="D635" s="3" t="n">
        <v>0</v>
      </c>
      <c r="E635" s="3" t="n">
        <v>5</v>
      </c>
      <c r="F635" s="3"/>
      <c r="G635" s="3" t="n">
        <v>0</v>
      </c>
      <c r="H635" s="3" t="n">
        <v>865</v>
      </c>
      <c r="I635" s="3" t="s">
        <v>22</v>
      </c>
      <c r="J635" s="3" t="n">
        <v>228</v>
      </c>
      <c r="K635" s="3" t="n">
        <v>0</v>
      </c>
      <c r="L635" s="3" t="n">
        <v>30.7</v>
      </c>
      <c r="M635" s="3" t="s">
        <v>127</v>
      </c>
      <c r="N635" s="3" t="n">
        <v>280</v>
      </c>
      <c r="O635" s="3" t="n">
        <v>-5.859</v>
      </c>
      <c r="P635" s="3" t="n">
        <v>107.419</v>
      </c>
      <c r="Q635" s="3" t="s">
        <v>1682</v>
      </c>
      <c r="R635" s="3"/>
      <c r="S635" s="3" t="s">
        <v>68</v>
      </c>
    </row>
    <row r="636" customFormat="false" ht="13.8" hidden="false" customHeight="false" outlineLevel="0" collapsed="false">
      <c r="A636" s="3" t="s">
        <v>1683</v>
      </c>
      <c r="B636" s="3" t="n">
        <v>7.2</v>
      </c>
      <c r="C636" s="3" t="s">
        <v>1684</v>
      </c>
      <c r="D636" s="3" t="n">
        <v>7</v>
      </c>
      <c r="E636" s="3" t="n">
        <v>7</v>
      </c>
      <c r="F636" s="3"/>
      <c r="G636" s="3" t="n">
        <v>0</v>
      </c>
      <c r="H636" s="3" t="n">
        <v>803</v>
      </c>
      <c r="I636" s="3" t="s">
        <v>22</v>
      </c>
      <c r="J636" s="3" t="n">
        <v>494</v>
      </c>
      <c r="K636" s="3" t="n">
        <v>0</v>
      </c>
      <c r="L636" s="3" t="n">
        <v>20.4</v>
      </c>
      <c r="M636" s="3" t="s">
        <v>154</v>
      </c>
      <c r="N636" s="3" t="n">
        <v>120</v>
      </c>
      <c r="O636" s="3" t="n">
        <v>-15.595</v>
      </c>
      <c r="P636" s="3" t="n">
        <v>167.68</v>
      </c>
      <c r="Q636" s="3" t="s">
        <v>1685</v>
      </c>
      <c r="R636" s="3"/>
      <c r="S636" s="3" t="s">
        <v>25</v>
      </c>
    </row>
    <row r="637" customFormat="false" ht="13.8" hidden="false" customHeight="false" outlineLevel="0" collapsed="false">
      <c r="A637" s="3" t="s">
        <v>1686</v>
      </c>
      <c r="B637" s="3" t="n">
        <v>6.9</v>
      </c>
      <c r="C637" s="3" t="s">
        <v>1687</v>
      </c>
      <c r="D637" s="3" t="n">
        <v>3</v>
      </c>
      <c r="E637" s="3" t="n">
        <v>5</v>
      </c>
      <c r="F637" s="3"/>
      <c r="G637" s="3" t="n">
        <v>0</v>
      </c>
      <c r="H637" s="3" t="n">
        <v>734</v>
      </c>
      <c r="I637" s="3" t="s">
        <v>22</v>
      </c>
      <c r="J637" s="3" t="n">
        <v>374</v>
      </c>
      <c r="K637" s="3" t="n">
        <v>0</v>
      </c>
      <c r="L637" s="3" t="n">
        <v>24.1</v>
      </c>
      <c r="M637" s="3" t="s">
        <v>154</v>
      </c>
      <c r="N637" s="3" t="n">
        <v>25</v>
      </c>
      <c r="O637" s="3" t="n">
        <v>2.872</v>
      </c>
      <c r="P637" s="3" t="n">
        <v>127.464</v>
      </c>
      <c r="Q637" s="3" t="s">
        <v>128</v>
      </c>
      <c r="R637" s="3"/>
      <c r="S637" s="3" t="s">
        <v>68</v>
      </c>
    </row>
    <row r="638" customFormat="false" ht="13.8" hidden="false" customHeight="false" outlineLevel="0" collapsed="false">
      <c r="A638" s="3" t="s">
        <v>1688</v>
      </c>
      <c r="B638" s="3" t="n">
        <v>6.8</v>
      </c>
      <c r="C638" s="3" t="s">
        <v>1689</v>
      </c>
      <c r="D638" s="3" t="n">
        <v>5</v>
      </c>
      <c r="E638" s="3" t="n">
        <v>4</v>
      </c>
      <c r="F638" s="3"/>
      <c r="G638" s="3" t="n">
        <v>0</v>
      </c>
      <c r="H638" s="3" t="n">
        <v>779</v>
      </c>
      <c r="I638" s="3" t="s">
        <v>22</v>
      </c>
      <c r="J638" s="3" t="n">
        <v>664</v>
      </c>
      <c r="K638" s="3" t="n">
        <v>0</v>
      </c>
      <c r="L638" s="3" t="n">
        <v>18.2</v>
      </c>
      <c r="M638" s="3" t="s">
        <v>154</v>
      </c>
      <c r="N638" s="3" t="n">
        <v>350.4</v>
      </c>
      <c r="O638" s="3" t="n">
        <v>36.808</v>
      </c>
      <c r="P638" s="3" t="n">
        <v>134.85</v>
      </c>
      <c r="Q638" s="3" t="s">
        <v>1690</v>
      </c>
      <c r="R638" s="3"/>
      <c r="S638" s="3"/>
    </row>
    <row r="639" customFormat="false" ht="13.8" hidden="false" customHeight="false" outlineLevel="0" collapsed="false">
      <c r="A639" s="3" t="s">
        <v>1691</v>
      </c>
      <c r="B639" s="3" t="n">
        <v>6.6</v>
      </c>
      <c r="C639" s="3" t="s">
        <v>1692</v>
      </c>
      <c r="D639" s="3" t="n">
        <v>8</v>
      </c>
      <c r="E639" s="3" t="n">
        <v>8</v>
      </c>
      <c r="F639" s="3"/>
      <c r="G639" s="3" t="n">
        <v>0</v>
      </c>
      <c r="H639" s="3" t="n">
        <v>831</v>
      </c>
      <c r="I639" s="3" t="s">
        <v>22</v>
      </c>
      <c r="J639" s="3" t="n">
        <v>782</v>
      </c>
      <c r="K639" s="3" t="n">
        <v>0</v>
      </c>
      <c r="L639" s="3" t="n">
        <v>16.7</v>
      </c>
      <c r="M639" s="3" t="s">
        <v>127</v>
      </c>
      <c r="N639" s="3" t="n">
        <v>12</v>
      </c>
      <c r="O639" s="3" t="n">
        <v>37.535</v>
      </c>
      <c r="P639" s="3" t="n">
        <v>138.446</v>
      </c>
      <c r="Q639" s="3" t="s">
        <v>1693</v>
      </c>
      <c r="R639" s="3" t="s">
        <v>80</v>
      </c>
      <c r="S639" s="3" t="s">
        <v>322</v>
      </c>
    </row>
    <row r="640" customFormat="false" ht="13.8" hidden="false" customHeight="false" outlineLevel="0" collapsed="false">
      <c r="A640" s="3" t="s">
        <v>1694</v>
      </c>
      <c r="B640" s="3" t="n">
        <v>6.7</v>
      </c>
      <c r="C640" s="3" t="s">
        <v>1695</v>
      </c>
      <c r="D640" s="3" t="n">
        <v>6</v>
      </c>
      <c r="E640" s="3" t="n">
        <v>6</v>
      </c>
      <c r="F640" s="3"/>
      <c r="G640" s="3" t="n">
        <v>0</v>
      </c>
      <c r="H640" s="3" t="n">
        <v>972</v>
      </c>
      <c r="I640" s="3" t="s">
        <v>22</v>
      </c>
      <c r="J640" s="3" t="n">
        <v>468</v>
      </c>
      <c r="K640" s="3" t="n">
        <v>0</v>
      </c>
      <c r="L640" s="3" t="n">
        <v>37.7</v>
      </c>
      <c r="M640" s="3" t="s">
        <v>127</v>
      </c>
      <c r="N640" s="3" t="n">
        <v>23</v>
      </c>
      <c r="O640" s="3" t="n">
        <v>13.554</v>
      </c>
      <c r="P640" s="3" t="n">
        <v>-90.618</v>
      </c>
      <c r="Q640" s="3" t="s">
        <v>1696</v>
      </c>
      <c r="R640" s="3"/>
      <c r="S640" s="3"/>
    </row>
    <row r="641" customFormat="false" ht="13.8" hidden="false" customHeight="false" outlineLevel="0" collapsed="false">
      <c r="A641" s="3" t="s">
        <v>1697</v>
      </c>
      <c r="B641" s="3" t="n">
        <v>6.9</v>
      </c>
      <c r="C641" s="3" t="s">
        <v>1698</v>
      </c>
      <c r="D641" s="3" t="n">
        <v>0</v>
      </c>
      <c r="E641" s="3" t="n">
        <v>7</v>
      </c>
      <c r="F641" s="3"/>
      <c r="G641" s="3" t="n">
        <v>0</v>
      </c>
      <c r="H641" s="3" t="n">
        <v>732</v>
      </c>
      <c r="I641" s="3" t="s">
        <v>22</v>
      </c>
      <c r="J641" s="3" t="n">
        <v>305</v>
      </c>
      <c r="K641" s="3" t="n">
        <v>0</v>
      </c>
      <c r="L641" s="3" t="n">
        <v>15.3</v>
      </c>
      <c r="M641" s="3" t="s">
        <v>127</v>
      </c>
      <c r="N641" s="3" t="n">
        <v>10</v>
      </c>
      <c r="O641" s="3" t="n">
        <v>-7.306</v>
      </c>
      <c r="P641" s="3" t="n">
        <v>155.741</v>
      </c>
      <c r="Q641" s="3" t="s">
        <v>736</v>
      </c>
      <c r="R641" s="3"/>
      <c r="S641" s="3" t="s">
        <v>140</v>
      </c>
    </row>
    <row r="642" customFormat="false" ht="13.8" hidden="false" customHeight="false" outlineLevel="0" collapsed="false">
      <c r="A642" s="3" t="s">
        <v>1699</v>
      </c>
      <c r="B642" s="3" t="n">
        <v>6.6</v>
      </c>
      <c r="C642" s="3" t="s">
        <v>1700</v>
      </c>
      <c r="D642" s="3" t="n">
        <v>0</v>
      </c>
      <c r="E642" s="3" t="n">
        <v>7</v>
      </c>
      <c r="F642" s="3"/>
      <c r="G642" s="3" t="n">
        <v>0</v>
      </c>
      <c r="H642" s="3" t="n">
        <v>670</v>
      </c>
      <c r="I642" s="3" t="s">
        <v>22</v>
      </c>
      <c r="J642" s="3" t="n">
        <v>251</v>
      </c>
      <c r="K642" s="3" t="n">
        <v>0</v>
      </c>
      <c r="L642" s="3" t="n">
        <v>16</v>
      </c>
      <c r="M642" s="3" t="s">
        <v>1374</v>
      </c>
      <c r="N642" s="3" t="n">
        <v>10</v>
      </c>
      <c r="O642" s="3" t="n">
        <v>-7.169</v>
      </c>
      <c r="P642" s="3" t="n">
        <v>155.777</v>
      </c>
      <c r="Q642" s="3" t="s">
        <v>736</v>
      </c>
      <c r="R642" s="3"/>
      <c r="S642" s="3" t="s">
        <v>140</v>
      </c>
    </row>
    <row r="643" customFormat="false" ht="13.8" hidden="false" customHeight="false" outlineLevel="0" collapsed="false">
      <c r="A643" s="3" t="s">
        <v>1701</v>
      </c>
      <c r="B643" s="3" t="n">
        <v>8.1</v>
      </c>
      <c r="C643" s="3" t="s">
        <v>1702</v>
      </c>
      <c r="D643" s="3" t="n">
        <v>9</v>
      </c>
      <c r="E643" s="3" t="n">
        <v>8</v>
      </c>
      <c r="F643" s="3"/>
      <c r="G643" s="3" t="n">
        <v>0</v>
      </c>
      <c r="H643" s="3" t="n">
        <v>1025</v>
      </c>
      <c r="I643" s="3" t="s">
        <v>22</v>
      </c>
      <c r="J643" s="3" t="n">
        <v>439</v>
      </c>
      <c r="K643" s="3" t="n">
        <v>0</v>
      </c>
      <c r="L643" s="3" t="n">
        <v>14.7</v>
      </c>
      <c r="M643" s="3" t="s">
        <v>127</v>
      </c>
      <c r="N643" s="3" t="n">
        <v>24</v>
      </c>
      <c r="O643" s="3" t="n">
        <v>-8.466</v>
      </c>
      <c r="P643" s="3" t="n">
        <v>157.043</v>
      </c>
      <c r="Q643" s="3" t="s">
        <v>921</v>
      </c>
      <c r="R643" s="3"/>
      <c r="S643" s="3" t="s">
        <v>140</v>
      </c>
    </row>
    <row r="644" customFormat="false" ht="13.8" hidden="false" customHeight="false" outlineLevel="0" collapsed="false">
      <c r="A644" s="3" t="s">
        <v>1703</v>
      </c>
      <c r="B644" s="3" t="n">
        <v>6.7</v>
      </c>
      <c r="C644" s="3" t="s">
        <v>1704</v>
      </c>
      <c r="D644" s="3" t="n">
        <v>7</v>
      </c>
      <c r="E644" s="3" t="n">
        <v>8</v>
      </c>
      <c r="F644" s="3"/>
      <c r="G644" s="3" t="n">
        <v>0</v>
      </c>
      <c r="H644" s="3" t="n">
        <v>782</v>
      </c>
      <c r="I644" s="3" t="s">
        <v>22</v>
      </c>
      <c r="J644" s="3" t="n">
        <v>493</v>
      </c>
      <c r="K644" s="3" t="n">
        <v>0</v>
      </c>
      <c r="L644" s="3" t="n">
        <v>23.9</v>
      </c>
      <c r="M644" s="3" t="s">
        <v>127</v>
      </c>
      <c r="N644" s="3" t="n">
        <v>8</v>
      </c>
      <c r="O644" s="3" t="n">
        <v>37.336</v>
      </c>
      <c r="P644" s="3" t="n">
        <v>136.588</v>
      </c>
      <c r="Q644" s="3" t="s">
        <v>1705</v>
      </c>
      <c r="R644" s="3" t="s">
        <v>80</v>
      </c>
      <c r="S644" s="3" t="s">
        <v>322</v>
      </c>
    </row>
    <row r="645" customFormat="false" ht="13.8" hidden="false" customHeight="false" outlineLevel="0" collapsed="false">
      <c r="A645" s="3" t="s">
        <v>1706</v>
      </c>
      <c r="B645" s="3" t="n">
        <v>7.1</v>
      </c>
      <c r="C645" s="3" t="s">
        <v>1707</v>
      </c>
      <c r="D645" s="3" t="n">
        <v>3</v>
      </c>
      <c r="E645" s="3" t="n">
        <v>6</v>
      </c>
      <c r="F645" s="3"/>
      <c r="G645" s="3" t="n">
        <v>0</v>
      </c>
      <c r="H645" s="3" t="n">
        <v>779</v>
      </c>
      <c r="I645" s="3" t="s">
        <v>22</v>
      </c>
      <c r="J645" s="3" t="n">
        <v>426</v>
      </c>
      <c r="K645" s="3" t="n">
        <v>0</v>
      </c>
      <c r="L645" s="3" t="n">
        <v>25.3</v>
      </c>
      <c r="M645" s="3" t="s">
        <v>154</v>
      </c>
      <c r="N645" s="3" t="n">
        <v>34</v>
      </c>
      <c r="O645" s="3" t="n">
        <v>-20.617</v>
      </c>
      <c r="P645" s="3" t="n">
        <v>169.357</v>
      </c>
      <c r="Q645" s="3" t="s">
        <v>177</v>
      </c>
      <c r="R645" s="3"/>
      <c r="S645" s="3"/>
    </row>
    <row r="646" customFormat="false" ht="13.8" hidden="false" customHeight="false" outlineLevel="0" collapsed="false">
      <c r="A646" s="3" t="s">
        <v>1708</v>
      </c>
      <c r="B646" s="3" t="n">
        <v>6.7</v>
      </c>
      <c r="C646" s="3" t="s">
        <v>1709</v>
      </c>
      <c r="D646" s="3" t="n">
        <v>0</v>
      </c>
      <c r="E646" s="3" t="n">
        <v>6</v>
      </c>
      <c r="F646" s="3"/>
      <c r="G646" s="3" t="n">
        <v>0</v>
      </c>
      <c r="H646" s="3" t="n">
        <v>691</v>
      </c>
      <c r="I646" s="3" t="s">
        <v>22</v>
      </c>
      <c r="J646" s="3" t="n">
        <v>253</v>
      </c>
      <c r="K646" s="3" t="n">
        <v>0</v>
      </c>
      <c r="L646" s="3" t="n">
        <v>40.3</v>
      </c>
      <c r="M646" s="3" t="s">
        <v>127</v>
      </c>
      <c r="N646" s="3" t="n">
        <v>12</v>
      </c>
      <c r="O646" s="3" t="n">
        <v>-1.034</v>
      </c>
      <c r="P646" s="3" t="n">
        <v>126.976</v>
      </c>
      <c r="Q646" s="3" t="s">
        <v>1710</v>
      </c>
      <c r="R646" s="3"/>
      <c r="S646" s="3" t="s">
        <v>68</v>
      </c>
    </row>
    <row r="647" customFormat="false" ht="13.8" hidden="false" customHeight="false" outlineLevel="0" collapsed="false">
      <c r="A647" s="3" t="s">
        <v>1711</v>
      </c>
      <c r="B647" s="3" t="n">
        <v>7.5</v>
      </c>
      <c r="C647" s="3" t="s">
        <v>1712</v>
      </c>
      <c r="D647" s="3" t="n">
        <v>6</v>
      </c>
      <c r="E647" s="3" t="n">
        <v>5</v>
      </c>
      <c r="F647" s="3"/>
      <c r="G647" s="3" t="n">
        <v>0</v>
      </c>
      <c r="H647" s="3" t="n">
        <v>874</v>
      </c>
      <c r="I647" s="3" t="s">
        <v>22</v>
      </c>
      <c r="J647" s="3" t="n">
        <v>570</v>
      </c>
      <c r="K647" s="3" t="n">
        <v>0</v>
      </c>
      <c r="L647" s="3" t="n">
        <v>21.6</v>
      </c>
      <c r="M647" s="3" t="s">
        <v>127</v>
      </c>
      <c r="N647" s="3" t="n">
        <v>22</v>
      </c>
      <c r="O647" s="3" t="n">
        <v>1.065</v>
      </c>
      <c r="P647" s="3" t="n">
        <v>126.282</v>
      </c>
      <c r="Q647" s="3" t="s">
        <v>1002</v>
      </c>
      <c r="R647" s="3"/>
      <c r="S647" s="3" t="s">
        <v>68</v>
      </c>
    </row>
    <row r="648" customFormat="false" ht="13.8" hidden="false" customHeight="false" outlineLevel="0" collapsed="false">
      <c r="A648" s="3" t="s">
        <v>1713</v>
      </c>
      <c r="B648" s="3" t="n">
        <v>8.1</v>
      </c>
      <c r="C648" s="3" t="s">
        <v>1714</v>
      </c>
      <c r="D648" s="3" t="n">
        <v>4</v>
      </c>
      <c r="E648" s="3" t="n">
        <v>5</v>
      </c>
      <c r="F648" s="3"/>
      <c r="G648" s="3" t="n">
        <v>0</v>
      </c>
      <c r="H648" s="3" t="n">
        <v>1034</v>
      </c>
      <c r="I648" s="3" t="s">
        <v>22</v>
      </c>
      <c r="J648" s="3" t="n">
        <v>606</v>
      </c>
      <c r="K648" s="3" t="n">
        <v>0</v>
      </c>
      <c r="L648" s="3" t="n">
        <v>14</v>
      </c>
      <c r="M648" s="3" t="s">
        <v>127</v>
      </c>
      <c r="N648" s="3" t="n">
        <v>10</v>
      </c>
      <c r="O648" s="3" t="n">
        <v>46.243</v>
      </c>
      <c r="P648" s="3" t="n">
        <v>154.524</v>
      </c>
      <c r="Q648" s="3" t="s">
        <v>1715</v>
      </c>
      <c r="R648" s="3"/>
      <c r="S648" s="3"/>
    </row>
    <row r="649" customFormat="false" ht="13.8" hidden="false" customHeight="false" outlineLevel="0" collapsed="false">
      <c r="A649" s="3" t="s">
        <v>1716</v>
      </c>
      <c r="B649" s="3" t="n">
        <v>6.9</v>
      </c>
      <c r="C649" s="3" t="s">
        <v>1717</v>
      </c>
      <c r="D649" s="3" t="n">
        <v>6</v>
      </c>
      <c r="E649" s="3" t="n">
        <v>7</v>
      </c>
      <c r="F649" s="3"/>
      <c r="G649" s="3" t="n">
        <v>0</v>
      </c>
      <c r="H649" s="3" t="n">
        <v>798</v>
      </c>
      <c r="I649" s="3" t="s">
        <v>22</v>
      </c>
      <c r="J649" s="3" t="n">
        <v>466</v>
      </c>
      <c r="K649" s="3" t="n">
        <v>0</v>
      </c>
      <c r="L649" s="3" t="n">
        <v>31.6</v>
      </c>
      <c r="M649" s="3" t="s">
        <v>127</v>
      </c>
      <c r="N649" s="3" t="n">
        <v>10</v>
      </c>
      <c r="O649" s="3" t="n">
        <v>21.974</v>
      </c>
      <c r="P649" s="3" t="n">
        <v>120.493</v>
      </c>
      <c r="Q649" s="3" t="s">
        <v>1718</v>
      </c>
      <c r="R649" s="3" t="s">
        <v>80</v>
      </c>
      <c r="S649" s="3" t="s">
        <v>171</v>
      </c>
    </row>
    <row r="650" customFormat="false" ht="13.8" hidden="false" customHeight="false" outlineLevel="0" collapsed="false">
      <c r="A650" s="3" t="s">
        <v>1719</v>
      </c>
      <c r="B650" s="3" t="n">
        <v>7.1</v>
      </c>
      <c r="C650" s="3" t="s">
        <v>1720</v>
      </c>
      <c r="D650" s="3" t="n">
        <v>8</v>
      </c>
      <c r="E650" s="3" t="n">
        <v>7</v>
      </c>
      <c r="F650" s="3"/>
      <c r="G650" s="3" t="n">
        <v>0</v>
      </c>
      <c r="H650" s="3" t="n">
        <v>1023</v>
      </c>
      <c r="I650" s="3" t="s">
        <v>22</v>
      </c>
      <c r="J650" s="3" t="n">
        <v>744</v>
      </c>
      <c r="K650" s="3" t="n">
        <v>0</v>
      </c>
      <c r="L650" s="3" t="n">
        <v>29.1</v>
      </c>
      <c r="M650" s="3" t="s">
        <v>154</v>
      </c>
      <c r="N650" s="3" t="n">
        <v>10</v>
      </c>
      <c r="O650" s="3" t="n">
        <v>21.799</v>
      </c>
      <c r="P650" s="3" t="n">
        <v>120.547</v>
      </c>
      <c r="Q650" s="3" t="s">
        <v>1718</v>
      </c>
      <c r="R650" s="3" t="s">
        <v>80</v>
      </c>
      <c r="S650" s="3" t="s">
        <v>171</v>
      </c>
    </row>
    <row r="651" customFormat="false" ht="13.8" hidden="false" customHeight="false" outlineLevel="0" collapsed="false">
      <c r="A651" s="3" t="s">
        <v>1721</v>
      </c>
      <c r="B651" s="3" t="n">
        <v>8.3</v>
      </c>
      <c r="C651" s="3" t="s">
        <v>1722</v>
      </c>
      <c r="D651" s="3" t="n">
        <v>4</v>
      </c>
      <c r="E651" s="3" t="n">
        <v>7</v>
      </c>
      <c r="F651" s="3"/>
      <c r="G651" s="3" t="n">
        <v>0</v>
      </c>
      <c r="H651" s="3" t="n">
        <v>1064</v>
      </c>
      <c r="I651" s="3" t="s">
        <v>22</v>
      </c>
      <c r="J651" s="3" t="n">
        <v>576</v>
      </c>
      <c r="K651" s="3" t="n">
        <v>0</v>
      </c>
      <c r="L651" s="3" t="n">
        <v>20.9</v>
      </c>
      <c r="M651" s="3" t="s">
        <v>127</v>
      </c>
      <c r="N651" s="3" t="n">
        <v>10</v>
      </c>
      <c r="O651" s="3" t="n">
        <v>46.592</v>
      </c>
      <c r="P651" s="3" t="n">
        <v>153.266</v>
      </c>
      <c r="Q651" s="3" t="s">
        <v>1723</v>
      </c>
      <c r="R651" s="3"/>
      <c r="S651" s="3"/>
    </row>
    <row r="652" customFormat="false" ht="13.8" hidden="false" customHeight="false" outlineLevel="0" collapsed="false">
      <c r="A652" s="3" t="s">
        <v>1724</v>
      </c>
      <c r="B652" s="3" t="n">
        <v>6.6</v>
      </c>
      <c r="C652" s="3" t="s">
        <v>1725</v>
      </c>
      <c r="D652" s="3" t="n">
        <v>0</v>
      </c>
      <c r="E652" s="3" t="n">
        <v>6</v>
      </c>
      <c r="F652" s="3"/>
      <c r="G652" s="3" t="n">
        <v>0</v>
      </c>
      <c r="H652" s="3" t="n">
        <v>670</v>
      </c>
      <c r="I652" s="3" t="s">
        <v>22</v>
      </c>
      <c r="J652" s="3" t="n">
        <v>352</v>
      </c>
      <c r="K652" s="3" t="n">
        <v>0</v>
      </c>
      <c r="L652" s="3" t="n">
        <v>18.6</v>
      </c>
      <c r="M652" s="3" t="s">
        <v>127</v>
      </c>
      <c r="N652" s="3" t="n">
        <v>11</v>
      </c>
      <c r="O652" s="3" t="n">
        <v>-6.482</v>
      </c>
      <c r="P652" s="3" t="n">
        <v>151.195</v>
      </c>
      <c r="Q652" s="3" t="s">
        <v>107</v>
      </c>
      <c r="R652" s="3"/>
      <c r="S652" s="3"/>
    </row>
    <row r="653" customFormat="false" ht="13.8" hidden="false" customHeight="false" outlineLevel="0" collapsed="false">
      <c r="A653" s="3" t="s">
        <v>1726</v>
      </c>
      <c r="B653" s="3" t="n">
        <v>6.7</v>
      </c>
      <c r="C653" s="3" t="s">
        <v>1727</v>
      </c>
      <c r="D653" s="3" t="n">
        <v>5</v>
      </c>
      <c r="E653" s="3" t="n">
        <v>6</v>
      </c>
      <c r="F653" s="3"/>
      <c r="G653" s="3" t="n">
        <v>0</v>
      </c>
      <c r="H653" s="3" t="n">
        <v>732</v>
      </c>
      <c r="I653" s="3" t="s">
        <v>22</v>
      </c>
      <c r="J653" s="3" t="n">
        <v>444</v>
      </c>
      <c r="K653" s="3" t="n">
        <v>0</v>
      </c>
      <c r="L653" s="3" t="n">
        <v>53.4</v>
      </c>
      <c r="M653" s="3" t="s">
        <v>127</v>
      </c>
      <c r="N653" s="3" t="n">
        <v>23</v>
      </c>
      <c r="O653" s="3" t="n">
        <v>-13.457</v>
      </c>
      <c r="P653" s="3" t="n">
        <v>-76.677</v>
      </c>
      <c r="Q653" s="3" t="s">
        <v>1679</v>
      </c>
      <c r="R653" s="3"/>
      <c r="S653" s="3" t="s">
        <v>199</v>
      </c>
    </row>
    <row r="654" customFormat="false" ht="13.8" hidden="false" customHeight="false" outlineLevel="0" collapsed="false">
      <c r="A654" s="3" t="s">
        <v>1728</v>
      </c>
      <c r="B654" s="3" t="n">
        <v>6.7</v>
      </c>
      <c r="C654" s="3" t="s">
        <v>1729</v>
      </c>
      <c r="D654" s="3" t="n">
        <v>5</v>
      </c>
      <c r="E654" s="3" t="n">
        <v>6</v>
      </c>
      <c r="F654" s="3"/>
      <c r="G654" s="3" t="n">
        <v>0</v>
      </c>
      <c r="H654" s="3" t="n">
        <v>692</v>
      </c>
      <c r="I654" s="3" t="s">
        <v>22</v>
      </c>
      <c r="J654" s="3" t="n">
        <v>533</v>
      </c>
      <c r="K654" s="3" t="n">
        <v>0</v>
      </c>
      <c r="L654" s="3" t="n">
        <v>15.6</v>
      </c>
      <c r="M654" s="3" t="s">
        <v>127</v>
      </c>
      <c r="N654" s="3" t="n">
        <v>32</v>
      </c>
      <c r="O654" s="3" t="n">
        <v>-5.881</v>
      </c>
      <c r="P654" s="3" t="n">
        <v>150.982</v>
      </c>
      <c r="Q654" s="3" t="s">
        <v>107</v>
      </c>
      <c r="R654" s="3"/>
      <c r="S654" s="3" t="s">
        <v>85</v>
      </c>
    </row>
    <row r="655" customFormat="false" ht="13.8" hidden="false" customHeight="false" outlineLevel="0" collapsed="false">
      <c r="A655" s="3" t="s">
        <v>1730</v>
      </c>
      <c r="B655" s="3" t="n">
        <v>6.7</v>
      </c>
      <c r="C655" s="3" t="s">
        <v>1731</v>
      </c>
      <c r="D655" s="3" t="n">
        <v>8</v>
      </c>
      <c r="E655" s="3" t="n">
        <v>9</v>
      </c>
      <c r="F655" s="3"/>
      <c r="G655" s="3" t="n">
        <v>0</v>
      </c>
      <c r="H655" s="3" t="n">
        <v>1481</v>
      </c>
      <c r="I655" s="3" t="s">
        <v>613</v>
      </c>
      <c r="J655" s="3" t="n">
        <v>43</v>
      </c>
      <c r="K655" s="3" t="n">
        <v>0</v>
      </c>
      <c r="L655" s="3" t="n">
        <v>124</v>
      </c>
      <c r="M655" s="3" t="s">
        <v>1732</v>
      </c>
      <c r="N655" s="3" t="n">
        <v>38.182</v>
      </c>
      <c r="O655" s="3" t="n">
        <v>19.877</v>
      </c>
      <c r="P655" s="3" t="n">
        <v>-155.935</v>
      </c>
      <c r="Q655" s="3" t="s">
        <v>1733</v>
      </c>
      <c r="R655" s="3"/>
      <c r="S655" s="3" t="s">
        <v>261</v>
      </c>
    </row>
    <row r="656" customFormat="false" ht="13.8" hidden="false" customHeight="false" outlineLevel="0" collapsed="false">
      <c r="A656" s="3" t="s">
        <v>1734</v>
      </c>
      <c r="B656" s="3" t="n">
        <v>6.9</v>
      </c>
      <c r="C656" s="3" t="s">
        <v>1735</v>
      </c>
      <c r="D656" s="3" t="n">
        <v>3</v>
      </c>
      <c r="E656" s="3" t="n">
        <v>3</v>
      </c>
      <c r="F656" s="3"/>
      <c r="G656" s="3" t="n">
        <v>0</v>
      </c>
      <c r="H656" s="3" t="n">
        <v>737</v>
      </c>
      <c r="I656" s="3" t="s">
        <v>22</v>
      </c>
      <c r="J656" s="3" t="n">
        <v>702</v>
      </c>
      <c r="K656" s="3" t="n">
        <v>0</v>
      </c>
      <c r="L656" s="3" t="n">
        <v>20.9</v>
      </c>
      <c r="M656" s="3" t="s">
        <v>127</v>
      </c>
      <c r="N656" s="3" t="n">
        <v>28</v>
      </c>
      <c r="O656" s="3" t="n">
        <v>-16.592</v>
      </c>
      <c r="P656" s="3" t="n">
        <v>-172.033</v>
      </c>
      <c r="Q656" s="3" t="s">
        <v>62</v>
      </c>
      <c r="R656" s="3"/>
      <c r="S656" s="3"/>
    </row>
    <row r="657" customFormat="false" ht="13.8" hidden="false" customHeight="false" outlineLevel="0" collapsed="false">
      <c r="A657" s="3" t="s">
        <v>1736</v>
      </c>
      <c r="B657" s="3" t="n">
        <v>6.8</v>
      </c>
      <c r="C657" s="3" t="s">
        <v>1737</v>
      </c>
      <c r="D657" s="3" t="n">
        <v>0</v>
      </c>
      <c r="E657" s="3" t="n">
        <v>6</v>
      </c>
      <c r="F657" s="3"/>
      <c r="G657" s="3" t="n">
        <v>0</v>
      </c>
      <c r="H657" s="3" t="n">
        <v>711</v>
      </c>
      <c r="I657" s="3" t="s">
        <v>22</v>
      </c>
      <c r="J657" s="3" t="n">
        <v>459</v>
      </c>
      <c r="K657" s="3" t="n">
        <v>0</v>
      </c>
      <c r="L657" s="3" t="n">
        <v>28.4</v>
      </c>
      <c r="M657" s="3" t="s">
        <v>154</v>
      </c>
      <c r="N657" s="3" t="n">
        <v>38</v>
      </c>
      <c r="O657" s="3" t="n">
        <v>-6.759</v>
      </c>
      <c r="P657" s="3" t="n">
        <v>155.512</v>
      </c>
      <c r="Q657" s="3" t="s">
        <v>736</v>
      </c>
      <c r="R657" s="3"/>
      <c r="S657" s="3" t="s">
        <v>85</v>
      </c>
    </row>
    <row r="658" customFormat="false" ht="13.8" hidden="false" customHeight="false" outlineLevel="0" collapsed="false">
      <c r="A658" s="3" t="s">
        <v>1738</v>
      </c>
      <c r="B658" s="3" t="n">
        <v>6.5</v>
      </c>
      <c r="C658" s="3" t="s">
        <v>1739</v>
      </c>
      <c r="D658" s="3" t="n">
        <v>0</v>
      </c>
      <c r="E658" s="3" t="n">
        <v>6</v>
      </c>
      <c r="F658" s="3"/>
      <c r="G658" s="3" t="n">
        <v>0</v>
      </c>
      <c r="H658" s="3" t="n">
        <v>650</v>
      </c>
      <c r="I658" s="3" t="s">
        <v>22</v>
      </c>
      <c r="J658" s="3" t="n">
        <v>700</v>
      </c>
      <c r="K658" s="3" t="n">
        <v>0</v>
      </c>
      <c r="L658" s="3" t="n">
        <v>47.4</v>
      </c>
      <c r="M658" s="3" t="s">
        <v>154</v>
      </c>
      <c r="N658" s="3" t="n">
        <v>43</v>
      </c>
      <c r="O658" s="3" t="n">
        <v>51.148</v>
      </c>
      <c r="P658" s="3" t="n">
        <v>157.522</v>
      </c>
      <c r="Q658" s="3" t="s">
        <v>565</v>
      </c>
      <c r="R658" s="3" t="s">
        <v>80</v>
      </c>
      <c r="S658" s="3" t="s">
        <v>428</v>
      </c>
    </row>
    <row r="659" customFormat="false" ht="13.8" hidden="false" customHeight="false" outlineLevel="0" collapsed="false">
      <c r="A659" s="3" t="s">
        <v>1740</v>
      </c>
      <c r="B659" s="3" t="n">
        <v>6.8</v>
      </c>
      <c r="C659" s="3" t="s">
        <v>1741</v>
      </c>
      <c r="D659" s="3" t="n">
        <v>5</v>
      </c>
      <c r="E659" s="3" t="n">
        <v>5</v>
      </c>
      <c r="F659" s="3"/>
      <c r="G659" s="3" t="n">
        <v>0</v>
      </c>
      <c r="H659" s="3" t="n">
        <v>713</v>
      </c>
      <c r="I659" s="3" t="s">
        <v>22</v>
      </c>
      <c r="J659" s="3" t="n">
        <v>551</v>
      </c>
      <c r="K659" s="3" t="n">
        <v>0</v>
      </c>
      <c r="L659" s="3" t="n">
        <v>26.2</v>
      </c>
      <c r="M659" s="3" t="s">
        <v>154</v>
      </c>
      <c r="N659" s="3" t="n">
        <v>150</v>
      </c>
      <c r="O659" s="3" t="n">
        <v>-15.798</v>
      </c>
      <c r="P659" s="3" t="n">
        <v>167.789</v>
      </c>
      <c r="Q659" s="3" t="s">
        <v>821</v>
      </c>
      <c r="R659" s="3"/>
      <c r="S659" s="3" t="s">
        <v>25</v>
      </c>
    </row>
    <row r="660" customFormat="false" ht="13.8" hidden="false" customHeight="false" outlineLevel="0" collapsed="false">
      <c r="A660" s="3" t="s">
        <v>1742</v>
      </c>
      <c r="B660" s="3" t="n">
        <v>7.7</v>
      </c>
      <c r="C660" s="3" t="s">
        <v>1743</v>
      </c>
      <c r="D660" s="3" t="n">
        <v>7</v>
      </c>
      <c r="E660" s="3" t="n">
        <v>5</v>
      </c>
      <c r="F660" s="3"/>
      <c r="G660" s="3" t="n">
        <v>0</v>
      </c>
      <c r="H660" s="3" t="n">
        <v>947</v>
      </c>
      <c r="I660" s="3" t="s">
        <v>22</v>
      </c>
      <c r="J660" s="3" t="n">
        <v>357</v>
      </c>
      <c r="K660" s="3" t="n">
        <v>0</v>
      </c>
      <c r="L660" s="3" t="n">
        <v>36.8</v>
      </c>
      <c r="M660" s="3" t="s">
        <v>127</v>
      </c>
      <c r="N660" s="3" t="n">
        <v>20</v>
      </c>
      <c r="O660" s="3" t="n">
        <v>-9.284</v>
      </c>
      <c r="P660" s="3" t="n">
        <v>107.419</v>
      </c>
      <c r="Q660" s="3" t="s">
        <v>1744</v>
      </c>
      <c r="R660" s="3"/>
      <c r="S660" s="3"/>
    </row>
    <row r="661" customFormat="false" ht="13.8" hidden="false" customHeight="false" outlineLevel="0" collapsed="false">
      <c r="A661" s="3" t="s">
        <v>1745</v>
      </c>
      <c r="B661" s="3" t="n">
        <v>6.5</v>
      </c>
      <c r="C661" s="3" t="s">
        <v>1746</v>
      </c>
      <c r="D661" s="3" t="n">
        <v>0</v>
      </c>
      <c r="E661" s="3" t="n">
        <v>6</v>
      </c>
      <c r="F661" s="3"/>
      <c r="G661" s="3" t="n">
        <v>0</v>
      </c>
      <c r="H661" s="3" t="n">
        <v>650</v>
      </c>
      <c r="I661" s="3" t="s">
        <v>22</v>
      </c>
      <c r="J661" s="3" t="n">
        <v>477</v>
      </c>
      <c r="K661" s="3" t="n">
        <v>0</v>
      </c>
      <c r="L661" s="3" t="n">
        <v>20.3</v>
      </c>
      <c r="M661" s="3" t="s">
        <v>127</v>
      </c>
      <c r="N661" s="3" t="n">
        <v>34</v>
      </c>
      <c r="O661" s="3" t="n">
        <v>-5.724</v>
      </c>
      <c r="P661" s="3" t="n">
        <v>151.133</v>
      </c>
      <c r="Q661" s="3" t="s">
        <v>107</v>
      </c>
      <c r="R661" s="3"/>
      <c r="S661" s="3" t="s">
        <v>85</v>
      </c>
    </row>
    <row r="662" customFormat="false" ht="13.8" hidden="false" customHeight="false" outlineLevel="0" collapsed="false">
      <c r="A662" s="3" t="s">
        <v>1747</v>
      </c>
      <c r="B662" s="3" t="n">
        <v>6.6</v>
      </c>
      <c r="C662" s="3" t="s">
        <v>1748</v>
      </c>
      <c r="D662" s="3" t="n">
        <v>0</v>
      </c>
      <c r="E662" s="3" t="n">
        <v>7</v>
      </c>
      <c r="F662" s="3"/>
      <c r="G662" s="3" t="n">
        <v>0</v>
      </c>
      <c r="H662" s="3" t="n">
        <v>670</v>
      </c>
      <c r="I662" s="3" t="s">
        <v>22</v>
      </c>
      <c r="J662" s="3" t="n">
        <v>548</v>
      </c>
      <c r="K662" s="3" t="n">
        <v>0</v>
      </c>
      <c r="L662" s="3" t="n">
        <v>28</v>
      </c>
      <c r="M662" s="3" t="s">
        <v>127</v>
      </c>
      <c r="N662" s="3" t="n">
        <v>19</v>
      </c>
      <c r="O662" s="3" t="n">
        <v>60.772</v>
      </c>
      <c r="P662" s="3" t="n">
        <v>165.743</v>
      </c>
      <c r="Q662" s="3" t="s">
        <v>1749</v>
      </c>
      <c r="R662" s="3" t="s">
        <v>80</v>
      </c>
      <c r="S662" s="3" t="s">
        <v>428</v>
      </c>
    </row>
    <row r="663" customFormat="false" ht="13.8" hidden="false" customHeight="false" outlineLevel="0" collapsed="false">
      <c r="A663" s="3" t="s">
        <v>1750</v>
      </c>
      <c r="B663" s="3" t="n">
        <v>6.8</v>
      </c>
      <c r="C663" s="3" t="s">
        <v>1751</v>
      </c>
      <c r="D663" s="3" t="n">
        <v>4</v>
      </c>
      <c r="E663" s="3" t="n">
        <v>5</v>
      </c>
      <c r="F663" s="3"/>
      <c r="G663" s="3" t="n">
        <v>0</v>
      </c>
      <c r="H663" s="3" t="n">
        <v>719</v>
      </c>
      <c r="I663" s="3" t="s">
        <v>22</v>
      </c>
      <c r="J663" s="3" t="n">
        <v>701</v>
      </c>
      <c r="K663" s="3" t="n">
        <v>0</v>
      </c>
      <c r="L663" s="3" t="n">
        <v>16.3</v>
      </c>
      <c r="M663" s="3" t="s">
        <v>154</v>
      </c>
      <c r="N663" s="3" t="n">
        <v>12</v>
      </c>
      <c r="O663" s="3" t="n">
        <v>0.093</v>
      </c>
      <c r="P663" s="3" t="n">
        <v>97.05</v>
      </c>
      <c r="Q663" s="3" t="s">
        <v>1752</v>
      </c>
      <c r="R663" s="3"/>
      <c r="S663" s="3"/>
    </row>
    <row r="664" customFormat="false" ht="13.8" hidden="false" customHeight="false" outlineLevel="0" collapsed="false">
      <c r="A664" s="3" t="s">
        <v>1753</v>
      </c>
      <c r="B664" s="3" t="n">
        <v>8</v>
      </c>
      <c r="C664" s="3" t="s">
        <v>1754</v>
      </c>
      <c r="D664" s="3" t="n">
        <v>7</v>
      </c>
      <c r="E664" s="3" t="n">
        <v>7</v>
      </c>
      <c r="F664" s="3"/>
      <c r="G664" s="3" t="n">
        <v>0</v>
      </c>
      <c r="H664" s="3" t="n">
        <v>1013</v>
      </c>
      <c r="I664" s="3" t="s">
        <v>22</v>
      </c>
      <c r="J664" s="3" t="n">
        <v>626</v>
      </c>
      <c r="K664" s="3" t="n">
        <v>0</v>
      </c>
      <c r="L664" s="3" t="n">
        <v>20.7</v>
      </c>
      <c r="M664" s="3" t="s">
        <v>127</v>
      </c>
      <c r="N664" s="3" t="n">
        <v>55</v>
      </c>
      <c r="O664" s="3" t="n">
        <v>-20.187</v>
      </c>
      <c r="P664" s="3" t="n">
        <v>-174.123</v>
      </c>
      <c r="Q664" s="3" t="s">
        <v>328</v>
      </c>
      <c r="R664" s="3"/>
      <c r="S664" s="3"/>
    </row>
    <row r="665" customFormat="false" ht="13.8" hidden="false" customHeight="false" outlineLevel="0" collapsed="false">
      <c r="A665" s="3" t="s">
        <v>1755</v>
      </c>
      <c r="B665" s="3" t="n">
        <v>8</v>
      </c>
      <c r="C665" s="3" t="s">
        <v>1754</v>
      </c>
      <c r="D665" s="3" t="n">
        <v>8</v>
      </c>
      <c r="E665" s="3" t="n">
        <v>9</v>
      </c>
      <c r="F665" s="3"/>
      <c r="G665" s="3" t="n">
        <v>0</v>
      </c>
      <c r="H665" s="3" t="n">
        <v>1026</v>
      </c>
      <c r="I665" s="3" t="s">
        <v>1589</v>
      </c>
      <c r="J665" s="3" t="n">
        <v>0</v>
      </c>
      <c r="K665" s="3" t="n">
        <v>0</v>
      </c>
      <c r="L665" s="3" t="n">
        <v>0</v>
      </c>
      <c r="M665" s="3" t="s">
        <v>23</v>
      </c>
      <c r="N665" s="3" t="n">
        <v>60.5</v>
      </c>
      <c r="O665" s="3" t="n">
        <v>-19.99</v>
      </c>
      <c r="P665" s="3" t="n">
        <v>-173.907</v>
      </c>
      <c r="Q665" s="3" t="s">
        <v>328</v>
      </c>
      <c r="R665" s="3"/>
      <c r="S665" s="3"/>
    </row>
    <row r="666" customFormat="false" ht="13.8" hidden="false" customHeight="false" outlineLevel="0" collapsed="false">
      <c r="A666" s="3" t="s">
        <v>1756</v>
      </c>
      <c r="B666" s="3" t="n">
        <v>6.5</v>
      </c>
      <c r="C666" s="3" t="s">
        <v>1757</v>
      </c>
      <c r="D666" s="3" t="n">
        <v>7</v>
      </c>
      <c r="E666" s="3" t="n">
        <v>7</v>
      </c>
      <c r="F666" s="3"/>
      <c r="G666" s="3" t="n">
        <v>0</v>
      </c>
      <c r="H666" s="3" t="n">
        <v>653</v>
      </c>
      <c r="I666" s="3" t="s">
        <v>22</v>
      </c>
      <c r="J666" s="3" t="n">
        <v>282</v>
      </c>
      <c r="K666" s="3" t="n">
        <v>0</v>
      </c>
      <c r="L666" s="3" t="n">
        <v>46.3</v>
      </c>
      <c r="M666" s="3" t="s">
        <v>127</v>
      </c>
      <c r="N666" s="3" t="n">
        <v>12</v>
      </c>
      <c r="O666" s="3" t="n">
        <v>-27.211</v>
      </c>
      <c r="P666" s="3" t="n">
        <v>-71.056</v>
      </c>
      <c r="Q666" s="3" t="s">
        <v>1758</v>
      </c>
      <c r="R666" s="3"/>
      <c r="S666" s="3" t="s">
        <v>373</v>
      </c>
    </row>
    <row r="667" customFormat="false" ht="13.8" hidden="false" customHeight="false" outlineLevel="0" collapsed="false">
      <c r="A667" s="3" t="s">
        <v>1759</v>
      </c>
      <c r="B667" s="3" t="n">
        <v>6.7</v>
      </c>
      <c r="C667" s="3" t="s">
        <v>1760</v>
      </c>
      <c r="D667" s="3" t="n">
        <v>6</v>
      </c>
      <c r="E667" s="3" t="n">
        <v>7</v>
      </c>
      <c r="F667" s="3"/>
      <c r="G667" s="3" t="n">
        <v>0</v>
      </c>
      <c r="H667" s="3" t="n">
        <v>696</v>
      </c>
      <c r="I667" s="3" t="s">
        <v>22</v>
      </c>
      <c r="J667" s="3" t="n">
        <v>277</v>
      </c>
      <c r="K667" s="3" t="n">
        <v>0</v>
      </c>
      <c r="L667" s="3" t="n">
        <v>25.6</v>
      </c>
      <c r="M667" s="3" t="s">
        <v>154</v>
      </c>
      <c r="N667" s="3" t="n">
        <v>12</v>
      </c>
      <c r="O667" s="3" t="n">
        <v>-27.017</v>
      </c>
      <c r="P667" s="3" t="n">
        <v>-71.022</v>
      </c>
      <c r="Q667" s="3" t="s">
        <v>1758</v>
      </c>
      <c r="R667" s="3"/>
      <c r="S667" s="3" t="s">
        <v>373</v>
      </c>
    </row>
    <row r="668" customFormat="false" ht="13.8" hidden="false" customHeight="false" outlineLevel="0" collapsed="false">
      <c r="A668" s="3" t="s">
        <v>1761</v>
      </c>
      <c r="B668" s="3" t="n">
        <v>6.6</v>
      </c>
      <c r="C668" s="3" t="s">
        <v>1762</v>
      </c>
      <c r="D668" s="3" t="n">
        <v>0</v>
      </c>
      <c r="E668" s="3" t="n">
        <v>8</v>
      </c>
      <c r="F668" s="3"/>
      <c r="G668" s="3" t="n">
        <v>0</v>
      </c>
      <c r="H668" s="3" t="n">
        <v>670</v>
      </c>
      <c r="I668" s="3" t="s">
        <v>22</v>
      </c>
      <c r="J668" s="3" t="n">
        <v>645</v>
      </c>
      <c r="K668" s="3" t="n">
        <v>0</v>
      </c>
      <c r="L668" s="3" t="n">
        <v>28.4</v>
      </c>
      <c r="M668" s="3" t="s">
        <v>127</v>
      </c>
      <c r="N668" s="3" t="n">
        <v>11</v>
      </c>
      <c r="O668" s="3" t="n">
        <v>60.491</v>
      </c>
      <c r="P668" s="3" t="n">
        <v>167.516</v>
      </c>
      <c r="Q668" s="3" t="s">
        <v>1749</v>
      </c>
      <c r="R668" s="3" t="s">
        <v>80</v>
      </c>
      <c r="S668" s="3" t="s">
        <v>428</v>
      </c>
    </row>
    <row r="669" customFormat="false" ht="13.8" hidden="false" customHeight="false" outlineLevel="0" collapsed="false">
      <c r="A669" s="3" t="s">
        <v>1763</v>
      </c>
      <c r="B669" s="3" t="n">
        <v>7.6</v>
      </c>
      <c r="C669" s="3" t="s">
        <v>1764</v>
      </c>
      <c r="D669" s="3" t="n">
        <v>0</v>
      </c>
      <c r="E669" s="3" t="n">
        <v>8</v>
      </c>
      <c r="F669" s="3"/>
      <c r="G669" s="3" t="n">
        <v>0</v>
      </c>
      <c r="H669" s="3" t="n">
        <v>889</v>
      </c>
      <c r="I669" s="3" t="s">
        <v>22</v>
      </c>
      <c r="J669" s="3" t="n">
        <v>579</v>
      </c>
      <c r="K669" s="3" t="n">
        <v>0</v>
      </c>
      <c r="L669" s="3" t="n">
        <v>18.5</v>
      </c>
      <c r="M669" s="3" t="s">
        <v>127</v>
      </c>
      <c r="N669" s="3" t="n">
        <v>22</v>
      </c>
      <c r="O669" s="3" t="n">
        <v>60.949</v>
      </c>
      <c r="P669" s="3" t="n">
        <v>167.089</v>
      </c>
      <c r="Q669" s="3" t="s">
        <v>1749</v>
      </c>
      <c r="R669" s="3" t="s">
        <v>80</v>
      </c>
      <c r="S669" s="3" t="s">
        <v>428</v>
      </c>
    </row>
    <row r="670" customFormat="false" ht="13.8" hidden="false" customHeight="false" outlineLevel="0" collapsed="false">
      <c r="A670" s="3" t="s">
        <v>1765</v>
      </c>
      <c r="B670" s="3" t="n">
        <v>6.5</v>
      </c>
      <c r="C670" s="3" t="s">
        <v>1766</v>
      </c>
      <c r="D670" s="3" t="n">
        <v>3</v>
      </c>
      <c r="E670" s="3" t="n">
        <v>5</v>
      </c>
      <c r="F670" s="3"/>
      <c r="G670" s="3" t="n">
        <v>0</v>
      </c>
      <c r="H670" s="3" t="n">
        <v>654</v>
      </c>
      <c r="I670" s="3" t="s">
        <v>22</v>
      </c>
      <c r="J670" s="3" t="n">
        <v>247</v>
      </c>
      <c r="K670" s="3" t="n">
        <v>0</v>
      </c>
      <c r="L670" s="3" t="n">
        <v>25.5</v>
      </c>
      <c r="M670" s="3" t="s">
        <v>127</v>
      </c>
      <c r="N670" s="3" t="n">
        <v>14</v>
      </c>
      <c r="O670" s="3" t="n">
        <v>-16.527</v>
      </c>
      <c r="P670" s="3" t="n">
        <v>176.989</v>
      </c>
      <c r="Q670" s="3" t="s">
        <v>1767</v>
      </c>
      <c r="R670" s="3"/>
      <c r="S670" s="3"/>
    </row>
    <row r="671" customFormat="false" ht="13.8" hidden="false" customHeight="false" outlineLevel="0" collapsed="false">
      <c r="A671" s="3" t="s">
        <v>1768</v>
      </c>
      <c r="B671" s="3" t="n">
        <v>6.7</v>
      </c>
      <c r="C671" s="3" t="s">
        <v>1769</v>
      </c>
      <c r="D671" s="3" t="n">
        <v>0</v>
      </c>
      <c r="E671" s="3" t="n">
        <v>7</v>
      </c>
      <c r="F671" s="3"/>
      <c r="G671" s="3" t="n">
        <v>0</v>
      </c>
      <c r="H671" s="3" t="n">
        <v>691</v>
      </c>
      <c r="I671" s="3" t="s">
        <v>22</v>
      </c>
      <c r="J671" s="3" t="n">
        <v>306</v>
      </c>
      <c r="K671" s="3" t="n">
        <v>0</v>
      </c>
      <c r="L671" s="3" t="n">
        <v>21.3</v>
      </c>
      <c r="M671" s="3" t="s">
        <v>154</v>
      </c>
      <c r="N671" s="3" t="n">
        <v>30.1</v>
      </c>
      <c r="O671" s="3" t="n">
        <v>-3.595</v>
      </c>
      <c r="P671" s="3" t="n">
        <v>127.214</v>
      </c>
      <c r="Q671" s="3" t="s">
        <v>1770</v>
      </c>
      <c r="R671" s="3"/>
      <c r="S671" s="3" t="s">
        <v>68</v>
      </c>
    </row>
    <row r="672" customFormat="false" ht="13.8" hidden="false" customHeight="false" outlineLevel="0" collapsed="false">
      <c r="A672" s="3" t="s">
        <v>1771</v>
      </c>
      <c r="B672" s="3" t="n">
        <v>7</v>
      </c>
      <c r="C672" s="3" t="s">
        <v>1772</v>
      </c>
      <c r="D672" s="3" t="n">
        <v>5</v>
      </c>
      <c r="E672" s="3" t="n">
        <v>9</v>
      </c>
      <c r="F672" s="3"/>
      <c r="G672" s="3" t="n">
        <v>0</v>
      </c>
      <c r="H672" s="3" t="n">
        <v>891</v>
      </c>
      <c r="I672" s="3" t="s">
        <v>22</v>
      </c>
      <c r="J672" s="3" t="n">
        <v>412</v>
      </c>
      <c r="K672" s="3" t="n">
        <v>0</v>
      </c>
      <c r="L672" s="3" t="n">
        <v>23.2</v>
      </c>
      <c r="M672" s="3" t="s">
        <v>154</v>
      </c>
      <c r="N672" s="3" t="n">
        <v>11</v>
      </c>
      <c r="O672" s="3" t="n">
        <v>-21.324</v>
      </c>
      <c r="P672" s="3" t="n">
        <v>33.583</v>
      </c>
      <c r="Q672" s="3" t="s">
        <v>1773</v>
      </c>
      <c r="R672" s="3" t="s">
        <v>722</v>
      </c>
      <c r="S672" s="3" t="s">
        <v>1774</v>
      </c>
    </row>
    <row r="673" customFormat="false" ht="13.8" hidden="false" customHeight="false" outlineLevel="0" collapsed="false">
      <c r="A673" s="3" t="s">
        <v>1775</v>
      </c>
      <c r="B673" s="3" t="n">
        <v>6.7</v>
      </c>
      <c r="C673" s="3" t="s">
        <v>1776</v>
      </c>
      <c r="D673" s="3" t="n">
        <v>7</v>
      </c>
      <c r="E673" s="3" t="n">
        <v>6</v>
      </c>
      <c r="F673" s="3"/>
      <c r="G673" s="3" t="n">
        <v>0</v>
      </c>
      <c r="H673" s="3" t="n">
        <v>934</v>
      </c>
      <c r="I673" s="3" t="s">
        <v>22</v>
      </c>
      <c r="J673" s="3" t="n">
        <v>769</v>
      </c>
      <c r="K673" s="3" t="n">
        <v>0</v>
      </c>
      <c r="L673" s="3" t="n">
        <v>19.7</v>
      </c>
      <c r="M673" s="3" t="s">
        <v>154</v>
      </c>
      <c r="N673" s="3" t="n">
        <v>66</v>
      </c>
      <c r="O673" s="3" t="n">
        <v>36.311</v>
      </c>
      <c r="P673" s="3" t="n">
        <v>23.212</v>
      </c>
      <c r="Q673" s="3" t="s">
        <v>1777</v>
      </c>
      <c r="R673" s="3" t="s">
        <v>361</v>
      </c>
      <c r="S673" s="3" t="s">
        <v>362</v>
      </c>
    </row>
    <row r="674" customFormat="false" ht="13.8" hidden="false" customHeight="false" outlineLevel="0" collapsed="false">
      <c r="A674" s="3" t="s">
        <v>1778</v>
      </c>
      <c r="B674" s="3" t="n">
        <v>6.6</v>
      </c>
      <c r="C674" s="3" t="s">
        <v>1779</v>
      </c>
      <c r="D674" s="3" t="n">
        <v>7</v>
      </c>
      <c r="E674" s="3" t="n">
        <v>6</v>
      </c>
      <c r="F674" s="3"/>
      <c r="G674" s="3" t="n">
        <v>0</v>
      </c>
      <c r="H674" s="3" t="n">
        <v>703</v>
      </c>
      <c r="I674" s="3" t="s">
        <v>22</v>
      </c>
      <c r="J674" s="3" t="n">
        <v>323</v>
      </c>
      <c r="K674" s="3" t="n">
        <v>0</v>
      </c>
      <c r="L674" s="3" t="n">
        <v>48.2</v>
      </c>
      <c r="M674" s="3" t="s">
        <v>127</v>
      </c>
      <c r="N674" s="3" t="n">
        <v>14</v>
      </c>
      <c r="O674" s="3" t="n">
        <v>28.164</v>
      </c>
      <c r="P674" s="3" t="n">
        <v>-112.117</v>
      </c>
      <c r="Q674" s="3" t="s">
        <v>1544</v>
      </c>
      <c r="R674" s="3"/>
      <c r="S674" s="3"/>
    </row>
    <row r="675" customFormat="false" ht="13.8" hidden="false" customHeight="false" outlineLevel="0" collapsed="false">
      <c r="A675" s="3" t="s">
        <v>1780</v>
      </c>
      <c r="B675" s="3" t="n">
        <v>6.5</v>
      </c>
      <c r="C675" s="3" t="s">
        <v>1781</v>
      </c>
      <c r="D675" s="3" t="n">
        <v>6</v>
      </c>
      <c r="E675" s="3" t="n">
        <v>5</v>
      </c>
      <c r="F675" s="3"/>
      <c r="G675" s="3" t="n">
        <v>0</v>
      </c>
      <c r="H675" s="3" t="n">
        <v>721</v>
      </c>
      <c r="I675" s="3" t="s">
        <v>22</v>
      </c>
      <c r="J675" s="3" t="n">
        <v>529</v>
      </c>
      <c r="K675" s="3" t="n">
        <v>0</v>
      </c>
      <c r="L675" s="3" t="n">
        <v>20.5</v>
      </c>
      <c r="M675" s="3" t="s">
        <v>154</v>
      </c>
      <c r="N675" s="3" t="n">
        <v>224.6</v>
      </c>
      <c r="O675" s="3" t="n">
        <v>36.357</v>
      </c>
      <c r="P675" s="3" t="n">
        <v>71.093</v>
      </c>
      <c r="Q675" s="3" t="s">
        <v>832</v>
      </c>
      <c r="R675" s="3" t="s">
        <v>80</v>
      </c>
      <c r="S675" s="3" t="s">
        <v>92</v>
      </c>
    </row>
    <row r="676" customFormat="false" ht="13.8" hidden="false" customHeight="false" outlineLevel="0" collapsed="false">
      <c r="A676" s="3" t="s">
        <v>1782</v>
      </c>
      <c r="B676" s="3" t="n">
        <v>6.8</v>
      </c>
      <c r="C676" s="3" t="s">
        <v>1783</v>
      </c>
      <c r="D676" s="3" t="n">
        <v>5</v>
      </c>
      <c r="E676" s="3" t="n">
        <v>7</v>
      </c>
      <c r="F676" s="3"/>
      <c r="G676" s="3" t="n">
        <v>0</v>
      </c>
      <c r="H676" s="3" t="n">
        <v>744</v>
      </c>
      <c r="I676" s="3" t="s">
        <v>22</v>
      </c>
      <c r="J676" s="3" t="n">
        <v>561</v>
      </c>
      <c r="K676" s="3" t="n">
        <v>0</v>
      </c>
      <c r="L676" s="3" t="n">
        <v>20</v>
      </c>
      <c r="M676" s="3" t="s">
        <v>127</v>
      </c>
      <c r="N676" s="3" t="n">
        <v>22</v>
      </c>
      <c r="O676" s="3" t="n">
        <v>-6.224</v>
      </c>
      <c r="P676" s="3" t="n">
        <v>29.83</v>
      </c>
      <c r="Q676" s="3" t="s">
        <v>1784</v>
      </c>
      <c r="R676" s="3" t="s">
        <v>722</v>
      </c>
      <c r="S676" s="3" t="s">
        <v>1785</v>
      </c>
    </row>
    <row r="677" customFormat="false" ht="13.8" hidden="false" customHeight="false" outlineLevel="0" collapsed="false">
      <c r="A677" s="3" t="s">
        <v>1786</v>
      </c>
      <c r="B677" s="3" t="n">
        <v>6.5</v>
      </c>
      <c r="C677" s="3" t="s">
        <v>1787</v>
      </c>
      <c r="D677" s="3" t="n">
        <v>4</v>
      </c>
      <c r="E677" s="3" t="n">
        <v>5</v>
      </c>
      <c r="F677" s="3"/>
      <c r="G677" s="3" t="n">
        <v>0</v>
      </c>
      <c r="H677" s="3" t="n">
        <v>683</v>
      </c>
      <c r="I677" s="3" t="s">
        <v>22</v>
      </c>
      <c r="J677" s="3" t="n">
        <v>464</v>
      </c>
      <c r="K677" s="3" t="n">
        <v>0</v>
      </c>
      <c r="L677" s="3" t="n">
        <v>48.8</v>
      </c>
      <c r="M677" s="3" t="s">
        <v>127</v>
      </c>
      <c r="N677" s="3" t="n">
        <v>29</v>
      </c>
      <c r="O677" s="3" t="n">
        <v>38.089</v>
      </c>
      <c r="P677" s="3" t="n">
        <v>142.122</v>
      </c>
      <c r="Q677" s="3" t="s">
        <v>331</v>
      </c>
      <c r="R677" s="3"/>
      <c r="S677" s="3"/>
    </row>
    <row r="678" customFormat="false" ht="13.8" hidden="false" customHeight="false" outlineLevel="0" collapsed="false">
      <c r="A678" s="3" t="s">
        <v>1788</v>
      </c>
      <c r="B678" s="3" t="n">
        <v>6.5</v>
      </c>
      <c r="C678" s="3" t="s">
        <v>1789</v>
      </c>
      <c r="D678" s="3" t="n">
        <v>3</v>
      </c>
      <c r="E678" s="3" t="n">
        <v>6</v>
      </c>
      <c r="F678" s="3"/>
      <c r="G678" s="3" t="n">
        <v>0</v>
      </c>
      <c r="H678" s="3" t="n">
        <v>651</v>
      </c>
      <c r="I678" s="3" t="s">
        <v>22</v>
      </c>
      <c r="J678" s="3" t="n">
        <v>358</v>
      </c>
      <c r="K678" s="3" t="n">
        <v>0</v>
      </c>
      <c r="L678" s="3" t="n">
        <v>20.7</v>
      </c>
      <c r="M678" s="3" t="s">
        <v>154</v>
      </c>
      <c r="N678" s="3" t="n">
        <v>21</v>
      </c>
      <c r="O678" s="3" t="n">
        <v>2.164</v>
      </c>
      <c r="P678" s="3" t="n">
        <v>96.786</v>
      </c>
      <c r="Q678" s="3" t="s">
        <v>317</v>
      </c>
      <c r="R678" s="3"/>
      <c r="S678" s="3" t="s">
        <v>68</v>
      </c>
    </row>
    <row r="679" customFormat="false" ht="13.8" hidden="false" customHeight="false" outlineLevel="0" collapsed="false">
      <c r="A679" s="3" t="s">
        <v>1790</v>
      </c>
      <c r="B679" s="3" t="n">
        <v>6.8</v>
      </c>
      <c r="C679" s="3" t="s">
        <v>1791</v>
      </c>
      <c r="D679" s="3" t="n">
        <v>0</v>
      </c>
      <c r="E679" s="3" t="n">
        <v>6</v>
      </c>
      <c r="F679" s="3"/>
      <c r="G679" s="3" t="n">
        <v>0</v>
      </c>
      <c r="H679" s="3" t="n">
        <v>711</v>
      </c>
      <c r="I679" s="3" t="s">
        <v>22</v>
      </c>
      <c r="J679" s="3" t="n">
        <v>509</v>
      </c>
      <c r="K679" s="3" t="n">
        <v>0</v>
      </c>
      <c r="L679" s="3" t="n">
        <v>30.1</v>
      </c>
      <c r="M679" s="3" t="s">
        <v>154</v>
      </c>
      <c r="N679" s="3" t="n">
        <v>147</v>
      </c>
      <c r="O679" s="3" t="n">
        <v>-22.361</v>
      </c>
      <c r="P679" s="3" t="n">
        <v>-67.895</v>
      </c>
      <c r="Q679" s="3" t="s">
        <v>404</v>
      </c>
      <c r="R679" s="3" t="s">
        <v>33</v>
      </c>
      <c r="S679" s="3" t="s">
        <v>618</v>
      </c>
    </row>
    <row r="680" customFormat="false" ht="13.8" hidden="false" customHeight="false" outlineLevel="0" collapsed="false">
      <c r="A680" s="3" t="s">
        <v>1792</v>
      </c>
      <c r="B680" s="3" t="n">
        <v>7.6</v>
      </c>
      <c r="C680" s="3" t="s">
        <v>1793</v>
      </c>
      <c r="D680" s="3" t="n">
        <v>9</v>
      </c>
      <c r="E680" s="3" t="n">
        <v>9</v>
      </c>
      <c r="F680" s="3"/>
      <c r="G680" s="3" t="n">
        <v>0</v>
      </c>
      <c r="H680" s="3" t="n">
        <v>1267</v>
      </c>
      <c r="I680" s="3" t="s">
        <v>22</v>
      </c>
      <c r="J680" s="3" t="n">
        <v>724</v>
      </c>
      <c r="K680" s="3" t="n">
        <v>0</v>
      </c>
      <c r="L680" s="3" t="n">
        <v>21.1</v>
      </c>
      <c r="M680" s="3" t="s">
        <v>127</v>
      </c>
      <c r="N680" s="3" t="n">
        <v>26</v>
      </c>
      <c r="O680" s="3" t="n">
        <v>34.539</v>
      </c>
      <c r="P680" s="3" t="n">
        <v>73.588</v>
      </c>
      <c r="Q680" s="3" t="s">
        <v>1794</v>
      </c>
      <c r="R680" s="3" t="s">
        <v>80</v>
      </c>
      <c r="S680" s="3" t="s">
        <v>1134</v>
      </c>
    </row>
    <row r="681" customFormat="false" ht="13.8" hidden="false" customHeight="false" outlineLevel="0" collapsed="false">
      <c r="A681" s="3" t="s">
        <v>1795</v>
      </c>
      <c r="B681" s="3" t="n">
        <v>6.6</v>
      </c>
      <c r="C681" s="3" t="s">
        <v>1796</v>
      </c>
      <c r="D681" s="3" t="n">
        <v>0</v>
      </c>
      <c r="E681" s="3" t="n">
        <v>6</v>
      </c>
      <c r="F681" s="3"/>
      <c r="G681" s="3" t="n">
        <v>0</v>
      </c>
      <c r="H681" s="3" t="n">
        <v>670</v>
      </c>
      <c r="I681" s="3" t="s">
        <v>22</v>
      </c>
      <c r="J681" s="3" t="n">
        <v>402</v>
      </c>
      <c r="K681" s="3" t="n">
        <v>0</v>
      </c>
      <c r="L681" s="3" t="n">
        <v>17.7</v>
      </c>
      <c r="M681" s="3" t="s">
        <v>127</v>
      </c>
      <c r="N681" s="3" t="n">
        <v>25</v>
      </c>
      <c r="O681" s="3" t="n">
        <v>-5.437</v>
      </c>
      <c r="P681" s="3" t="n">
        <v>151.84</v>
      </c>
      <c r="Q681" s="3" t="s">
        <v>625</v>
      </c>
      <c r="R681" s="3"/>
      <c r="S681" s="3" t="s">
        <v>85</v>
      </c>
    </row>
    <row r="682" customFormat="false" ht="13.8" hidden="false" customHeight="false" outlineLevel="0" collapsed="false">
      <c r="A682" s="3" t="s">
        <v>1797</v>
      </c>
      <c r="B682" s="3" t="n">
        <v>7.5</v>
      </c>
      <c r="C682" s="3" t="s">
        <v>1798</v>
      </c>
      <c r="D682" s="3" t="n">
        <v>8</v>
      </c>
      <c r="E682" s="3" t="n">
        <v>7</v>
      </c>
      <c r="F682" s="3"/>
      <c r="G682" s="3" t="n">
        <v>0</v>
      </c>
      <c r="H682" s="3" t="n">
        <v>1018</v>
      </c>
      <c r="I682" s="3" t="s">
        <v>22</v>
      </c>
      <c r="J682" s="3" t="n">
        <v>696</v>
      </c>
      <c r="K682" s="3" t="n">
        <v>0</v>
      </c>
      <c r="L682" s="3" t="n">
        <v>26.2</v>
      </c>
      <c r="M682" s="3" t="s">
        <v>154</v>
      </c>
      <c r="N682" s="3" t="n">
        <v>115</v>
      </c>
      <c r="O682" s="3" t="n">
        <v>-5.678</v>
      </c>
      <c r="P682" s="3" t="n">
        <v>-76.398</v>
      </c>
      <c r="Q682" s="3" t="s">
        <v>1799</v>
      </c>
      <c r="R682" s="3" t="s">
        <v>33</v>
      </c>
      <c r="S682" s="3" t="s">
        <v>199</v>
      </c>
    </row>
    <row r="683" customFormat="false" ht="13.8" hidden="false" customHeight="false" outlineLevel="0" collapsed="false">
      <c r="A683" s="3" t="s">
        <v>1800</v>
      </c>
      <c r="B683" s="3" t="n">
        <v>7.6</v>
      </c>
      <c r="C683" s="3" t="s">
        <v>1801</v>
      </c>
      <c r="D683" s="3" t="n">
        <v>5</v>
      </c>
      <c r="E683" s="3" t="n">
        <v>7</v>
      </c>
      <c r="F683" s="3"/>
      <c r="G683" s="3" t="n">
        <v>0</v>
      </c>
      <c r="H683" s="3" t="n">
        <v>891</v>
      </c>
      <c r="I683" s="3" t="s">
        <v>22</v>
      </c>
      <c r="J683" s="3" t="n">
        <v>502</v>
      </c>
      <c r="K683" s="3" t="n">
        <v>0</v>
      </c>
      <c r="L683" s="3" t="n">
        <v>20</v>
      </c>
      <c r="M683" s="3" t="s">
        <v>127</v>
      </c>
      <c r="N683" s="3" t="n">
        <v>90</v>
      </c>
      <c r="O683" s="3" t="n">
        <v>-4.539</v>
      </c>
      <c r="P683" s="3" t="n">
        <v>153.474</v>
      </c>
      <c r="Q683" s="3" t="s">
        <v>625</v>
      </c>
      <c r="R683" s="3"/>
      <c r="S683" s="3" t="s">
        <v>85</v>
      </c>
    </row>
    <row r="684" customFormat="false" ht="13.8" hidden="false" customHeight="false" outlineLevel="0" collapsed="false">
      <c r="A684" s="3" t="s">
        <v>1802</v>
      </c>
      <c r="B684" s="3" t="n">
        <v>7.2</v>
      </c>
      <c r="C684" s="3" t="s">
        <v>1803</v>
      </c>
      <c r="D684" s="3" t="n">
        <v>7</v>
      </c>
      <c r="E684" s="3" t="n">
        <v>7</v>
      </c>
      <c r="F684" s="3"/>
      <c r="G684" s="3" t="n">
        <v>0</v>
      </c>
      <c r="H684" s="3" t="n">
        <v>1104</v>
      </c>
      <c r="I684" s="3" t="s">
        <v>22</v>
      </c>
      <c r="J684" s="3" t="n">
        <v>698</v>
      </c>
      <c r="K684" s="3" t="n">
        <v>0</v>
      </c>
      <c r="L684" s="3" t="n">
        <v>19.6</v>
      </c>
      <c r="M684" s="3" t="s">
        <v>127</v>
      </c>
      <c r="N684" s="3" t="n">
        <v>36</v>
      </c>
      <c r="O684" s="3" t="n">
        <v>38.276</v>
      </c>
      <c r="P684" s="3" t="n">
        <v>142.039</v>
      </c>
      <c r="Q684" s="3" t="s">
        <v>331</v>
      </c>
      <c r="R684" s="3"/>
      <c r="S684" s="3"/>
    </row>
    <row r="685" customFormat="false" ht="13.8" hidden="false" customHeight="false" outlineLevel="0" collapsed="false">
      <c r="A685" s="3" t="s">
        <v>1804</v>
      </c>
      <c r="B685" s="3" t="n">
        <v>7.2</v>
      </c>
      <c r="C685" s="3" t="s">
        <v>1805</v>
      </c>
      <c r="D685" s="3" t="n">
        <v>4</v>
      </c>
      <c r="E685" s="3" t="n">
        <v>5</v>
      </c>
      <c r="F685" s="3"/>
      <c r="G685" s="3" t="n">
        <v>0</v>
      </c>
      <c r="H685" s="3" t="n">
        <v>808</v>
      </c>
      <c r="I685" s="3" t="s">
        <v>22</v>
      </c>
      <c r="J685" s="3" t="n">
        <v>636</v>
      </c>
      <c r="K685" s="3" t="n">
        <v>0</v>
      </c>
      <c r="L685" s="3" t="n">
        <v>26.4</v>
      </c>
      <c r="M685" s="3" t="s">
        <v>127</v>
      </c>
      <c r="N685" s="3" t="n">
        <v>16</v>
      </c>
      <c r="O685" s="3" t="n">
        <v>7.92</v>
      </c>
      <c r="P685" s="3" t="n">
        <v>92.19</v>
      </c>
      <c r="Q685" s="3" t="s">
        <v>890</v>
      </c>
      <c r="R685" s="3"/>
      <c r="S685" s="3"/>
    </row>
    <row r="686" customFormat="false" ht="13.8" hidden="false" customHeight="false" outlineLevel="0" collapsed="false">
      <c r="A686" s="3" t="s">
        <v>1806</v>
      </c>
      <c r="B686" s="3" t="n">
        <v>6.7</v>
      </c>
      <c r="C686" s="3" t="s">
        <v>1807</v>
      </c>
      <c r="D686" s="3" t="n">
        <v>3</v>
      </c>
      <c r="E686" s="3" t="n">
        <v>6</v>
      </c>
      <c r="F686" s="3"/>
      <c r="G686" s="3" t="n">
        <v>0</v>
      </c>
      <c r="H686" s="3" t="n">
        <v>693</v>
      </c>
      <c r="I686" s="3" t="s">
        <v>22</v>
      </c>
      <c r="J686" s="3" t="n">
        <v>398</v>
      </c>
      <c r="K686" s="3" t="n">
        <v>0</v>
      </c>
      <c r="L686" s="3" t="n">
        <v>22.3</v>
      </c>
      <c r="M686" s="3" t="s">
        <v>127</v>
      </c>
      <c r="N686" s="3" t="n">
        <v>21</v>
      </c>
      <c r="O686" s="3" t="n">
        <v>1.819</v>
      </c>
      <c r="P686" s="3" t="n">
        <v>97.082</v>
      </c>
      <c r="Q686" s="3" t="s">
        <v>1752</v>
      </c>
      <c r="R686" s="3"/>
      <c r="S686" s="3" t="s">
        <v>68</v>
      </c>
    </row>
    <row r="687" customFormat="false" ht="13.8" hidden="false" customHeight="false" outlineLevel="0" collapsed="false">
      <c r="A687" s="3" t="s">
        <v>1808</v>
      </c>
      <c r="B687" s="3" t="n">
        <v>6.6</v>
      </c>
      <c r="C687" s="3" t="s">
        <v>1809</v>
      </c>
      <c r="D687" s="3" t="n">
        <v>6</v>
      </c>
      <c r="E687" s="3" t="n">
        <v>5</v>
      </c>
      <c r="F687" s="3"/>
      <c r="G687" s="3" t="n">
        <v>0</v>
      </c>
      <c r="H687" s="3" t="n">
        <v>719</v>
      </c>
      <c r="I687" s="3" t="s">
        <v>22</v>
      </c>
      <c r="J687" s="3" t="n">
        <v>446</v>
      </c>
      <c r="K687" s="3" t="n">
        <v>0</v>
      </c>
      <c r="L687" s="3" t="n">
        <v>21.1</v>
      </c>
      <c r="M687" s="3" t="s">
        <v>127</v>
      </c>
      <c r="N687" s="3" t="n">
        <v>27</v>
      </c>
      <c r="O687" s="3" t="n">
        <v>11.245</v>
      </c>
      <c r="P687" s="3" t="n">
        <v>-86.172</v>
      </c>
      <c r="Q687" s="3" t="s">
        <v>1810</v>
      </c>
      <c r="R687" s="3"/>
      <c r="S687" s="3"/>
    </row>
    <row r="688" customFormat="false" ht="13.8" hidden="false" customHeight="false" outlineLevel="0" collapsed="false">
      <c r="A688" s="3" t="s">
        <v>1811</v>
      </c>
      <c r="B688" s="3" t="n">
        <v>7.2</v>
      </c>
      <c r="C688" s="3" t="s">
        <v>1812</v>
      </c>
      <c r="D688" s="3" t="n">
        <v>5</v>
      </c>
      <c r="E688" s="3" t="n">
        <v>4</v>
      </c>
      <c r="F688" s="3"/>
      <c r="G688" s="3" t="n">
        <v>0</v>
      </c>
      <c r="H688" s="3" t="n">
        <v>1318</v>
      </c>
      <c r="I688" s="3" t="s">
        <v>22</v>
      </c>
      <c r="J688" s="3" t="n">
        <v>420</v>
      </c>
      <c r="K688" s="3" t="n">
        <v>0</v>
      </c>
      <c r="L688" s="3" t="n">
        <v>31.4</v>
      </c>
      <c r="M688" s="3" t="s">
        <v>127</v>
      </c>
      <c r="N688" s="3" t="n">
        <v>16</v>
      </c>
      <c r="O688" s="3" t="n">
        <v>41.292</v>
      </c>
      <c r="P688" s="3" t="n">
        <v>-125.953</v>
      </c>
      <c r="Q688" s="3" t="s">
        <v>1813</v>
      </c>
      <c r="R688" s="3"/>
      <c r="S688" s="3"/>
    </row>
    <row r="689" customFormat="false" ht="13.8" hidden="false" customHeight="false" outlineLevel="0" collapsed="false">
      <c r="A689" s="3" t="s">
        <v>1814</v>
      </c>
      <c r="B689" s="3" t="n">
        <v>7.8</v>
      </c>
      <c r="C689" s="3" t="s">
        <v>1815</v>
      </c>
      <c r="D689" s="3" t="n">
        <v>8</v>
      </c>
      <c r="E689" s="3" t="n">
        <v>7</v>
      </c>
      <c r="F689" s="3"/>
      <c r="G689" s="3" t="n">
        <v>0</v>
      </c>
      <c r="H689" s="3" t="n">
        <v>1020</v>
      </c>
      <c r="I689" s="3" t="s">
        <v>22</v>
      </c>
      <c r="J689" s="3" t="n">
        <v>714</v>
      </c>
      <c r="K689" s="3" t="n">
        <v>0</v>
      </c>
      <c r="L689" s="3" t="n">
        <v>16.1</v>
      </c>
      <c r="M689" s="3" t="s">
        <v>154</v>
      </c>
      <c r="N689" s="3" t="n">
        <v>115.6</v>
      </c>
      <c r="O689" s="3" t="n">
        <v>-19.987</v>
      </c>
      <c r="P689" s="3" t="n">
        <v>-69.197</v>
      </c>
      <c r="Q689" s="3" t="s">
        <v>1076</v>
      </c>
      <c r="R689" s="3" t="s">
        <v>33</v>
      </c>
      <c r="S689" s="3" t="s">
        <v>373</v>
      </c>
    </row>
    <row r="690" customFormat="false" ht="13.8" hidden="false" customHeight="false" outlineLevel="0" collapsed="false">
      <c r="A690" s="3" t="s">
        <v>1816</v>
      </c>
      <c r="B690" s="3" t="n">
        <v>6.9</v>
      </c>
      <c r="C690" s="3" t="s">
        <v>1817</v>
      </c>
      <c r="D690" s="3" t="n">
        <v>5</v>
      </c>
      <c r="E690" s="3" t="n">
        <v>7</v>
      </c>
      <c r="F690" s="3"/>
      <c r="G690" s="3" t="n">
        <v>0</v>
      </c>
      <c r="H690" s="3" t="n">
        <v>740</v>
      </c>
      <c r="I690" s="3" t="s">
        <v>22</v>
      </c>
      <c r="J690" s="3" t="n">
        <v>635</v>
      </c>
      <c r="K690" s="3" t="n">
        <v>0</v>
      </c>
      <c r="L690" s="3" t="n">
        <v>26</v>
      </c>
      <c r="M690" s="3" t="s">
        <v>127</v>
      </c>
      <c r="N690" s="3" t="n">
        <v>30</v>
      </c>
      <c r="O690" s="3" t="n">
        <v>1.989</v>
      </c>
      <c r="P690" s="3" t="n">
        <v>97.041</v>
      </c>
      <c r="Q690" s="3" t="s">
        <v>1752</v>
      </c>
      <c r="R690" s="3"/>
      <c r="S690" s="3" t="s">
        <v>68</v>
      </c>
    </row>
    <row r="691" customFormat="false" ht="13.8" hidden="false" customHeight="false" outlineLevel="0" collapsed="false">
      <c r="A691" s="3" t="s">
        <v>1818</v>
      </c>
      <c r="B691" s="3" t="n">
        <v>6.7</v>
      </c>
      <c r="C691" s="3" t="s">
        <v>1819</v>
      </c>
      <c r="D691" s="3" t="n">
        <v>6</v>
      </c>
      <c r="E691" s="3" t="n">
        <v>5</v>
      </c>
      <c r="F691" s="3"/>
      <c r="G691" s="3" t="n">
        <v>0</v>
      </c>
      <c r="H691" s="3" t="n">
        <v>731</v>
      </c>
      <c r="I691" s="3" t="s">
        <v>22</v>
      </c>
      <c r="J691" s="3" t="n">
        <v>695</v>
      </c>
      <c r="K691" s="3" t="n">
        <v>0</v>
      </c>
      <c r="L691" s="3" t="n">
        <v>20.9</v>
      </c>
      <c r="M691" s="3" t="s">
        <v>154</v>
      </c>
      <c r="N691" s="3" t="n">
        <v>34</v>
      </c>
      <c r="O691" s="3" t="n">
        <v>0.587</v>
      </c>
      <c r="P691" s="3" t="n">
        <v>98.459</v>
      </c>
      <c r="Q691" s="3" t="s">
        <v>1820</v>
      </c>
      <c r="R691" s="3"/>
      <c r="S691" s="3" t="s">
        <v>68</v>
      </c>
    </row>
    <row r="692" customFormat="false" ht="13.8" hidden="false" customHeight="false" outlineLevel="0" collapsed="false">
      <c r="A692" s="3" t="s">
        <v>1821</v>
      </c>
      <c r="B692" s="3" t="n">
        <v>6.5</v>
      </c>
      <c r="C692" s="3" t="s">
        <v>1822</v>
      </c>
      <c r="D692" s="3" t="n">
        <v>3</v>
      </c>
      <c r="E692" s="3" t="n">
        <v>6</v>
      </c>
      <c r="F692" s="3"/>
      <c r="G692" s="3" t="n">
        <v>0</v>
      </c>
      <c r="H692" s="3" t="n">
        <v>657</v>
      </c>
      <c r="I692" s="3" t="s">
        <v>22</v>
      </c>
      <c r="J692" s="3" t="n">
        <v>478</v>
      </c>
      <c r="K692" s="3" t="n">
        <v>0</v>
      </c>
      <c r="L692" s="3" t="n">
        <v>21.2</v>
      </c>
      <c r="M692" s="3" t="s">
        <v>127</v>
      </c>
      <c r="N692" s="3" t="n">
        <v>30</v>
      </c>
      <c r="O692" s="3" t="n">
        <v>-1.714</v>
      </c>
      <c r="P692" s="3" t="n">
        <v>99.779</v>
      </c>
      <c r="Q692" s="3" t="s">
        <v>1533</v>
      </c>
      <c r="R692" s="3"/>
      <c r="S692" s="3" t="s">
        <v>68</v>
      </c>
    </row>
    <row r="693" customFormat="false" ht="13.8" hidden="false" customHeight="false" outlineLevel="0" collapsed="false">
      <c r="A693" s="3" t="s">
        <v>1823</v>
      </c>
      <c r="B693" s="3" t="n">
        <v>6.7</v>
      </c>
      <c r="C693" s="3" t="s">
        <v>1824</v>
      </c>
      <c r="D693" s="3" t="n">
        <v>5</v>
      </c>
      <c r="E693" s="3" t="n">
        <v>6</v>
      </c>
      <c r="F693" s="3"/>
      <c r="G693" s="3" t="n">
        <v>0</v>
      </c>
      <c r="H693" s="3" t="n">
        <v>717</v>
      </c>
      <c r="I693" s="3" t="s">
        <v>22</v>
      </c>
      <c r="J693" s="3" t="n">
        <v>656</v>
      </c>
      <c r="K693" s="3" t="n">
        <v>0</v>
      </c>
      <c r="L693" s="3" t="n">
        <v>21.2</v>
      </c>
      <c r="M693" s="3" t="s">
        <v>127</v>
      </c>
      <c r="N693" s="3" t="n">
        <v>19</v>
      </c>
      <c r="O693" s="3" t="n">
        <v>-1.644</v>
      </c>
      <c r="P693" s="3" t="n">
        <v>99.607</v>
      </c>
      <c r="Q693" s="3" t="s">
        <v>1533</v>
      </c>
      <c r="R693" s="3"/>
      <c r="S693" s="3" t="s">
        <v>68</v>
      </c>
    </row>
    <row r="694" customFormat="false" ht="13.8" hidden="false" customHeight="false" outlineLevel="0" collapsed="false">
      <c r="A694" s="3" t="s">
        <v>1825</v>
      </c>
      <c r="B694" s="3" t="n">
        <v>8.6</v>
      </c>
      <c r="C694" s="3" t="s">
        <v>1826</v>
      </c>
      <c r="D694" s="3" t="n">
        <v>0</v>
      </c>
      <c r="E694" s="3" t="n">
        <v>8</v>
      </c>
      <c r="F694" s="3"/>
      <c r="G694" s="3" t="n">
        <v>0</v>
      </c>
      <c r="H694" s="3" t="n">
        <v>1138</v>
      </c>
      <c r="I694" s="3" t="s">
        <v>1293</v>
      </c>
      <c r="J694" s="3" t="n">
        <v>510</v>
      </c>
      <c r="K694" s="3" t="n">
        <v>0</v>
      </c>
      <c r="L694" s="3" t="n">
        <v>22.1</v>
      </c>
      <c r="M694" s="3" t="s">
        <v>23</v>
      </c>
      <c r="N694" s="3" t="n">
        <v>30</v>
      </c>
      <c r="O694" s="3" t="n">
        <v>2.085</v>
      </c>
      <c r="P694" s="3" t="n">
        <v>97.108</v>
      </c>
      <c r="Q694" s="3" t="s">
        <v>1752</v>
      </c>
      <c r="R694" s="3"/>
      <c r="S694" s="3" t="s">
        <v>68</v>
      </c>
    </row>
    <row r="695" customFormat="false" ht="13.8" hidden="false" customHeight="false" outlineLevel="0" collapsed="false">
      <c r="A695" s="3" t="s">
        <v>1827</v>
      </c>
      <c r="B695" s="3" t="n">
        <v>6.6</v>
      </c>
      <c r="C695" s="3" t="s">
        <v>1828</v>
      </c>
      <c r="D695" s="3" t="n">
        <v>8</v>
      </c>
      <c r="E695" s="3" t="n">
        <v>7</v>
      </c>
      <c r="F695" s="3"/>
      <c r="G695" s="3" t="n">
        <v>0</v>
      </c>
      <c r="H695" s="3" t="n">
        <v>805</v>
      </c>
      <c r="I695" s="3" t="s">
        <v>22</v>
      </c>
      <c r="J695" s="3" t="n">
        <v>401</v>
      </c>
      <c r="K695" s="3" t="n">
        <v>0</v>
      </c>
      <c r="L695" s="3" t="n">
        <v>22.9</v>
      </c>
      <c r="M695" s="3" t="s">
        <v>127</v>
      </c>
      <c r="N695" s="3" t="n">
        <v>10</v>
      </c>
      <c r="O695" s="3" t="n">
        <v>33.807</v>
      </c>
      <c r="P695" s="3" t="n">
        <v>130.131</v>
      </c>
      <c r="Q695" s="3" t="s">
        <v>1829</v>
      </c>
      <c r="R695" s="3" t="s">
        <v>80</v>
      </c>
      <c r="S695" s="3" t="s">
        <v>322</v>
      </c>
    </row>
    <row r="696" customFormat="false" ht="13.8" hidden="false" customHeight="false" outlineLevel="0" collapsed="false">
      <c r="A696" s="3" t="s">
        <v>1232</v>
      </c>
      <c r="B696" s="3" t="n">
        <v>7.1</v>
      </c>
      <c r="C696" s="3" t="s">
        <v>1830</v>
      </c>
      <c r="D696" s="3" t="n">
        <v>0</v>
      </c>
      <c r="E696" s="3" t="n">
        <v>5</v>
      </c>
      <c r="F696" s="3"/>
      <c r="G696" s="3" t="n">
        <v>0</v>
      </c>
      <c r="H696" s="3" t="n">
        <v>776</v>
      </c>
      <c r="I696" s="3" t="s">
        <v>22</v>
      </c>
      <c r="J696" s="3" t="n">
        <v>569</v>
      </c>
      <c r="K696" s="3" t="n">
        <v>0</v>
      </c>
      <c r="L696" s="3" t="n">
        <v>18.1</v>
      </c>
      <c r="M696" s="3" t="s">
        <v>154</v>
      </c>
      <c r="N696" s="3" t="n">
        <v>201.7</v>
      </c>
      <c r="O696" s="3" t="n">
        <v>-6.527</v>
      </c>
      <c r="P696" s="3" t="n">
        <v>129.933</v>
      </c>
      <c r="Q696" s="3" t="s">
        <v>415</v>
      </c>
      <c r="R696" s="3"/>
      <c r="S696" s="3" t="s">
        <v>68</v>
      </c>
    </row>
    <row r="697" customFormat="false" ht="13.8" hidden="false" customHeight="false" outlineLevel="0" collapsed="false">
      <c r="A697" s="3" t="s">
        <v>1831</v>
      </c>
      <c r="B697" s="3" t="n">
        <v>6.8</v>
      </c>
      <c r="C697" s="3" t="s">
        <v>1832</v>
      </c>
      <c r="D697" s="3" t="n">
        <v>0</v>
      </c>
      <c r="E697" s="3" t="n">
        <v>6</v>
      </c>
      <c r="F697" s="3"/>
      <c r="G697" s="3" t="n">
        <v>0</v>
      </c>
      <c r="H697" s="3" t="n">
        <v>711</v>
      </c>
      <c r="I697" s="3" t="s">
        <v>22</v>
      </c>
      <c r="J697" s="3" t="n">
        <v>444</v>
      </c>
      <c r="K697" s="3" t="n">
        <v>0</v>
      </c>
      <c r="L697" s="3" t="n">
        <v>33.8</v>
      </c>
      <c r="M697" s="3" t="s">
        <v>154</v>
      </c>
      <c r="N697" s="3" t="n">
        <v>36</v>
      </c>
      <c r="O697" s="3" t="n">
        <v>2.908</v>
      </c>
      <c r="P697" s="3" t="n">
        <v>95.592</v>
      </c>
      <c r="Q697" s="3" t="s">
        <v>317</v>
      </c>
      <c r="R697" s="3"/>
      <c r="S697" s="3" t="s">
        <v>68</v>
      </c>
    </row>
    <row r="698" customFormat="false" ht="13.8" hidden="false" customHeight="false" outlineLevel="0" collapsed="false">
      <c r="A698" s="3" t="s">
        <v>1833</v>
      </c>
      <c r="B698" s="3" t="n">
        <v>6.5</v>
      </c>
      <c r="C698" s="3" t="s">
        <v>1834</v>
      </c>
      <c r="D698" s="3" t="n">
        <v>0</v>
      </c>
      <c r="E698" s="3" t="n">
        <v>7</v>
      </c>
      <c r="F698" s="3"/>
      <c r="G698" s="3" t="n">
        <v>0</v>
      </c>
      <c r="H698" s="3" t="n">
        <v>650</v>
      </c>
      <c r="I698" s="3" t="s">
        <v>22</v>
      </c>
      <c r="J698" s="3" t="n">
        <v>371</v>
      </c>
      <c r="K698" s="3" t="n">
        <v>0</v>
      </c>
      <c r="L698" s="3" t="n">
        <v>31.8</v>
      </c>
      <c r="M698" s="3" t="s">
        <v>154</v>
      </c>
      <c r="N698" s="3" t="n">
        <v>10</v>
      </c>
      <c r="O698" s="3" t="n">
        <v>-5.562</v>
      </c>
      <c r="P698" s="3" t="n">
        <v>122.129</v>
      </c>
      <c r="Q698" s="3" t="s">
        <v>378</v>
      </c>
      <c r="R698" s="3"/>
      <c r="S698" s="3" t="s">
        <v>68</v>
      </c>
    </row>
    <row r="699" customFormat="false" ht="13.8" hidden="false" customHeight="false" outlineLevel="0" collapsed="false">
      <c r="A699" s="3" t="s">
        <v>1835</v>
      </c>
      <c r="B699" s="3" t="n">
        <v>6.5</v>
      </c>
      <c r="C699" s="3" t="s">
        <v>1836</v>
      </c>
      <c r="D699" s="3" t="n">
        <v>3</v>
      </c>
      <c r="E699" s="3" t="n">
        <v>5</v>
      </c>
      <c r="F699" s="3"/>
      <c r="G699" s="3" t="n">
        <v>0</v>
      </c>
      <c r="H699" s="3" t="n">
        <v>652</v>
      </c>
      <c r="I699" s="3" t="s">
        <v>22</v>
      </c>
      <c r="J699" s="3" t="n">
        <v>286</v>
      </c>
      <c r="K699" s="3" t="n">
        <v>0</v>
      </c>
      <c r="L699" s="3" t="n">
        <v>47.3</v>
      </c>
      <c r="M699" s="3" t="s">
        <v>127</v>
      </c>
      <c r="N699" s="3" t="n">
        <v>39.7</v>
      </c>
      <c r="O699" s="3" t="n">
        <v>4.756</v>
      </c>
      <c r="P699" s="3" t="n">
        <v>126.421</v>
      </c>
      <c r="Q699" s="3" t="s">
        <v>1837</v>
      </c>
      <c r="R699" s="3"/>
      <c r="S699" s="3" t="s">
        <v>68</v>
      </c>
    </row>
    <row r="700" customFormat="false" ht="13.8" hidden="false" customHeight="false" outlineLevel="0" collapsed="false">
      <c r="A700" s="3" t="s">
        <v>1838</v>
      </c>
      <c r="B700" s="3" t="n">
        <v>6.7</v>
      </c>
      <c r="C700" s="3" t="s">
        <v>1839</v>
      </c>
      <c r="D700" s="3" t="n">
        <v>0</v>
      </c>
      <c r="E700" s="3" t="n">
        <v>4</v>
      </c>
      <c r="F700" s="3"/>
      <c r="G700" s="3" t="n">
        <v>0</v>
      </c>
      <c r="H700" s="3" t="n">
        <v>691</v>
      </c>
      <c r="I700" s="3" t="s">
        <v>22</v>
      </c>
      <c r="J700" s="3" t="n">
        <v>457</v>
      </c>
      <c r="K700" s="3" t="n">
        <v>0</v>
      </c>
      <c r="L700" s="3" t="n">
        <v>30.2</v>
      </c>
      <c r="M700" s="3" t="s">
        <v>154</v>
      </c>
      <c r="N700" s="3" t="n">
        <v>206.3</v>
      </c>
      <c r="O700" s="3" t="n">
        <v>-14.252</v>
      </c>
      <c r="P700" s="3" t="n">
        <v>167.259</v>
      </c>
      <c r="Q700" s="3" t="s">
        <v>24</v>
      </c>
      <c r="R700" s="3"/>
      <c r="S700" s="3" t="s">
        <v>25</v>
      </c>
    </row>
    <row r="701" customFormat="false" ht="13.8" hidden="false" customHeight="false" outlineLevel="0" collapsed="false">
      <c r="A701" s="3" t="s">
        <v>1840</v>
      </c>
      <c r="B701" s="3" t="n">
        <v>7.1</v>
      </c>
      <c r="C701" s="3" t="s">
        <v>1841</v>
      </c>
      <c r="D701" s="3" t="n">
        <v>7</v>
      </c>
      <c r="E701" s="3" t="n">
        <v>3</v>
      </c>
      <c r="F701" s="3"/>
      <c r="G701" s="3" t="n">
        <v>0</v>
      </c>
      <c r="H701" s="3" t="n">
        <v>782</v>
      </c>
      <c r="I701" s="3" t="s">
        <v>22</v>
      </c>
      <c r="J701" s="3" t="n">
        <v>640</v>
      </c>
      <c r="K701" s="3" t="n">
        <v>0</v>
      </c>
      <c r="L701" s="3" t="n">
        <v>26.4</v>
      </c>
      <c r="M701" s="3" t="s">
        <v>127</v>
      </c>
      <c r="N701" s="3" t="n">
        <v>525</v>
      </c>
      <c r="O701" s="3" t="n">
        <v>5.293</v>
      </c>
      <c r="P701" s="3" t="n">
        <v>123.337</v>
      </c>
      <c r="Q701" s="3" t="s">
        <v>1842</v>
      </c>
      <c r="R701" s="3"/>
      <c r="S701" s="3"/>
    </row>
    <row r="702" customFormat="false" ht="13.8" hidden="false" customHeight="false" outlineLevel="0" collapsed="false">
      <c r="A702" s="3" t="s">
        <v>1843</v>
      </c>
      <c r="B702" s="3" t="n">
        <v>6.6</v>
      </c>
      <c r="C702" s="3" t="s">
        <v>1844</v>
      </c>
      <c r="D702" s="3" t="n">
        <v>6</v>
      </c>
      <c r="E702" s="3" t="n">
        <v>4</v>
      </c>
      <c r="F702" s="3"/>
      <c r="G702" s="3" t="n">
        <v>0</v>
      </c>
      <c r="H702" s="3" t="n">
        <v>676</v>
      </c>
      <c r="I702" s="3" t="s">
        <v>22</v>
      </c>
      <c r="J702" s="3" t="n">
        <v>225</v>
      </c>
      <c r="K702" s="3" t="n">
        <v>0</v>
      </c>
      <c r="L702" s="3" t="n">
        <v>78.5</v>
      </c>
      <c r="M702" s="3" t="s">
        <v>127</v>
      </c>
      <c r="N702" s="3" t="n">
        <v>27.8</v>
      </c>
      <c r="O702" s="3" t="n">
        <v>34.064</v>
      </c>
      <c r="P702" s="3" t="n">
        <v>141.491</v>
      </c>
      <c r="Q702" s="3" t="s">
        <v>1845</v>
      </c>
      <c r="R702" s="3"/>
      <c r="S702" s="3"/>
    </row>
    <row r="703" customFormat="false" ht="13.8" hidden="false" customHeight="false" outlineLevel="0" collapsed="false">
      <c r="A703" s="3" t="s">
        <v>888</v>
      </c>
      <c r="B703" s="3" t="n">
        <v>6.6</v>
      </c>
      <c r="C703" s="3" t="s">
        <v>1846</v>
      </c>
      <c r="D703" s="3" t="n">
        <v>0</v>
      </c>
      <c r="E703" s="3" t="n">
        <v>5</v>
      </c>
      <c r="F703" s="3"/>
      <c r="G703" s="3" t="n">
        <v>0</v>
      </c>
      <c r="H703" s="3" t="n">
        <v>670</v>
      </c>
      <c r="I703" s="3" t="s">
        <v>22</v>
      </c>
      <c r="J703" s="3" t="n">
        <v>353</v>
      </c>
      <c r="K703" s="3" t="n">
        <v>0</v>
      </c>
      <c r="L703" s="3" t="n">
        <v>31.9</v>
      </c>
      <c r="M703" s="3" t="s">
        <v>127</v>
      </c>
      <c r="N703" s="3" t="n">
        <v>16.1</v>
      </c>
      <c r="O703" s="3" t="n">
        <v>8.879</v>
      </c>
      <c r="P703" s="3" t="n">
        <v>92.375</v>
      </c>
      <c r="Q703" s="3" t="s">
        <v>890</v>
      </c>
      <c r="R703" s="3"/>
      <c r="S703" s="3"/>
    </row>
    <row r="704" customFormat="false" ht="13.8" hidden="false" customHeight="false" outlineLevel="0" collapsed="false">
      <c r="A704" s="3" t="s">
        <v>1847</v>
      </c>
      <c r="B704" s="3" t="n">
        <v>7.2</v>
      </c>
      <c r="C704" s="3" t="s">
        <v>1848</v>
      </c>
      <c r="D704" s="3" t="n">
        <v>5</v>
      </c>
      <c r="E704" s="3" t="n">
        <v>6</v>
      </c>
      <c r="F704" s="3"/>
      <c r="G704" s="3" t="n">
        <v>0</v>
      </c>
      <c r="H704" s="3" t="n">
        <v>802</v>
      </c>
      <c r="I704" s="3" t="s">
        <v>22</v>
      </c>
      <c r="J704" s="3" t="n">
        <v>385</v>
      </c>
      <c r="K704" s="3" t="n">
        <v>0</v>
      </c>
      <c r="L704" s="3" t="n">
        <v>27.9</v>
      </c>
      <c r="M704" s="3" t="s">
        <v>127</v>
      </c>
      <c r="N704" s="3" t="n">
        <v>39.2</v>
      </c>
      <c r="O704" s="3" t="n">
        <v>6.91</v>
      </c>
      <c r="P704" s="3" t="n">
        <v>92.958</v>
      </c>
      <c r="Q704" s="3" t="s">
        <v>1849</v>
      </c>
      <c r="R704" s="3"/>
      <c r="S704" s="3"/>
    </row>
    <row r="705" customFormat="false" ht="13.8" hidden="false" customHeight="false" outlineLevel="0" collapsed="false">
      <c r="A705" s="3" t="s">
        <v>1850</v>
      </c>
      <c r="B705" s="3" t="n">
        <v>9.1</v>
      </c>
      <c r="C705" s="3" t="s">
        <v>1851</v>
      </c>
      <c r="D705" s="3" t="n">
        <v>0</v>
      </c>
      <c r="E705" s="3" t="n">
        <v>8</v>
      </c>
      <c r="F705" s="3"/>
      <c r="G705" s="3" t="n">
        <v>0</v>
      </c>
      <c r="H705" s="3" t="n">
        <v>1274</v>
      </c>
      <c r="I705" s="3" t="s">
        <v>1293</v>
      </c>
      <c r="J705" s="3" t="n">
        <v>601</v>
      </c>
      <c r="K705" s="3" t="n">
        <v>0</v>
      </c>
      <c r="L705" s="3" t="n">
        <v>22</v>
      </c>
      <c r="M705" s="3" t="s">
        <v>485</v>
      </c>
      <c r="N705" s="3" t="n">
        <v>30</v>
      </c>
      <c r="O705" s="3" t="n">
        <v>3.295</v>
      </c>
      <c r="P705" s="3" t="n">
        <v>95.982</v>
      </c>
      <c r="Q705" s="3" t="s">
        <v>1852</v>
      </c>
      <c r="R705" s="3"/>
      <c r="S705" s="3" t="s">
        <v>68</v>
      </c>
    </row>
    <row r="706" customFormat="false" ht="13.8" hidden="false" customHeight="false" outlineLevel="0" collapsed="false">
      <c r="A706" s="3" t="s">
        <v>1853</v>
      </c>
      <c r="B706" s="3" t="n">
        <v>8.1</v>
      </c>
      <c r="C706" s="3" t="s">
        <v>1854</v>
      </c>
      <c r="D706" s="3" t="n">
        <v>0</v>
      </c>
      <c r="E706" s="3" t="n">
        <v>5</v>
      </c>
      <c r="F706" s="3"/>
      <c r="G706" s="3" t="n">
        <v>0</v>
      </c>
      <c r="H706" s="3" t="n">
        <v>1009</v>
      </c>
      <c r="I706" s="3" t="s">
        <v>22</v>
      </c>
      <c r="J706" s="3" t="n">
        <v>331</v>
      </c>
      <c r="K706" s="3" t="n">
        <v>0</v>
      </c>
      <c r="L706" s="3" t="n">
        <v>59.3</v>
      </c>
      <c r="M706" s="3" t="s">
        <v>127</v>
      </c>
      <c r="N706" s="3" t="n">
        <v>10</v>
      </c>
      <c r="O706" s="3" t="n">
        <v>-49.312</v>
      </c>
      <c r="P706" s="3" t="n">
        <v>161.345</v>
      </c>
      <c r="Q706" s="3" t="s">
        <v>1855</v>
      </c>
      <c r="R706" s="3"/>
      <c r="S706" s="3"/>
    </row>
    <row r="707" customFormat="false" ht="13.8" hidden="false" customHeight="false" outlineLevel="0" collapsed="false">
      <c r="A707" s="3" t="s">
        <v>1856</v>
      </c>
      <c r="B707" s="3" t="n">
        <v>6.8</v>
      </c>
      <c r="C707" s="3" t="s">
        <v>1857</v>
      </c>
      <c r="D707" s="3" t="n">
        <v>5</v>
      </c>
      <c r="E707" s="3" t="n">
        <v>6</v>
      </c>
      <c r="F707" s="3"/>
      <c r="G707" s="3" t="n">
        <v>0</v>
      </c>
      <c r="H707" s="3" t="n">
        <v>858</v>
      </c>
      <c r="I707" s="3" t="s">
        <v>22</v>
      </c>
      <c r="J707" s="3" t="n">
        <v>639</v>
      </c>
      <c r="K707" s="3" t="n">
        <v>0</v>
      </c>
      <c r="L707" s="3" t="n">
        <v>21.8</v>
      </c>
      <c r="M707" s="3" t="s">
        <v>154</v>
      </c>
      <c r="N707" s="3" t="n">
        <v>10</v>
      </c>
      <c r="O707" s="3" t="n">
        <v>18.958</v>
      </c>
      <c r="P707" s="3" t="n">
        <v>-81.409</v>
      </c>
      <c r="Q707" s="3" t="s">
        <v>1858</v>
      </c>
      <c r="R707" s="3"/>
      <c r="S707" s="3"/>
    </row>
    <row r="708" customFormat="false" ht="13.8" hidden="false" customHeight="false" outlineLevel="0" collapsed="false">
      <c r="A708" s="3" t="s">
        <v>1859</v>
      </c>
      <c r="B708" s="3" t="n">
        <v>6.8</v>
      </c>
      <c r="C708" s="3" t="s">
        <v>1860</v>
      </c>
      <c r="D708" s="3" t="n">
        <v>4</v>
      </c>
      <c r="E708" s="3" t="n">
        <v>7</v>
      </c>
      <c r="F708" s="3"/>
      <c r="G708" s="3" t="n">
        <v>0</v>
      </c>
      <c r="H708" s="3" t="n">
        <v>724</v>
      </c>
      <c r="I708" s="3" t="s">
        <v>22</v>
      </c>
      <c r="J708" s="3" t="n">
        <v>759</v>
      </c>
      <c r="K708" s="3" t="n">
        <v>0</v>
      </c>
      <c r="L708" s="3" t="n">
        <v>23.6</v>
      </c>
      <c r="M708" s="3" t="s">
        <v>154</v>
      </c>
      <c r="N708" s="3" t="n">
        <v>35</v>
      </c>
      <c r="O708" s="3" t="n">
        <v>42.9</v>
      </c>
      <c r="P708" s="3" t="n">
        <v>145.228</v>
      </c>
      <c r="Q708" s="3" t="s">
        <v>1861</v>
      </c>
      <c r="R708" s="3" t="s">
        <v>80</v>
      </c>
      <c r="S708" s="3" t="s">
        <v>322</v>
      </c>
    </row>
    <row r="709" customFormat="false" ht="13.8" hidden="false" customHeight="false" outlineLevel="0" collapsed="false">
      <c r="A709" s="3" t="s">
        <v>1862</v>
      </c>
      <c r="B709" s="3" t="n">
        <v>7</v>
      </c>
      <c r="C709" s="3" t="s">
        <v>1863</v>
      </c>
      <c r="D709" s="3" t="n">
        <v>4</v>
      </c>
      <c r="E709" s="3" t="n">
        <v>7</v>
      </c>
      <c r="F709" s="3"/>
      <c r="G709" s="3" t="n">
        <v>0</v>
      </c>
      <c r="H709" s="3" t="n">
        <v>771</v>
      </c>
      <c r="I709" s="3" t="s">
        <v>22</v>
      </c>
      <c r="J709" s="3" t="n">
        <v>929</v>
      </c>
      <c r="K709" s="3" t="n">
        <v>0</v>
      </c>
      <c r="L709" s="3" t="n">
        <v>23.9</v>
      </c>
      <c r="M709" s="3" t="s">
        <v>154</v>
      </c>
      <c r="N709" s="3" t="n">
        <v>39</v>
      </c>
      <c r="O709" s="3" t="n">
        <v>43.006</v>
      </c>
      <c r="P709" s="3" t="n">
        <v>145.119</v>
      </c>
      <c r="Q709" s="3" t="s">
        <v>1861</v>
      </c>
      <c r="R709" s="3" t="s">
        <v>80</v>
      </c>
      <c r="S709" s="3" t="s">
        <v>322</v>
      </c>
    </row>
    <row r="710" customFormat="false" ht="13.8" hidden="false" customHeight="false" outlineLevel="0" collapsed="false">
      <c r="A710" s="3" t="s">
        <v>1864</v>
      </c>
      <c r="B710" s="3" t="n">
        <v>7.1</v>
      </c>
      <c r="C710" s="3" t="s">
        <v>1865</v>
      </c>
      <c r="D710" s="3" t="n">
        <v>0</v>
      </c>
      <c r="E710" s="3" t="n">
        <v>7</v>
      </c>
      <c r="F710" s="3"/>
      <c r="G710" s="3" t="n">
        <v>0</v>
      </c>
      <c r="H710" s="3" t="n">
        <v>776</v>
      </c>
      <c r="I710" s="3" t="s">
        <v>22</v>
      </c>
      <c r="J710" s="3" t="n">
        <v>439</v>
      </c>
      <c r="K710" s="3" t="n">
        <v>0</v>
      </c>
      <c r="L710" s="3" t="n">
        <v>28.8</v>
      </c>
      <c r="M710" s="3" t="s">
        <v>127</v>
      </c>
      <c r="N710" s="3" t="n">
        <v>10</v>
      </c>
      <c r="O710" s="3" t="n">
        <v>-3.609</v>
      </c>
      <c r="P710" s="3" t="n">
        <v>135.404</v>
      </c>
      <c r="Q710" s="3" t="s">
        <v>1866</v>
      </c>
      <c r="R710" s="3"/>
      <c r="S710" s="3" t="s">
        <v>68</v>
      </c>
    </row>
    <row r="711" customFormat="false" ht="13.8" hidden="false" customHeight="false" outlineLevel="0" collapsed="false">
      <c r="A711" s="3" t="s">
        <v>1867</v>
      </c>
      <c r="B711" s="3" t="n">
        <v>7.1</v>
      </c>
      <c r="C711" s="3" t="s">
        <v>1868</v>
      </c>
      <c r="D711" s="3" t="n">
        <v>5</v>
      </c>
      <c r="E711" s="3" t="n">
        <v>5</v>
      </c>
      <c r="F711" s="3"/>
      <c r="G711" s="3" t="n">
        <v>0</v>
      </c>
      <c r="H711" s="3" t="n">
        <v>782</v>
      </c>
      <c r="I711" s="3" t="s">
        <v>22</v>
      </c>
      <c r="J711" s="3" t="n">
        <v>585</v>
      </c>
      <c r="K711" s="3" t="n">
        <v>0</v>
      </c>
      <c r="L711" s="3" t="n">
        <v>14.7</v>
      </c>
      <c r="M711" s="3" t="s">
        <v>127</v>
      </c>
      <c r="N711" s="3" t="n">
        <v>10</v>
      </c>
      <c r="O711" s="3" t="n">
        <v>-46.676</v>
      </c>
      <c r="P711" s="3" t="n">
        <v>164.721</v>
      </c>
      <c r="Q711" s="3" t="s">
        <v>1869</v>
      </c>
      <c r="R711" s="3"/>
      <c r="S711" s="3"/>
    </row>
    <row r="712" customFormat="false" ht="13.8" hidden="false" customHeight="false" outlineLevel="0" collapsed="false">
      <c r="A712" s="3" t="s">
        <v>1870</v>
      </c>
      <c r="B712" s="3" t="n">
        <v>7.2</v>
      </c>
      <c r="C712" s="3" t="s">
        <v>1871</v>
      </c>
      <c r="D712" s="3" t="n">
        <v>8</v>
      </c>
      <c r="E712" s="3" t="n">
        <v>8</v>
      </c>
      <c r="F712" s="3"/>
      <c r="G712" s="3" t="n">
        <v>0</v>
      </c>
      <c r="H712" s="3" t="n">
        <v>820</v>
      </c>
      <c r="I712" s="3" t="s">
        <v>22</v>
      </c>
      <c r="J712" s="3" t="n">
        <v>708</v>
      </c>
      <c r="K712" s="3" t="n">
        <v>0</v>
      </c>
      <c r="L712" s="3" t="n">
        <v>50.2</v>
      </c>
      <c r="M712" s="3" t="s">
        <v>154</v>
      </c>
      <c r="N712" s="3" t="n">
        <v>15</v>
      </c>
      <c r="O712" s="3" t="n">
        <v>4.695</v>
      </c>
      <c r="P712" s="3" t="n">
        <v>-77.508</v>
      </c>
      <c r="Q712" s="3" t="s">
        <v>1872</v>
      </c>
      <c r="R712" s="3"/>
      <c r="S712" s="3" t="s">
        <v>54</v>
      </c>
    </row>
    <row r="713" customFormat="false" ht="13.8" hidden="false" customHeight="false" outlineLevel="0" collapsed="false">
      <c r="A713" s="3" t="s">
        <v>1873</v>
      </c>
      <c r="B713" s="3" t="n">
        <v>7.5</v>
      </c>
      <c r="C713" s="3" t="s">
        <v>1874</v>
      </c>
      <c r="D713" s="3" t="n">
        <v>5</v>
      </c>
      <c r="E713" s="3" t="n">
        <v>7</v>
      </c>
      <c r="F713" s="3"/>
      <c r="G713" s="3" t="n">
        <v>0</v>
      </c>
      <c r="H713" s="3" t="n">
        <v>870</v>
      </c>
      <c r="I713" s="3" t="s">
        <v>22</v>
      </c>
      <c r="J713" s="3" t="n">
        <v>301</v>
      </c>
      <c r="K713" s="3" t="n">
        <v>0</v>
      </c>
      <c r="L713" s="3" t="n">
        <v>33.8</v>
      </c>
      <c r="M713" s="3" t="s">
        <v>127</v>
      </c>
      <c r="N713" s="3" t="n">
        <v>10</v>
      </c>
      <c r="O713" s="3" t="n">
        <v>-8.152</v>
      </c>
      <c r="P713" s="3" t="n">
        <v>124.868</v>
      </c>
      <c r="Q713" s="3" t="s">
        <v>896</v>
      </c>
      <c r="R713" s="3"/>
      <c r="S713" s="3" t="s">
        <v>68</v>
      </c>
    </row>
    <row r="714" customFormat="false" ht="13.8" hidden="false" customHeight="false" outlineLevel="0" collapsed="false">
      <c r="A714" s="3" t="s">
        <v>1875</v>
      </c>
      <c r="B714" s="3" t="n">
        <v>6.7</v>
      </c>
      <c r="C714" s="3" t="s">
        <v>1876</v>
      </c>
      <c r="D714" s="3" t="n">
        <v>0</v>
      </c>
      <c r="E714" s="3" t="n">
        <v>6</v>
      </c>
      <c r="F714" s="3"/>
      <c r="G714" s="3" t="n">
        <v>0</v>
      </c>
      <c r="H714" s="3" t="n">
        <v>691</v>
      </c>
      <c r="I714" s="3" t="s">
        <v>22</v>
      </c>
      <c r="J714" s="3" t="n">
        <v>233</v>
      </c>
      <c r="K714" s="3" t="n">
        <v>0</v>
      </c>
      <c r="L714" s="3" t="n">
        <v>21.5</v>
      </c>
      <c r="M714" s="3" t="s">
        <v>154</v>
      </c>
      <c r="N714" s="3" t="n">
        <v>10</v>
      </c>
      <c r="O714" s="3" t="n">
        <v>-11.128</v>
      </c>
      <c r="P714" s="3" t="n">
        <v>162.208</v>
      </c>
      <c r="Q714" s="3" t="s">
        <v>581</v>
      </c>
      <c r="R714" s="3"/>
      <c r="S714" s="3"/>
    </row>
    <row r="715" customFormat="false" ht="13.8" hidden="false" customHeight="false" outlineLevel="0" collapsed="false">
      <c r="A715" s="3" t="s">
        <v>1877</v>
      </c>
      <c r="B715" s="3" t="n">
        <v>6.7</v>
      </c>
      <c r="C715" s="3" t="s">
        <v>1878</v>
      </c>
      <c r="D715" s="3" t="n">
        <v>7</v>
      </c>
      <c r="E715" s="3" t="n">
        <v>4</v>
      </c>
      <c r="F715" s="3"/>
      <c r="G715" s="3" t="n">
        <v>0</v>
      </c>
      <c r="H715" s="3" t="n">
        <v>703</v>
      </c>
      <c r="I715" s="3" t="s">
        <v>22</v>
      </c>
      <c r="J715" s="3" t="n">
        <v>459</v>
      </c>
      <c r="K715" s="3" t="n">
        <v>0</v>
      </c>
      <c r="L715" s="3" t="n">
        <v>37.3</v>
      </c>
      <c r="M715" s="3" t="s">
        <v>154</v>
      </c>
      <c r="N715" s="3" t="n">
        <v>10</v>
      </c>
      <c r="O715" s="3" t="n">
        <v>49.277</v>
      </c>
      <c r="P715" s="3" t="n">
        <v>-128.772</v>
      </c>
      <c r="Q715" s="3" t="s">
        <v>556</v>
      </c>
      <c r="R715" s="3"/>
      <c r="S715" s="3"/>
    </row>
    <row r="716" customFormat="false" ht="13.8" hidden="false" customHeight="false" outlineLevel="0" collapsed="false">
      <c r="A716" s="3" t="s">
        <v>1879</v>
      </c>
      <c r="B716" s="3" t="n">
        <v>6.6</v>
      </c>
      <c r="C716" s="3" t="s">
        <v>1880</v>
      </c>
      <c r="D716" s="3" t="n">
        <v>0</v>
      </c>
      <c r="E716" s="3" t="n">
        <v>8</v>
      </c>
      <c r="F716" s="3"/>
      <c r="G716" s="3" t="n">
        <v>0</v>
      </c>
      <c r="H716" s="3" t="n">
        <v>670</v>
      </c>
      <c r="I716" s="3" t="s">
        <v>22</v>
      </c>
      <c r="J716" s="3" t="n">
        <v>782</v>
      </c>
      <c r="K716" s="3" t="n">
        <v>0</v>
      </c>
      <c r="L716" s="3" t="n">
        <v>37</v>
      </c>
      <c r="M716" s="3" t="s">
        <v>127</v>
      </c>
      <c r="N716" s="3" t="n">
        <v>16</v>
      </c>
      <c r="O716" s="3" t="n">
        <v>37.226</v>
      </c>
      <c r="P716" s="3" t="n">
        <v>138.779</v>
      </c>
      <c r="Q716" s="3" t="s">
        <v>1881</v>
      </c>
      <c r="R716" s="3" t="s">
        <v>80</v>
      </c>
      <c r="S716" s="3" t="s">
        <v>322</v>
      </c>
    </row>
    <row r="717" customFormat="false" ht="13.8" hidden="false" customHeight="false" outlineLevel="0" collapsed="false">
      <c r="A717" s="3" t="s">
        <v>1882</v>
      </c>
      <c r="B717" s="3" t="n">
        <v>6.7</v>
      </c>
      <c r="C717" s="3" t="s">
        <v>1883</v>
      </c>
      <c r="D717" s="3" t="n">
        <v>5</v>
      </c>
      <c r="E717" s="3" t="n">
        <v>6</v>
      </c>
      <c r="F717" s="3"/>
      <c r="G717" s="3" t="n">
        <v>0</v>
      </c>
      <c r="H717" s="3" t="n">
        <v>705</v>
      </c>
      <c r="I717" s="3" t="s">
        <v>22</v>
      </c>
      <c r="J717" s="3" t="n">
        <v>698</v>
      </c>
      <c r="K717" s="3" t="n">
        <v>0</v>
      </c>
      <c r="L717" s="3" t="n">
        <v>24.7</v>
      </c>
      <c r="M717" s="3" t="s">
        <v>154</v>
      </c>
      <c r="N717" s="3" t="n">
        <v>94</v>
      </c>
      <c r="O717" s="3" t="n">
        <v>24.53</v>
      </c>
      <c r="P717" s="3" t="n">
        <v>122.694</v>
      </c>
      <c r="Q717" s="3" t="s">
        <v>1884</v>
      </c>
      <c r="R717" s="3"/>
      <c r="S717" s="3"/>
    </row>
    <row r="718" customFormat="false" ht="13.8" hidden="false" customHeight="false" outlineLevel="0" collapsed="false">
      <c r="A718" s="3" t="s">
        <v>1885</v>
      </c>
      <c r="B718" s="3" t="n">
        <v>7</v>
      </c>
      <c r="C718" s="3" t="s">
        <v>1886</v>
      </c>
      <c r="D718" s="3" t="n">
        <v>0</v>
      </c>
      <c r="E718" s="3" t="n">
        <v>6</v>
      </c>
      <c r="F718" s="3"/>
      <c r="G718" s="3" t="n">
        <v>0</v>
      </c>
      <c r="H718" s="3" t="n">
        <v>754</v>
      </c>
      <c r="I718" s="3" t="s">
        <v>22</v>
      </c>
      <c r="J718" s="3" t="n">
        <v>441</v>
      </c>
      <c r="K718" s="3" t="n">
        <v>0</v>
      </c>
      <c r="L718" s="3" t="n">
        <v>32.2</v>
      </c>
      <c r="M718" s="3" t="s">
        <v>127</v>
      </c>
      <c r="N718" s="3" t="n">
        <v>35</v>
      </c>
      <c r="O718" s="3" t="n">
        <v>11.422</v>
      </c>
      <c r="P718" s="3" t="n">
        <v>-86.665</v>
      </c>
      <c r="Q718" s="3" t="s">
        <v>206</v>
      </c>
      <c r="R718" s="3"/>
      <c r="S718" s="3"/>
    </row>
    <row r="719" customFormat="false" ht="13.8" hidden="false" customHeight="false" outlineLevel="0" collapsed="false">
      <c r="A719" s="3" t="s">
        <v>1887</v>
      </c>
      <c r="B719" s="3" t="n">
        <v>6.5</v>
      </c>
      <c r="C719" s="3" t="s">
        <v>1888</v>
      </c>
      <c r="D719" s="3" t="n">
        <v>5</v>
      </c>
      <c r="E719" s="3" t="n">
        <v>5</v>
      </c>
      <c r="F719" s="3"/>
      <c r="G719" s="3" t="n">
        <v>0</v>
      </c>
      <c r="H719" s="3" t="n">
        <v>665</v>
      </c>
      <c r="I719" s="3" t="s">
        <v>22</v>
      </c>
      <c r="J719" s="3" t="n">
        <v>526</v>
      </c>
      <c r="K719" s="3" t="n">
        <v>0</v>
      </c>
      <c r="L719" s="3" t="n">
        <v>18.3</v>
      </c>
      <c r="M719" s="3" t="s">
        <v>154</v>
      </c>
      <c r="N719" s="3" t="n">
        <v>105</v>
      </c>
      <c r="O719" s="3" t="n">
        <v>13.925</v>
      </c>
      <c r="P719" s="3" t="n">
        <v>120.534</v>
      </c>
      <c r="Q719" s="3" t="s">
        <v>1889</v>
      </c>
      <c r="R719" s="3"/>
      <c r="S719" s="3" t="s">
        <v>191</v>
      </c>
    </row>
    <row r="720" customFormat="false" ht="13.8" hidden="false" customHeight="false" outlineLevel="0" collapsed="false">
      <c r="A720" s="3" t="s">
        <v>1890</v>
      </c>
      <c r="B720" s="3" t="n">
        <v>6.8</v>
      </c>
      <c r="C720" s="3" t="s">
        <v>1891</v>
      </c>
      <c r="D720" s="3" t="n">
        <v>0</v>
      </c>
      <c r="E720" s="3" t="n">
        <v>6</v>
      </c>
      <c r="F720" s="3"/>
      <c r="G720" s="3" t="n">
        <v>0</v>
      </c>
      <c r="H720" s="3" t="n">
        <v>711</v>
      </c>
      <c r="I720" s="3" t="s">
        <v>22</v>
      </c>
      <c r="J720" s="3" t="n">
        <v>545</v>
      </c>
      <c r="K720" s="3" t="n">
        <v>0</v>
      </c>
      <c r="L720" s="3" t="n">
        <v>15.7</v>
      </c>
      <c r="M720" s="3" t="s">
        <v>154</v>
      </c>
      <c r="N720" s="3" t="n">
        <v>36</v>
      </c>
      <c r="O720" s="3" t="n">
        <v>-10.951</v>
      </c>
      <c r="P720" s="3" t="n">
        <v>162.161</v>
      </c>
      <c r="Q720" s="3" t="s">
        <v>581</v>
      </c>
      <c r="R720" s="3"/>
      <c r="S720" s="3" t="s">
        <v>140</v>
      </c>
    </row>
    <row r="721" customFormat="false" ht="13.8" hidden="false" customHeight="false" outlineLevel="0" collapsed="false">
      <c r="A721" s="3" t="s">
        <v>1892</v>
      </c>
      <c r="B721" s="3" t="n">
        <v>6.6</v>
      </c>
      <c r="C721" s="3" t="s">
        <v>1893</v>
      </c>
      <c r="D721" s="3" t="n">
        <v>0</v>
      </c>
      <c r="E721" s="3" t="n">
        <v>4</v>
      </c>
      <c r="F721" s="3"/>
      <c r="G721" s="3" t="n">
        <v>0</v>
      </c>
      <c r="H721" s="3" t="n">
        <v>670</v>
      </c>
      <c r="I721" s="3" t="s">
        <v>22</v>
      </c>
      <c r="J721" s="3" t="n">
        <v>478</v>
      </c>
      <c r="K721" s="3" t="n">
        <v>0</v>
      </c>
      <c r="L721" s="3" t="n">
        <v>29.8</v>
      </c>
      <c r="M721" s="3" t="s">
        <v>127</v>
      </c>
      <c r="N721" s="3" t="n">
        <v>10</v>
      </c>
      <c r="O721" s="3" t="n">
        <v>33.205</v>
      </c>
      <c r="P721" s="3" t="n">
        <v>137.227</v>
      </c>
      <c r="Q721" s="3" t="s">
        <v>1894</v>
      </c>
      <c r="R721" s="3"/>
      <c r="S721" s="3"/>
    </row>
    <row r="722" customFormat="false" ht="13.8" hidden="false" customHeight="false" outlineLevel="0" collapsed="false">
      <c r="A722" s="3" t="s">
        <v>1895</v>
      </c>
      <c r="B722" s="3" t="n">
        <v>7.4</v>
      </c>
      <c r="C722" s="3" t="s">
        <v>1896</v>
      </c>
      <c r="D722" s="3" t="n">
        <v>0</v>
      </c>
      <c r="E722" s="3" t="n">
        <v>5</v>
      </c>
      <c r="F722" s="3"/>
      <c r="G722" s="3" t="n">
        <v>0</v>
      </c>
      <c r="H722" s="3" t="n">
        <v>842</v>
      </c>
      <c r="I722" s="3" t="s">
        <v>22</v>
      </c>
      <c r="J722" s="3" t="n">
        <v>594</v>
      </c>
      <c r="K722" s="3" t="n">
        <v>0</v>
      </c>
      <c r="L722" s="3" t="n">
        <v>27.5</v>
      </c>
      <c r="M722" s="3" t="s">
        <v>154</v>
      </c>
      <c r="N722" s="3" t="n">
        <v>10</v>
      </c>
      <c r="O722" s="3" t="n">
        <v>33.184</v>
      </c>
      <c r="P722" s="3" t="n">
        <v>137.071</v>
      </c>
      <c r="Q722" s="3" t="s">
        <v>1894</v>
      </c>
      <c r="R722" s="3"/>
      <c r="S722" s="3"/>
    </row>
    <row r="723" customFormat="false" ht="13.8" hidden="false" customHeight="false" outlineLevel="0" collapsed="false">
      <c r="A723" s="3" t="s">
        <v>1897</v>
      </c>
      <c r="B723" s="3" t="n">
        <v>7.2</v>
      </c>
      <c r="C723" s="3" t="s">
        <v>1898</v>
      </c>
      <c r="D723" s="3" t="n">
        <v>0</v>
      </c>
      <c r="E723" s="3" t="n">
        <v>5</v>
      </c>
      <c r="F723" s="3"/>
      <c r="G723" s="3" t="n">
        <v>0</v>
      </c>
      <c r="H723" s="3" t="n">
        <v>798</v>
      </c>
      <c r="I723" s="3" t="s">
        <v>22</v>
      </c>
      <c r="J723" s="3" t="n">
        <v>643</v>
      </c>
      <c r="K723" s="3" t="n">
        <v>0</v>
      </c>
      <c r="L723" s="3" t="n">
        <v>28.4</v>
      </c>
      <c r="M723" s="3" t="s">
        <v>127</v>
      </c>
      <c r="N723" s="3" t="n">
        <v>14</v>
      </c>
      <c r="O723" s="3" t="n">
        <v>33.07</v>
      </c>
      <c r="P723" s="3" t="n">
        <v>136.618</v>
      </c>
      <c r="Q723" s="3" t="s">
        <v>1894</v>
      </c>
      <c r="R723" s="3"/>
      <c r="S723" s="3"/>
    </row>
    <row r="724" customFormat="false" ht="13.8" hidden="false" customHeight="false" outlineLevel="0" collapsed="false">
      <c r="A724" s="3" t="s">
        <v>1899</v>
      </c>
      <c r="B724" s="3" t="n">
        <v>6.5</v>
      </c>
      <c r="C724" s="3" t="s">
        <v>1900</v>
      </c>
      <c r="D724" s="3" t="n">
        <v>0</v>
      </c>
      <c r="E724" s="3" t="n">
        <v>7</v>
      </c>
      <c r="F724" s="3"/>
      <c r="G724" s="3" t="n">
        <v>0</v>
      </c>
      <c r="H724" s="3" t="n">
        <v>650</v>
      </c>
      <c r="I724" s="3" t="s">
        <v>22</v>
      </c>
      <c r="J724" s="3" t="n">
        <v>349</v>
      </c>
      <c r="K724" s="3" t="n">
        <v>0</v>
      </c>
      <c r="L724" s="3" t="n">
        <v>30.1</v>
      </c>
      <c r="M724" s="3" t="s">
        <v>154</v>
      </c>
      <c r="N724" s="3" t="n">
        <v>5</v>
      </c>
      <c r="O724" s="3" t="n">
        <v>-35.173</v>
      </c>
      <c r="P724" s="3" t="n">
        <v>-70.525</v>
      </c>
      <c r="Q724" s="3" t="s">
        <v>1901</v>
      </c>
      <c r="R724" s="3" t="s">
        <v>33</v>
      </c>
      <c r="S724" s="3" t="s">
        <v>373</v>
      </c>
    </row>
    <row r="725" customFormat="false" ht="13.8" hidden="false" customHeight="false" outlineLevel="0" collapsed="false">
      <c r="A725" s="3" t="s">
        <v>1902</v>
      </c>
      <c r="B725" s="3" t="n">
        <v>6.5</v>
      </c>
      <c r="C725" s="3" t="s">
        <v>1903</v>
      </c>
      <c r="D725" s="3" t="n">
        <v>0</v>
      </c>
      <c r="E725" s="3" t="n">
        <v>7</v>
      </c>
      <c r="F725" s="3"/>
      <c r="G725" s="3" t="n">
        <v>0</v>
      </c>
      <c r="H725" s="3" t="n">
        <v>650</v>
      </c>
      <c r="I725" s="3" t="s">
        <v>22</v>
      </c>
      <c r="J725" s="3" t="n">
        <v>305</v>
      </c>
      <c r="K725" s="3" t="n">
        <v>0</v>
      </c>
      <c r="L725" s="3" t="n">
        <v>39</v>
      </c>
      <c r="M725" s="3" t="s">
        <v>127</v>
      </c>
      <c r="N725" s="3" t="n">
        <v>13.4</v>
      </c>
      <c r="O725" s="3" t="n">
        <v>-0.443</v>
      </c>
      <c r="P725" s="3" t="n">
        <v>133.091</v>
      </c>
      <c r="Q725" s="3" t="s">
        <v>1275</v>
      </c>
      <c r="R725" s="3"/>
      <c r="S725" s="3" t="s">
        <v>68</v>
      </c>
    </row>
    <row r="726" customFormat="false" ht="13.8" hidden="false" customHeight="false" outlineLevel="0" collapsed="false">
      <c r="A726" s="3" t="s">
        <v>1904</v>
      </c>
      <c r="B726" s="3" t="n">
        <v>6.9</v>
      </c>
      <c r="C726" s="3" t="s">
        <v>1905</v>
      </c>
      <c r="D726" s="3" t="n">
        <v>0</v>
      </c>
      <c r="E726" s="3" t="n">
        <v>5</v>
      </c>
      <c r="F726" s="3"/>
      <c r="G726" s="3" t="n">
        <v>0</v>
      </c>
      <c r="H726" s="3" t="n">
        <v>732</v>
      </c>
      <c r="I726" s="3" t="s">
        <v>22</v>
      </c>
      <c r="J726" s="3" t="n">
        <v>798</v>
      </c>
      <c r="K726" s="3" t="n">
        <v>0</v>
      </c>
      <c r="L726" s="3" t="n">
        <v>31.2</v>
      </c>
      <c r="M726" s="3" t="s">
        <v>154</v>
      </c>
      <c r="N726" s="3" t="n">
        <v>188.6</v>
      </c>
      <c r="O726" s="3" t="n">
        <v>55.682</v>
      </c>
      <c r="P726" s="3" t="n">
        <v>160.003</v>
      </c>
      <c r="Q726" s="3" t="s">
        <v>1906</v>
      </c>
      <c r="R726" s="3" t="s">
        <v>80</v>
      </c>
      <c r="S726" s="3" t="s">
        <v>428</v>
      </c>
    </row>
    <row r="727" customFormat="false" ht="13.8" hidden="false" customHeight="false" outlineLevel="0" collapsed="false">
      <c r="A727" s="3" t="s">
        <v>1907</v>
      </c>
      <c r="B727" s="3" t="n">
        <v>6.6</v>
      </c>
      <c r="C727" s="3" t="s">
        <v>1908</v>
      </c>
      <c r="D727" s="3" t="n">
        <v>0</v>
      </c>
      <c r="E727" s="3" t="n">
        <v>7</v>
      </c>
      <c r="F727" s="3"/>
      <c r="G727" s="3" t="n">
        <v>0</v>
      </c>
      <c r="H727" s="3" t="n">
        <v>670</v>
      </c>
      <c r="I727" s="3" t="s">
        <v>22</v>
      </c>
      <c r="J727" s="3" t="n">
        <v>282</v>
      </c>
      <c r="K727" s="3" t="n">
        <v>0</v>
      </c>
      <c r="L727" s="3" t="n">
        <v>46.9</v>
      </c>
      <c r="M727" s="3" t="s">
        <v>154</v>
      </c>
      <c r="N727" s="3" t="n">
        <v>21</v>
      </c>
      <c r="O727" s="3" t="n">
        <v>-37.695</v>
      </c>
      <c r="P727" s="3" t="n">
        <v>-73.406</v>
      </c>
      <c r="Q727" s="3" t="s">
        <v>1437</v>
      </c>
      <c r="R727" s="3" t="s">
        <v>33</v>
      </c>
      <c r="S727" s="3" t="s">
        <v>373</v>
      </c>
    </row>
    <row r="728" customFormat="false" ht="13.8" hidden="false" customHeight="false" outlineLevel="0" collapsed="false">
      <c r="A728" s="3" t="s">
        <v>1909</v>
      </c>
      <c r="B728" s="3" t="n">
        <v>6.7</v>
      </c>
      <c r="C728" s="3" t="s">
        <v>1910</v>
      </c>
      <c r="D728" s="3" t="n">
        <v>0</v>
      </c>
      <c r="E728" s="3" t="n">
        <v>5</v>
      </c>
      <c r="F728" s="3"/>
      <c r="G728" s="3" t="n">
        <v>0</v>
      </c>
      <c r="H728" s="3" t="n">
        <v>691</v>
      </c>
      <c r="I728" s="3" t="s">
        <v>22</v>
      </c>
      <c r="J728" s="3" t="n">
        <v>386</v>
      </c>
      <c r="K728" s="3" t="n">
        <v>0</v>
      </c>
      <c r="L728" s="3" t="n">
        <v>27.6</v>
      </c>
      <c r="M728" s="3" t="s">
        <v>154</v>
      </c>
      <c r="N728" s="3" t="n">
        <v>65.8</v>
      </c>
      <c r="O728" s="3" t="n">
        <v>-9.362</v>
      </c>
      <c r="P728" s="3" t="n">
        <v>122.839</v>
      </c>
      <c r="Q728" s="3" t="s">
        <v>1911</v>
      </c>
      <c r="R728" s="3"/>
      <c r="S728" s="3" t="s">
        <v>68</v>
      </c>
    </row>
    <row r="729" customFormat="false" ht="13.8" hidden="false" customHeight="false" outlineLevel="0" collapsed="false">
      <c r="A729" s="3" t="s">
        <v>1912</v>
      </c>
      <c r="B729" s="3" t="n">
        <v>6.5</v>
      </c>
      <c r="C729" s="3" t="s">
        <v>1913</v>
      </c>
      <c r="D729" s="3" t="n">
        <v>0</v>
      </c>
      <c r="E729" s="3" t="n">
        <v>4</v>
      </c>
      <c r="F729" s="3"/>
      <c r="G729" s="3" t="n">
        <v>0</v>
      </c>
      <c r="H729" s="3" t="n">
        <v>650</v>
      </c>
      <c r="I729" s="3" t="s">
        <v>22</v>
      </c>
      <c r="J729" s="3" t="n">
        <v>424</v>
      </c>
      <c r="K729" s="3" t="n">
        <v>0</v>
      </c>
      <c r="L729" s="3" t="n">
        <v>29.9</v>
      </c>
      <c r="M729" s="3" t="s">
        <v>154</v>
      </c>
      <c r="N729" s="3" t="n">
        <v>228.4</v>
      </c>
      <c r="O729" s="3" t="n">
        <v>-13.174</v>
      </c>
      <c r="P729" s="3" t="n">
        <v>167.198</v>
      </c>
      <c r="Q729" s="3" t="s">
        <v>24</v>
      </c>
      <c r="R729" s="3"/>
      <c r="S729" s="3" t="s">
        <v>25</v>
      </c>
    </row>
    <row r="730" customFormat="false" ht="13.8" hidden="false" customHeight="false" outlineLevel="0" collapsed="false">
      <c r="A730" s="3" t="s">
        <v>1914</v>
      </c>
      <c r="B730" s="3" t="n">
        <v>6.6</v>
      </c>
      <c r="C730" s="3" t="s">
        <v>1915</v>
      </c>
      <c r="D730" s="3" t="n">
        <v>0</v>
      </c>
      <c r="E730" s="3" t="n">
        <v>4</v>
      </c>
      <c r="F730" s="3"/>
      <c r="G730" s="3" t="n">
        <v>0</v>
      </c>
      <c r="H730" s="3" t="n">
        <v>670</v>
      </c>
      <c r="I730" s="3" t="s">
        <v>22</v>
      </c>
      <c r="J730" s="3" t="n">
        <v>728</v>
      </c>
      <c r="K730" s="3" t="n">
        <v>0</v>
      </c>
      <c r="L730" s="3" t="n">
        <v>18.3</v>
      </c>
      <c r="M730" s="3" t="s">
        <v>154</v>
      </c>
      <c r="N730" s="3" t="n">
        <v>187.1</v>
      </c>
      <c r="O730" s="3" t="n">
        <v>36.512</v>
      </c>
      <c r="P730" s="3" t="n">
        <v>71.029</v>
      </c>
      <c r="Q730" s="3" t="s">
        <v>1916</v>
      </c>
      <c r="R730" s="3" t="s">
        <v>80</v>
      </c>
      <c r="S730" s="3" t="s">
        <v>92</v>
      </c>
    </row>
    <row r="731" customFormat="false" ht="13.8" hidden="false" customHeight="false" outlineLevel="0" collapsed="false">
      <c r="A731" s="3" t="s">
        <v>1917</v>
      </c>
      <c r="B731" s="3" t="n">
        <v>6.7</v>
      </c>
      <c r="C731" s="3" t="s">
        <v>1918</v>
      </c>
      <c r="D731" s="3" t="n">
        <v>0</v>
      </c>
      <c r="E731" s="3" t="n">
        <v>7</v>
      </c>
      <c r="F731" s="3"/>
      <c r="G731" s="3" t="n">
        <v>0</v>
      </c>
      <c r="H731" s="3" t="n">
        <v>691</v>
      </c>
      <c r="I731" s="3" t="s">
        <v>22</v>
      </c>
      <c r="J731" s="3" t="n">
        <v>256</v>
      </c>
      <c r="K731" s="3" t="n">
        <v>0</v>
      </c>
      <c r="L731" s="3" t="n">
        <v>33.3</v>
      </c>
      <c r="M731" s="3" t="s">
        <v>127</v>
      </c>
      <c r="N731" s="3" t="n">
        <v>25.7</v>
      </c>
      <c r="O731" s="3" t="n">
        <v>-3.665</v>
      </c>
      <c r="P731" s="3" t="n">
        <v>135.339</v>
      </c>
      <c r="Q731" s="3" t="s">
        <v>1866</v>
      </c>
      <c r="R731" s="3"/>
      <c r="S731" s="3" t="s">
        <v>68</v>
      </c>
    </row>
    <row r="732" customFormat="false" ht="13.8" hidden="false" customHeight="false" outlineLevel="0" collapsed="false">
      <c r="A732" s="3" t="s">
        <v>1919</v>
      </c>
      <c r="B732" s="3" t="n">
        <v>7.3</v>
      </c>
      <c r="C732" s="3" t="s">
        <v>1920</v>
      </c>
      <c r="D732" s="3" t="n">
        <v>0</v>
      </c>
      <c r="E732" s="3" t="n">
        <v>7</v>
      </c>
      <c r="F732" s="3"/>
      <c r="G732" s="3" t="n">
        <v>0</v>
      </c>
      <c r="H732" s="3" t="n">
        <v>820</v>
      </c>
      <c r="I732" s="3" t="s">
        <v>22</v>
      </c>
      <c r="J732" s="3" t="n">
        <v>390</v>
      </c>
      <c r="K732" s="3" t="n">
        <v>0</v>
      </c>
      <c r="L732" s="3" t="n">
        <v>23</v>
      </c>
      <c r="M732" s="3" t="s">
        <v>154</v>
      </c>
      <c r="N732" s="3" t="n">
        <v>10</v>
      </c>
      <c r="O732" s="3" t="n">
        <v>-4.003</v>
      </c>
      <c r="P732" s="3" t="n">
        <v>135.023</v>
      </c>
      <c r="Q732" s="3" t="s">
        <v>1414</v>
      </c>
      <c r="R732" s="3"/>
      <c r="S732" s="3" t="s">
        <v>68</v>
      </c>
    </row>
    <row r="733" customFormat="false" ht="13.8" hidden="false" customHeight="false" outlineLevel="0" collapsed="false">
      <c r="A733" s="3" t="s">
        <v>1921</v>
      </c>
      <c r="B733" s="3" t="n">
        <v>7</v>
      </c>
      <c r="C733" s="3" t="s">
        <v>1922</v>
      </c>
      <c r="D733" s="3" t="n">
        <v>0</v>
      </c>
      <c r="E733" s="3" t="n">
        <v>7</v>
      </c>
      <c r="F733" s="3"/>
      <c r="G733" s="3" t="n">
        <v>0</v>
      </c>
      <c r="H733" s="3" t="n">
        <v>754</v>
      </c>
      <c r="I733" s="3" t="s">
        <v>22</v>
      </c>
      <c r="J733" s="3" t="n">
        <v>367</v>
      </c>
      <c r="K733" s="3" t="n">
        <v>0</v>
      </c>
      <c r="L733" s="3" t="n">
        <v>33</v>
      </c>
      <c r="M733" s="3" t="s">
        <v>127</v>
      </c>
      <c r="N733" s="3" t="n">
        <v>16.6</v>
      </c>
      <c r="O733" s="3" t="n">
        <v>-3.615</v>
      </c>
      <c r="P733" s="3" t="n">
        <v>135.538</v>
      </c>
      <c r="Q733" s="3" t="s">
        <v>1866</v>
      </c>
      <c r="R733" s="3"/>
      <c r="S733" s="3" t="s">
        <v>68</v>
      </c>
    </row>
    <row r="734" customFormat="false" ht="13.8" hidden="false" customHeight="false" outlineLevel="0" collapsed="false">
      <c r="A734" s="3" t="s">
        <v>1923</v>
      </c>
      <c r="B734" s="3" t="n">
        <v>6.7</v>
      </c>
      <c r="C734" s="3" t="s">
        <v>1924</v>
      </c>
      <c r="D734" s="3" t="n">
        <v>0</v>
      </c>
      <c r="E734" s="3" t="n">
        <v>6</v>
      </c>
      <c r="F734" s="3"/>
      <c r="G734" s="3" t="n">
        <v>0</v>
      </c>
      <c r="H734" s="3" t="n">
        <v>691</v>
      </c>
      <c r="I734" s="3" t="s">
        <v>22</v>
      </c>
      <c r="J734" s="3" t="n">
        <v>243</v>
      </c>
      <c r="K734" s="3" t="n">
        <v>0</v>
      </c>
      <c r="L734" s="3" t="n">
        <v>42.5</v>
      </c>
      <c r="M734" s="3" t="s">
        <v>154</v>
      </c>
      <c r="N734" s="3" t="n">
        <v>17.4</v>
      </c>
      <c r="O734" s="3" t="n">
        <v>-3.12</v>
      </c>
      <c r="P734" s="3" t="n">
        <v>127.4</v>
      </c>
      <c r="Q734" s="3" t="s">
        <v>1770</v>
      </c>
      <c r="R734" s="3"/>
      <c r="S734" s="3" t="s">
        <v>68</v>
      </c>
    </row>
    <row r="735" customFormat="false" ht="13.8" hidden="false" customHeight="false" outlineLevel="0" collapsed="false">
      <c r="A735" s="3" t="s">
        <v>1925</v>
      </c>
      <c r="B735" s="3" t="n">
        <v>7.3</v>
      </c>
      <c r="C735" s="3" t="s">
        <v>1926</v>
      </c>
      <c r="D735" s="3" t="n">
        <v>0</v>
      </c>
      <c r="E735" s="3" t="n">
        <v>4</v>
      </c>
      <c r="F735" s="3"/>
      <c r="G735" s="3" t="n">
        <v>0</v>
      </c>
      <c r="H735" s="3" t="n">
        <v>820</v>
      </c>
      <c r="I735" s="3" t="s">
        <v>22</v>
      </c>
      <c r="J735" s="3" t="n">
        <v>235</v>
      </c>
      <c r="K735" s="3" t="n">
        <v>0</v>
      </c>
      <c r="L735" s="3" t="n">
        <v>46.6</v>
      </c>
      <c r="M735" s="3" t="s">
        <v>127</v>
      </c>
      <c r="N735" s="3" t="n">
        <v>10</v>
      </c>
      <c r="O735" s="3" t="n">
        <v>-22.015</v>
      </c>
      <c r="P735" s="3" t="n">
        <v>169.766</v>
      </c>
      <c r="Q735" s="3" t="s">
        <v>211</v>
      </c>
      <c r="R735" s="3"/>
      <c r="S735" s="3"/>
    </row>
    <row r="736" customFormat="false" ht="13.8" hidden="false" customHeight="false" outlineLevel="0" collapsed="false">
      <c r="A736" s="3" t="s">
        <v>1927</v>
      </c>
      <c r="B736" s="3" t="n">
        <v>6.6</v>
      </c>
      <c r="C736" s="3" t="s">
        <v>1928</v>
      </c>
      <c r="D736" s="3" t="n">
        <v>0</v>
      </c>
      <c r="E736" s="3" t="n">
        <v>9</v>
      </c>
      <c r="F736" s="3"/>
      <c r="G736" s="3" t="n">
        <v>0</v>
      </c>
      <c r="H736" s="3" t="n">
        <v>670</v>
      </c>
      <c r="I736" s="3" t="s">
        <v>22</v>
      </c>
      <c r="J736" s="3" t="n">
        <v>552</v>
      </c>
      <c r="K736" s="3" t="n">
        <v>0</v>
      </c>
      <c r="L736" s="3" t="n">
        <v>44.8</v>
      </c>
      <c r="M736" s="3" t="s">
        <v>127</v>
      </c>
      <c r="N736" s="3" t="n">
        <v>10</v>
      </c>
      <c r="O736" s="3" t="n">
        <v>28.995</v>
      </c>
      <c r="P736" s="3" t="n">
        <v>58.311</v>
      </c>
      <c r="Q736" s="3" t="s">
        <v>1404</v>
      </c>
      <c r="R736" s="3" t="s">
        <v>80</v>
      </c>
      <c r="S736" s="3" t="s">
        <v>660</v>
      </c>
    </row>
    <row r="737" customFormat="false" ht="13.8" hidden="false" customHeight="false" outlineLevel="0" collapsed="false">
      <c r="A737" s="3" t="s">
        <v>1929</v>
      </c>
      <c r="B737" s="3" t="n">
        <v>6.5</v>
      </c>
      <c r="C737" s="3" t="s">
        <v>1930</v>
      </c>
      <c r="D737" s="3" t="n">
        <v>0</v>
      </c>
      <c r="E737" s="3" t="n">
        <v>6</v>
      </c>
      <c r="F737" s="3"/>
      <c r="G737" s="3" t="n">
        <v>0</v>
      </c>
      <c r="H737" s="3" t="n">
        <v>650</v>
      </c>
      <c r="I737" s="3" t="s">
        <v>22</v>
      </c>
      <c r="J737" s="3" t="n">
        <v>405</v>
      </c>
      <c r="K737" s="3" t="n">
        <v>0</v>
      </c>
      <c r="L737" s="3" t="n">
        <v>48.4</v>
      </c>
      <c r="M737" s="3" t="s">
        <v>154</v>
      </c>
      <c r="N737" s="3" t="n">
        <v>33</v>
      </c>
      <c r="O737" s="3" t="n">
        <v>8.416</v>
      </c>
      <c r="P737" s="3" t="n">
        <v>-82.824</v>
      </c>
      <c r="Q737" s="3" t="s">
        <v>1931</v>
      </c>
      <c r="R737" s="3"/>
      <c r="S737" s="3" t="s">
        <v>160</v>
      </c>
    </row>
    <row r="738" customFormat="false" ht="13.8" hidden="false" customHeight="false" outlineLevel="0" collapsed="false">
      <c r="A738" s="3" t="s">
        <v>1932</v>
      </c>
      <c r="B738" s="3" t="n">
        <v>6.5</v>
      </c>
      <c r="C738" s="3" t="s">
        <v>1933</v>
      </c>
      <c r="D738" s="3" t="n">
        <v>7</v>
      </c>
      <c r="E738" s="3" t="n">
        <v>9</v>
      </c>
      <c r="F738" s="3"/>
      <c r="G738" s="3" t="n">
        <v>0</v>
      </c>
      <c r="H738" s="3" t="n">
        <v>1390</v>
      </c>
      <c r="I738" s="3" t="s">
        <v>1087</v>
      </c>
      <c r="J738" s="3" t="n">
        <v>65</v>
      </c>
      <c r="K738" s="3" t="n">
        <v>0.04685</v>
      </c>
      <c r="L738" s="3" t="n">
        <v>71</v>
      </c>
      <c r="M738" s="3" t="s">
        <v>485</v>
      </c>
      <c r="N738" s="3" t="n">
        <v>8.382</v>
      </c>
      <c r="O738" s="3" t="n">
        <v>35.7005</v>
      </c>
      <c r="P738" s="3" t="n">
        <v>-121.101</v>
      </c>
      <c r="Q738" s="3" t="s">
        <v>1934</v>
      </c>
      <c r="R738" s="3" t="s">
        <v>164</v>
      </c>
      <c r="S738" s="3" t="s">
        <v>261</v>
      </c>
    </row>
    <row r="739" customFormat="false" ht="13.8" hidden="false" customHeight="false" outlineLevel="0" collapsed="false">
      <c r="A739" s="3" t="s">
        <v>1935</v>
      </c>
      <c r="B739" s="3" t="n">
        <v>6.8</v>
      </c>
      <c r="C739" s="3" t="s">
        <v>1936</v>
      </c>
      <c r="D739" s="3" t="n">
        <v>0</v>
      </c>
      <c r="E739" s="3" t="n">
        <v>7</v>
      </c>
      <c r="F739" s="3"/>
      <c r="G739" s="3" t="n">
        <v>0</v>
      </c>
      <c r="H739" s="3" t="n">
        <v>711</v>
      </c>
      <c r="I739" s="3" t="s">
        <v>22</v>
      </c>
      <c r="J739" s="3" t="n">
        <v>447</v>
      </c>
      <c r="K739" s="3" t="n">
        <v>0</v>
      </c>
      <c r="L739" s="3" t="n">
        <v>27.7</v>
      </c>
      <c r="M739" s="3" t="s">
        <v>154</v>
      </c>
      <c r="N739" s="3" t="n">
        <v>10</v>
      </c>
      <c r="O739" s="3" t="n">
        <v>23.039</v>
      </c>
      <c r="P739" s="3" t="n">
        <v>121.362</v>
      </c>
      <c r="Q739" s="3" t="s">
        <v>170</v>
      </c>
      <c r="R739" s="3" t="s">
        <v>80</v>
      </c>
      <c r="S739" s="3" t="s">
        <v>171</v>
      </c>
    </row>
    <row r="740" customFormat="false" ht="13.8" hidden="false" customHeight="false" outlineLevel="0" collapsed="false">
      <c r="A740" s="3" t="s">
        <v>1937</v>
      </c>
      <c r="B740" s="3" t="n">
        <v>6.6</v>
      </c>
      <c r="C740" s="3" t="s">
        <v>1938</v>
      </c>
      <c r="D740" s="3" t="n">
        <v>0</v>
      </c>
      <c r="E740" s="3" t="n">
        <v>6</v>
      </c>
      <c r="F740" s="3"/>
      <c r="G740" s="3" t="n">
        <v>0</v>
      </c>
      <c r="H740" s="3" t="n">
        <v>670</v>
      </c>
      <c r="I740" s="3" t="s">
        <v>22</v>
      </c>
      <c r="J740" s="3" t="n">
        <v>384</v>
      </c>
      <c r="K740" s="3" t="n">
        <v>0</v>
      </c>
      <c r="L740" s="3" t="n">
        <v>25.1</v>
      </c>
      <c r="M740" s="3" t="s">
        <v>154</v>
      </c>
      <c r="N740" s="3" t="n">
        <v>35</v>
      </c>
      <c r="O740" s="3" t="n">
        <v>-5.581</v>
      </c>
      <c r="P740" s="3" t="n">
        <v>150.88</v>
      </c>
      <c r="Q740" s="3" t="s">
        <v>107</v>
      </c>
      <c r="R740" s="3"/>
      <c r="S740" s="3" t="s">
        <v>85</v>
      </c>
    </row>
    <row r="741" customFormat="false" ht="13.8" hidden="false" customHeight="false" outlineLevel="0" collapsed="false">
      <c r="A741" s="3" t="s">
        <v>1939</v>
      </c>
      <c r="B741" s="3" t="n">
        <v>6.5</v>
      </c>
      <c r="C741" s="3" t="s">
        <v>1940</v>
      </c>
      <c r="D741" s="3" t="n">
        <v>0</v>
      </c>
      <c r="E741" s="3" t="n">
        <v>6</v>
      </c>
      <c r="F741" s="3"/>
      <c r="G741" s="3" t="n">
        <v>0</v>
      </c>
      <c r="H741" s="3" t="n">
        <v>650</v>
      </c>
      <c r="I741" s="3" t="s">
        <v>22</v>
      </c>
      <c r="J741" s="3" t="n">
        <v>487</v>
      </c>
      <c r="K741" s="3" t="n">
        <v>0</v>
      </c>
      <c r="L741" s="3" t="n">
        <v>45.9</v>
      </c>
      <c r="M741" s="3" t="s">
        <v>154</v>
      </c>
      <c r="N741" s="3" t="n">
        <v>35</v>
      </c>
      <c r="O741" s="3" t="n">
        <v>12.025</v>
      </c>
      <c r="P741" s="3" t="n">
        <v>125.416</v>
      </c>
      <c r="Q741" s="3" t="s">
        <v>1941</v>
      </c>
      <c r="R741" s="3"/>
      <c r="S741" s="3" t="s">
        <v>191</v>
      </c>
    </row>
    <row r="742" customFormat="false" ht="13.8" hidden="false" customHeight="false" outlineLevel="0" collapsed="false">
      <c r="A742" s="3" t="s">
        <v>1942</v>
      </c>
      <c r="B742" s="3" t="n">
        <v>6.6</v>
      </c>
      <c r="C742" s="3" t="s">
        <v>1943</v>
      </c>
      <c r="D742" s="3" t="n">
        <v>0</v>
      </c>
      <c r="E742" s="3" t="n">
        <v>5</v>
      </c>
      <c r="F742" s="3"/>
      <c r="G742" s="3" t="n">
        <v>0</v>
      </c>
      <c r="H742" s="3" t="n">
        <v>670</v>
      </c>
      <c r="I742" s="3" t="s">
        <v>22</v>
      </c>
      <c r="J742" s="3" t="n">
        <v>475</v>
      </c>
      <c r="K742" s="3" t="n">
        <v>0</v>
      </c>
      <c r="L742" s="3" t="n">
        <v>26.2</v>
      </c>
      <c r="M742" s="3" t="s">
        <v>154</v>
      </c>
      <c r="N742" s="3" t="n">
        <v>113.7</v>
      </c>
      <c r="O742" s="3" t="n">
        <v>-19.262</v>
      </c>
      <c r="P742" s="3" t="n">
        <v>168.892</v>
      </c>
      <c r="Q742" s="3" t="s">
        <v>177</v>
      </c>
      <c r="R742" s="3"/>
      <c r="S742" s="3"/>
    </row>
    <row r="743" customFormat="false" ht="13.8" hidden="false" customHeight="false" outlineLevel="0" collapsed="false">
      <c r="A743" s="3" t="s">
        <v>1944</v>
      </c>
      <c r="B743" s="3" t="n">
        <v>7</v>
      </c>
      <c r="C743" s="3" t="s">
        <v>1945</v>
      </c>
      <c r="D743" s="3" t="n">
        <v>0</v>
      </c>
      <c r="E743" s="3" t="n">
        <v>5</v>
      </c>
      <c r="F743" s="3"/>
      <c r="G743" s="3" t="n">
        <v>0</v>
      </c>
      <c r="H743" s="3" t="n">
        <v>754</v>
      </c>
      <c r="I743" s="3" t="s">
        <v>22</v>
      </c>
      <c r="J743" s="3" t="n">
        <v>568</v>
      </c>
      <c r="K743" s="3" t="n">
        <v>0</v>
      </c>
      <c r="L743" s="3" t="n">
        <v>61.2</v>
      </c>
      <c r="M743" s="3" t="s">
        <v>154</v>
      </c>
      <c r="N743" s="3" t="n">
        <v>10</v>
      </c>
      <c r="O743" s="3" t="n">
        <v>37.812</v>
      </c>
      <c r="P743" s="3" t="n">
        <v>142.619</v>
      </c>
      <c r="Q743" s="3" t="s">
        <v>331</v>
      </c>
      <c r="R743" s="3"/>
      <c r="S743" s="3"/>
    </row>
    <row r="744" customFormat="false" ht="13.8" hidden="false" customHeight="false" outlineLevel="0" collapsed="false">
      <c r="A744" s="3" t="s">
        <v>1946</v>
      </c>
      <c r="B744" s="3" t="n">
        <v>6.7</v>
      </c>
      <c r="C744" s="3" t="s">
        <v>1947</v>
      </c>
      <c r="D744" s="3" t="n">
        <v>0</v>
      </c>
      <c r="E744" s="3" t="n">
        <v>6</v>
      </c>
      <c r="F744" s="3"/>
      <c r="G744" s="3" t="n">
        <v>0</v>
      </c>
      <c r="H744" s="3" t="n">
        <v>691</v>
      </c>
      <c r="I744" s="3" t="s">
        <v>22</v>
      </c>
      <c r="J744" s="3" t="n">
        <v>556</v>
      </c>
      <c r="K744" s="3" t="n">
        <v>0</v>
      </c>
      <c r="L744" s="3" t="n">
        <v>55.4</v>
      </c>
      <c r="M744" s="3" t="s">
        <v>127</v>
      </c>
      <c r="N744" s="3" t="n">
        <v>32</v>
      </c>
      <c r="O744" s="3" t="n">
        <v>42.648</v>
      </c>
      <c r="P744" s="3" t="n">
        <v>144.57</v>
      </c>
      <c r="Q744" s="3" t="s">
        <v>1948</v>
      </c>
      <c r="R744" s="3" t="s">
        <v>80</v>
      </c>
      <c r="S744" s="3"/>
    </row>
    <row r="745" customFormat="false" ht="13.8" hidden="false" customHeight="false" outlineLevel="0" collapsed="false">
      <c r="A745" s="3" t="s">
        <v>1949</v>
      </c>
      <c r="B745" s="3" t="n">
        <v>6.7</v>
      </c>
      <c r="C745" s="3" t="s">
        <v>1950</v>
      </c>
      <c r="D745" s="3" t="n">
        <v>0</v>
      </c>
      <c r="E745" s="3" t="n">
        <v>7</v>
      </c>
      <c r="F745" s="3"/>
      <c r="G745" s="3" t="n">
        <v>0</v>
      </c>
      <c r="H745" s="3" t="n">
        <v>691</v>
      </c>
      <c r="I745" s="3" t="s">
        <v>22</v>
      </c>
      <c r="J745" s="3" t="n">
        <v>643</v>
      </c>
      <c r="K745" s="3" t="n">
        <v>0</v>
      </c>
      <c r="L745" s="3" t="n">
        <v>24.5</v>
      </c>
      <c r="M745" s="3" t="s">
        <v>154</v>
      </c>
      <c r="N745" s="3" t="n">
        <v>10</v>
      </c>
      <c r="O745" s="3" t="n">
        <v>50.211</v>
      </c>
      <c r="P745" s="3" t="n">
        <v>87.721</v>
      </c>
      <c r="Q745" s="3" t="s">
        <v>1951</v>
      </c>
      <c r="R745" s="3" t="s">
        <v>80</v>
      </c>
      <c r="S745" s="3" t="s">
        <v>428</v>
      </c>
    </row>
    <row r="746" customFormat="false" ht="13.8" hidden="false" customHeight="false" outlineLevel="0" collapsed="false">
      <c r="A746" s="3" t="s">
        <v>1952</v>
      </c>
      <c r="B746" s="3" t="n">
        <v>6.5</v>
      </c>
      <c r="C746" s="3" t="s">
        <v>1953</v>
      </c>
      <c r="D746" s="3" t="n">
        <v>0</v>
      </c>
      <c r="E746" s="3" t="n">
        <v>5</v>
      </c>
      <c r="F746" s="3"/>
      <c r="G746" s="3" t="n">
        <v>0</v>
      </c>
      <c r="H746" s="3" t="n">
        <v>650</v>
      </c>
      <c r="I746" s="3" t="s">
        <v>22</v>
      </c>
      <c r="J746" s="3" t="n">
        <v>586</v>
      </c>
      <c r="K746" s="3" t="n">
        <v>0</v>
      </c>
      <c r="L746" s="3" t="n">
        <v>71.3</v>
      </c>
      <c r="M746" s="3" t="s">
        <v>127</v>
      </c>
      <c r="N746" s="3" t="n">
        <v>25</v>
      </c>
      <c r="O746" s="3" t="n">
        <v>42.45</v>
      </c>
      <c r="P746" s="3" t="n">
        <v>144.38</v>
      </c>
      <c r="Q746" s="3" t="s">
        <v>1948</v>
      </c>
      <c r="R746" s="3"/>
      <c r="S746" s="3"/>
    </row>
    <row r="747" customFormat="false" ht="13.8" hidden="false" customHeight="false" outlineLevel="0" collapsed="false">
      <c r="A747" s="3" t="s">
        <v>1954</v>
      </c>
      <c r="B747" s="3" t="n">
        <v>7.3</v>
      </c>
      <c r="C747" s="3" t="s">
        <v>1955</v>
      </c>
      <c r="D747" s="3" t="n">
        <v>0</v>
      </c>
      <c r="E747" s="3" t="n">
        <v>7</v>
      </c>
      <c r="F747" s="3"/>
      <c r="G747" s="3" t="n">
        <v>0</v>
      </c>
      <c r="H747" s="3" t="n">
        <v>820</v>
      </c>
      <c r="I747" s="3" t="s">
        <v>22</v>
      </c>
      <c r="J747" s="3" t="n">
        <v>667</v>
      </c>
      <c r="K747" s="3" t="n">
        <v>0</v>
      </c>
      <c r="L747" s="3" t="n">
        <v>24.5</v>
      </c>
      <c r="M747" s="3" t="s">
        <v>154</v>
      </c>
      <c r="N747" s="3" t="n">
        <v>16</v>
      </c>
      <c r="O747" s="3" t="n">
        <v>50.038</v>
      </c>
      <c r="P747" s="3" t="n">
        <v>87.813</v>
      </c>
      <c r="Q747" s="3" t="s">
        <v>1951</v>
      </c>
      <c r="R747" s="3" t="s">
        <v>80</v>
      </c>
      <c r="S747" s="3" t="s">
        <v>428</v>
      </c>
    </row>
    <row r="748" customFormat="false" ht="13.8" hidden="false" customHeight="false" outlineLevel="0" collapsed="false">
      <c r="A748" s="3" t="s">
        <v>1956</v>
      </c>
      <c r="B748" s="3" t="n">
        <v>7.4</v>
      </c>
      <c r="C748" s="3" t="s">
        <v>1957</v>
      </c>
      <c r="D748" s="3" t="n">
        <v>0</v>
      </c>
      <c r="E748" s="3" t="n">
        <v>7</v>
      </c>
      <c r="F748" s="3"/>
      <c r="G748" s="3" t="n">
        <v>0</v>
      </c>
      <c r="H748" s="3" t="n">
        <v>842</v>
      </c>
      <c r="I748" s="3" t="s">
        <v>22</v>
      </c>
      <c r="J748" s="3" t="n">
        <v>514</v>
      </c>
      <c r="K748" s="3" t="n">
        <v>0</v>
      </c>
      <c r="L748" s="3" t="n">
        <v>78.8</v>
      </c>
      <c r="M748" s="3" t="s">
        <v>127</v>
      </c>
      <c r="N748" s="3" t="n">
        <v>33</v>
      </c>
      <c r="O748" s="3" t="n">
        <v>41.774</v>
      </c>
      <c r="P748" s="3" t="n">
        <v>143.593</v>
      </c>
      <c r="Q748" s="3" t="s">
        <v>853</v>
      </c>
      <c r="R748" s="3" t="s">
        <v>80</v>
      </c>
      <c r="S748" s="3"/>
    </row>
    <row r="749" customFormat="false" ht="13.8" hidden="false" customHeight="false" outlineLevel="0" collapsed="false">
      <c r="A749" s="3" t="s">
        <v>1958</v>
      </c>
      <c r="B749" s="3" t="n">
        <v>8.16</v>
      </c>
      <c r="C749" s="3" t="s">
        <v>1959</v>
      </c>
      <c r="D749" s="3" t="n">
        <v>0</v>
      </c>
      <c r="E749" s="3" t="n">
        <v>9</v>
      </c>
      <c r="F749" s="3"/>
      <c r="G749" s="3" t="n">
        <v>0</v>
      </c>
      <c r="H749" s="3" t="n">
        <v>1024</v>
      </c>
      <c r="I749" s="3" t="s">
        <v>1293</v>
      </c>
      <c r="J749" s="3" t="n">
        <v>0</v>
      </c>
      <c r="K749" s="3" t="n">
        <v>0</v>
      </c>
      <c r="L749" s="3" t="n">
        <v>0</v>
      </c>
      <c r="M749" s="3" t="s">
        <v>23</v>
      </c>
      <c r="N749" s="3" t="n">
        <v>27</v>
      </c>
      <c r="O749" s="3" t="n">
        <v>41.815</v>
      </c>
      <c r="P749" s="3" t="n">
        <v>143.91</v>
      </c>
      <c r="Q749" s="3" t="s">
        <v>1948</v>
      </c>
      <c r="R749" s="3"/>
      <c r="S749" s="3"/>
    </row>
    <row r="750" customFormat="false" ht="13.8" hidden="false" customHeight="false" outlineLevel="0" collapsed="false">
      <c r="A750" s="3" t="s">
        <v>1960</v>
      </c>
      <c r="B750" s="3" t="n">
        <v>6.6</v>
      </c>
      <c r="C750" s="3" t="s">
        <v>1961</v>
      </c>
      <c r="D750" s="3" t="n">
        <v>0</v>
      </c>
      <c r="E750" s="3" t="n">
        <v>7</v>
      </c>
      <c r="F750" s="3"/>
      <c r="G750" s="3" t="n">
        <v>0</v>
      </c>
      <c r="H750" s="3" t="n">
        <v>670</v>
      </c>
      <c r="I750" s="3" t="s">
        <v>22</v>
      </c>
      <c r="J750" s="3" t="n">
        <v>518</v>
      </c>
      <c r="K750" s="3" t="n">
        <v>0</v>
      </c>
      <c r="L750" s="3" t="n">
        <v>24.7</v>
      </c>
      <c r="M750" s="3" t="s">
        <v>154</v>
      </c>
      <c r="N750" s="3" t="n">
        <v>10</v>
      </c>
      <c r="O750" s="3" t="n">
        <v>19.917</v>
      </c>
      <c r="P750" s="3" t="n">
        <v>95.672</v>
      </c>
      <c r="Q750" s="3" t="s">
        <v>1962</v>
      </c>
      <c r="R750" s="3" t="s">
        <v>80</v>
      </c>
      <c r="S750" s="3" t="s">
        <v>801</v>
      </c>
    </row>
    <row r="751" customFormat="false" ht="13.8" hidden="false" customHeight="false" outlineLevel="0" collapsed="false">
      <c r="A751" s="3" t="s">
        <v>1963</v>
      </c>
      <c r="B751" s="3" t="n">
        <v>7.2</v>
      </c>
      <c r="C751" s="3" t="s">
        <v>1964</v>
      </c>
      <c r="D751" s="3" t="n">
        <v>0</v>
      </c>
      <c r="E751" s="3" t="n">
        <v>7</v>
      </c>
      <c r="F751" s="3"/>
      <c r="G751" s="3" t="n">
        <v>0</v>
      </c>
      <c r="H751" s="3" t="n">
        <v>798</v>
      </c>
      <c r="I751" s="3" t="s">
        <v>22</v>
      </c>
      <c r="J751" s="3" t="n">
        <v>428</v>
      </c>
      <c r="K751" s="3" t="n">
        <v>0</v>
      </c>
      <c r="L751" s="3" t="n">
        <v>17.5</v>
      </c>
      <c r="M751" s="3" t="s">
        <v>127</v>
      </c>
      <c r="N751" s="3" t="n">
        <v>28</v>
      </c>
      <c r="O751" s="3" t="n">
        <v>-45.104</v>
      </c>
      <c r="P751" s="3" t="n">
        <v>167.144</v>
      </c>
      <c r="Q751" s="3" t="s">
        <v>1547</v>
      </c>
      <c r="R751" s="3"/>
      <c r="S751" s="3" t="s">
        <v>774</v>
      </c>
    </row>
    <row r="752" customFormat="false" ht="13.8" hidden="false" customHeight="false" outlineLevel="0" collapsed="false">
      <c r="A752" s="3" t="s">
        <v>1965</v>
      </c>
      <c r="B752" s="3" t="n">
        <v>7.6</v>
      </c>
      <c r="C752" s="3" t="s">
        <v>1966</v>
      </c>
      <c r="D752" s="3" t="n">
        <v>0</v>
      </c>
      <c r="E752" s="3" t="n">
        <v>6</v>
      </c>
      <c r="F752" s="3"/>
      <c r="G752" s="3" t="n">
        <v>0</v>
      </c>
      <c r="H752" s="3" t="n">
        <v>889</v>
      </c>
      <c r="I752" s="3" t="s">
        <v>22</v>
      </c>
      <c r="J752" s="3" t="n">
        <v>315</v>
      </c>
      <c r="K752" s="3" t="n">
        <v>0</v>
      </c>
      <c r="L752" s="3" t="n">
        <v>25.2</v>
      </c>
      <c r="M752" s="3" t="s">
        <v>127</v>
      </c>
      <c r="N752" s="3" t="n">
        <v>10</v>
      </c>
      <c r="O752" s="3" t="n">
        <v>-60.532</v>
      </c>
      <c r="P752" s="3" t="n">
        <v>-43.411</v>
      </c>
      <c r="Q752" s="3" t="s">
        <v>1108</v>
      </c>
      <c r="R752" s="3"/>
      <c r="S752" s="3" t="s">
        <v>464</v>
      </c>
    </row>
    <row r="753" customFormat="false" ht="13.8" hidden="false" customHeight="false" outlineLevel="0" collapsed="false">
      <c r="A753" s="3" t="s">
        <v>1967</v>
      </c>
      <c r="B753" s="3" t="n">
        <v>6.5</v>
      </c>
      <c r="C753" s="3" t="s">
        <v>1968</v>
      </c>
      <c r="D753" s="3" t="n">
        <v>0</v>
      </c>
      <c r="E753" s="3" t="n">
        <v>6</v>
      </c>
      <c r="F753" s="3"/>
      <c r="G753" s="3" t="n">
        <v>0</v>
      </c>
      <c r="H753" s="3" t="n">
        <v>650</v>
      </c>
      <c r="I753" s="3" t="s">
        <v>22</v>
      </c>
      <c r="J753" s="3" t="n">
        <v>156</v>
      </c>
      <c r="K753" s="3" t="n">
        <v>0</v>
      </c>
      <c r="L753" s="3" t="n">
        <v>31.4</v>
      </c>
      <c r="M753" s="3" t="s">
        <v>154</v>
      </c>
      <c r="N753" s="3" t="n">
        <v>33</v>
      </c>
      <c r="O753" s="3" t="n">
        <v>-3.828</v>
      </c>
      <c r="P753" s="3" t="n">
        <v>152.174</v>
      </c>
      <c r="Q753" s="3" t="s">
        <v>797</v>
      </c>
      <c r="R753" s="3"/>
      <c r="S753" s="3" t="s">
        <v>85</v>
      </c>
    </row>
    <row r="754" customFormat="false" ht="13.8" hidden="false" customHeight="false" outlineLevel="0" collapsed="false">
      <c r="A754" s="3" t="s">
        <v>1969</v>
      </c>
      <c r="B754" s="3" t="n">
        <v>6.8</v>
      </c>
      <c r="C754" s="3" t="s">
        <v>1970</v>
      </c>
      <c r="D754" s="3" t="n">
        <v>0</v>
      </c>
      <c r="E754" s="3" t="n">
        <v>7</v>
      </c>
      <c r="F754" s="3"/>
      <c r="G754" s="3" t="n">
        <v>0</v>
      </c>
      <c r="H754" s="3" t="n">
        <v>711</v>
      </c>
      <c r="I754" s="3" t="s">
        <v>22</v>
      </c>
      <c r="J754" s="3" t="n">
        <v>398</v>
      </c>
      <c r="K754" s="3" t="n">
        <v>0</v>
      </c>
      <c r="L754" s="3" t="n">
        <v>39.1</v>
      </c>
      <c r="M754" s="3" t="s">
        <v>127</v>
      </c>
      <c r="N754" s="3" t="n">
        <v>33</v>
      </c>
      <c r="O754" s="3" t="n">
        <v>-30.608</v>
      </c>
      <c r="P754" s="3" t="n">
        <v>-71.637</v>
      </c>
      <c r="Q754" s="3" t="s">
        <v>893</v>
      </c>
      <c r="R754" s="3" t="s">
        <v>33</v>
      </c>
      <c r="S754" s="3" t="s">
        <v>373</v>
      </c>
    </row>
    <row r="755" customFormat="false" ht="13.8" hidden="false" customHeight="false" outlineLevel="0" collapsed="false">
      <c r="A755" s="3" t="s">
        <v>1971</v>
      </c>
      <c r="B755" s="3" t="n">
        <v>6.9</v>
      </c>
      <c r="C755" s="3" t="s">
        <v>1972</v>
      </c>
      <c r="D755" s="3" t="n">
        <v>0</v>
      </c>
      <c r="E755" s="3" t="n">
        <v>5</v>
      </c>
      <c r="F755" s="3"/>
      <c r="G755" s="3" t="n">
        <v>0</v>
      </c>
      <c r="H755" s="3" t="n">
        <v>732</v>
      </c>
      <c r="I755" s="3" t="s">
        <v>22</v>
      </c>
      <c r="J755" s="3" t="n">
        <v>733</v>
      </c>
      <c r="K755" s="3" t="n">
        <v>0</v>
      </c>
      <c r="L755" s="3" t="n">
        <v>26.7</v>
      </c>
      <c r="M755" s="3" t="s">
        <v>154</v>
      </c>
      <c r="N755" s="3" t="n">
        <v>174.8</v>
      </c>
      <c r="O755" s="3" t="n">
        <v>55.492</v>
      </c>
      <c r="P755" s="3" t="n">
        <v>159.999</v>
      </c>
      <c r="Q755" s="3" t="s">
        <v>1906</v>
      </c>
      <c r="R755" s="3" t="s">
        <v>80</v>
      </c>
      <c r="S755" s="3" t="s">
        <v>428</v>
      </c>
    </row>
    <row r="756" customFormat="false" ht="13.8" hidden="false" customHeight="false" outlineLevel="0" collapsed="false">
      <c r="A756" s="3" t="s">
        <v>1973</v>
      </c>
      <c r="B756" s="3" t="n">
        <v>6.6</v>
      </c>
      <c r="C756" s="3" t="s">
        <v>1974</v>
      </c>
      <c r="D756" s="3" t="n">
        <v>0</v>
      </c>
      <c r="E756" s="3" t="n">
        <v>6</v>
      </c>
      <c r="F756" s="3"/>
      <c r="G756" s="3" t="n">
        <v>0</v>
      </c>
      <c r="H756" s="3" t="n">
        <v>670</v>
      </c>
      <c r="I756" s="3" t="s">
        <v>22</v>
      </c>
      <c r="J756" s="3" t="n">
        <v>419</v>
      </c>
      <c r="K756" s="3" t="n">
        <v>0</v>
      </c>
      <c r="L756" s="3" t="n">
        <v>27.8</v>
      </c>
      <c r="M756" s="3" t="s">
        <v>127</v>
      </c>
      <c r="N756" s="3" t="n">
        <v>33</v>
      </c>
      <c r="O756" s="3" t="n">
        <v>-5.095</v>
      </c>
      <c r="P756" s="3" t="n">
        <v>152.502</v>
      </c>
      <c r="Q756" s="3" t="s">
        <v>625</v>
      </c>
      <c r="R756" s="3"/>
      <c r="S756" s="3" t="s">
        <v>85</v>
      </c>
    </row>
    <row r="757" customFormat="false" ht="13.8" hidden="false" customHeight="false" outlineLevel="0" collapsed="false">
      <c r="A757" s="3" t="s">
        <v>1975</v>
      </c>
      <c r="B757" s="3" t="n">
        <v>7</v>
      </c>
      <c r="C757" s="3" t="s">
        <v>1976</v>
      </c>
      <c r="D757" s="3" t="n">
        <v>0</v>
      </c>
      <c r="E757" s="3" t="n">
        <v>6</v>
      </c>
      <c r="F757" s="3"/>
      <c r="G757" s="3" t="n">
        <v>0</v>
      </c>
      <c r="H757" s="3" t="n">
        <v>754</v>
      </c>
      <c r="I757" s="3" t="s">
        <v>22</v>
      </c>
      <c r="J757" s="3" t="n">
        <v>473</v>
      </c>
      <c r="K757" s="3" t="n">
        <v>0</v>
      </c>
      <c r="L757" s="3" t="n">
        <v>30.3</v>
      </c>
      <c r="M757" s="3" t="s">
        <v>127</v>
      </c>
      <c r="N757" s="3" t="n">
        <v>31</v>
      </c>
      <c r="O757" s="3" t="n">
        <v>2.354</v>
      </c>
      <c r="P757" s="3" t="n">
        <v>128.855</v>
      </c>
      <c r="Q757" s="3" t="s">
        <v>128</v>
      </c>
      <c r="R757" s="3"/>
      <c r="S757" s="3" t="s">
        <v>68</v>
      </c>
    </row>
    <row r="758" customFormat="false" ht="13.8" hidden="false" customHeight="false" outlineLevel="0" collapsed="false">
      <c r="A758" s="3" t="s">
        <v>1977</v>
      </c>
      <c r="B758" s="3" t="n">
        <v>7</v>
      </c>
      <c r="C758" s="3" t="s">
        <v>1978</v>
      </c>
      <c r="D758" s="3" t="n">
        <v>0</v>
      </c>
      <c r="E758" s="3" t="n">
        <v>7</v>
      </c>
      <c r="F758" s="3"/>
      <c r="G758" s="3" t="n">
        <v>0</v>
      </c>
      <c r="H758" s="3" t="n">
        <v>754</v>
      </c>
      <c r="I758" s="3" t="s">
        <v>22</v>
      </c>
      <c r="J758" s="3" t="n">
        <v>690</v>
      </c>
      <c r="K758" s="3" t="n">
        <v>0</v>
      </c>
      <c r="L758" s="3" t="n">
        <v>19.1</v>
      </c>
      <c r="M758" s="3" t="s">
        <v>154</v>
      </c>
      <c r="N758" s="3" t="n">
        <v>68</v>
      </c>
      <c r="O758" s="3" t="n">
        <v>38.849</v>
      </c>
      <c r="P758" s="3" t="n">
        <v>141.568</v>
      </c>
      <c r="Q758" s="3" t="s">
        <v>953</v>
      </c>
      <c r="R758" s="3" t="s">
        <v>80</v>
      </c>
      <c r="S758" s="3" t="s">
        <v>322</v>
      </c>
    </row>
    <row r="759" customFormat="false" ht="13.8" hidden="false" customHeight="false" outlineLevel="0" collapsed="false">
      <c r="A759" s="3" t="s">
        <v>1979</v>
      </c>
      <c r="B759" s="3" t="n">
        <v>6.8</v>
      </c>
      <c r="C759" s="3" t="s">
        <v>1980</v>
      </c>
      <c r="D759" s="3" t="n">
        <v>0</v>
      </c>
      <c r="E759" s="3" t="n">
        <v>9</v>
      </c>
      <c r="F759" s="3"/>
      <c r="G759" s="3" t="n">
        <v>0</v>
      </c>
      <c r="H759" s="3" t="n">
        <v>711</v>
      </c>
      <c r="I759" s="3" t="s">
        <v>22</v>
      </c>
      <c r="J759" s="3" t="n">
        <v>534</v>
      </c>
      <c r="K759" s="3" t="n">
        <v>0</v>
      </c>
      <c r="L759" s="3" t="n">
        <v>19.4</v>
      </c>
      <c r="M759" s="3" t="s">
        <v>127</v>
      </c>
      <c r="N759" s="3" t="n">
        <v>12</v>
      </c>
      <c r="O759" s="3" t="n">
        <v>36.964</v>
      </c>
      <c r="P759" s="3" t="n">
        <v>3.634</v>
      </c>
      <c r="Q759" s="3" t="s">
        <v>1981</v>
      </c>
      <c r="R759" s="3"/>
      <c r="S759" s="3" t="s">
        <v>1982</v>
      </c>
    </row>
    <row r="760" customFormat="false" ht="13.8" hidden="false" customHeight="false" outlineLevel="0" collapsed="false">
      <c r="A760" s="3" t="s">
        <v>1983</v>
      </c>
      <c r="B760" s="3" t="n">
        <v>6.5</v>
      </c>
      <c r="C760" s="3" t="s">
        <v>1984</v>
      </c>
      <c r="D760" s="3" t="n">
        <v>0</v>
      </c>
      <c r="E760" s="3" t="n">
        <v>7</v>
      </c>
      <c r="F760" s="3"/>
      <c r="G760" s="3" t="n">
        <v>0</v>
      </c>
      <c r="H760" s="3" t="n">
        <v>650</v>
      </c>
      <c r="I760" s="3" t="s">
        <v>22</v>
      </c>
      <c r="J760" s="3" t="n">
        <v>247</v>
      </c>
      <c r="K760" s="3" t="n">
        <v>0</v>
      </c>
      <c r="L760" s="3" t="n">
        <v>28.7</v>
      </c>
      <c r="M760" s="3" t="s">
        <v>127</v>
      </c>
      <c r="N760" s="3" t="n">
        <v>33</v>
      </c>
      <c r="O760" s="3" t="n">
        <v>-8.294</v>
      </c>
      <c r="P760" s="3" t="n">
        <v>120.743</v>
      </c>
      <c r="Q760" s="3" t="s">
        <v>1985</v>
      </c>
      <c r="R760" s="3"/>
      <c r="S760" s="3" t="s">
        <v>68</v>
      </c>
    </row>
    <row r="761" customFormat="false" ht="13.8" hidden="false" customHeight="false" outlineLevel="0" collapsed="false">
      <c r="A761" s="3" t="s">
        <v>1986</v>
      </c>
      <c r="B761" s="3" t="n">
        <v>6.8</v>
      </c>
      <c r="C761" s="3" t="s">
        <v>1987</v>
      </c>
      <c r="D761" s="3" t="n">
        <v>0</v>
      </c>
      <c r="E761" s="3" t="n">
        <v>7</v>
      </c>
      <c r="F761" s="3"/>
      <c r="G761" s="3" t="n">
        <v>0</v>
      </c>
      <c r="H761" s="3" t="n">
        <v>711</v>
      </c>
      <c r="I761" s="3" t="s">
        <v>22</v>
      </c>
      <c r="J761" s="3" t="n">
        <v>431</v>
      </c>
      <c r="K761" s="3" t="n">
        <v>0</v>
      </c>
      <c r="L761" s="3" t="n">
        <v>38.4</v>
      </c>
      <c r="M761" s="3" t="s">
        <v>127</v>
      </c>
      <c r="N761" s="3" t="n">
        <v>40.2</v>
      </c>
      <c r="O761" s="3" t="n">
        <v>-4.694</v>
      </c>
      <c r="P761" s="3" t="n">
        <v>153.238</v>
      </c>
      <c r="Q761" s="3" t="s">
        <v>625</v>
      </c>
      <c r="R761" s="3"/>
      <c r="S761" s="3" t="s">
        <v>85</v>
      </c>
    </row>
    <row r="762" customFormat="false" ht="13.8" hidden="false" customHeight="false" outlineLevel="0" collapsed="false">
      <c r="A762" s="3" t="s">
        <v>1988</v>
      </c>
      <c r="B762" s="3" t="n">
        <v>7.6</v>
      </c>
      <c r="C762" s="3" t="s">
        <v>1989</v>
      </c>
      <c r="D762" s="3" t="n">
        <v>0</v>
      </c>
      <c r="E762" s="3" t="n">
        <v>7</v>
      </c>
      <c r="F762" s="3"/>
      <c r="G762" s="3" t="n">
        <v>0</v>
      </c>
      <c r="H762" s="3" t="n">
        <v>889</v>
      </c>
      <c r="I762" s="3" t="s">
        <v>22</v>
      </c>
      <c r="J762" s="3" t="n">
        <v>551</v>
      </c>
      <c r="K762" s="3" t="n">
        <v>0</v>
      </c>
      <c r="L762" s="3" t="n">
        <v>0</v>
      </c>
      <c r="M762" s="3" t="s">
        <v>154</v>
      </c>
      <c r="N762" s="3" t="n">
        <v>24</v>
      </c>
      <c r="O762" s="3" t="n">
        <v>18.77</v>
      </c>
      <c r="P762" s="3" t="n">
        <v>-104.104</v>
      </c>
      <c r="Q762" s="3" t="s">
        <v>1990</v>
      </c>
      <c r="R762" s="3" t="s">
        <v>164</v>
      </c>
      <c r="S762" s="3" t="s">
        <v>165</v>
      </c>
    </row>
    <row r="763" customFormat="false" ht="13.8" hidden="false" customHeight="false" outlineLevel="0" collapsed="false">
      <c r="A763" s="3" t="s">
        <v>1991</v>
      </c>
      <c r="B763" s="3" t="n">
        <v>6.5</v>
      </c>
      <c r="C763" s="3" t="s">
        <v>1992</v>
      </c>
      <c r="D763" s="3" t="n">
        <v>0</v>
      </c>
      <c r="E763" s="3" t="n">
        <v>6</v>
      </c>
      <c r="F763" s="3"/>
      <c r="G763" s="3" t="n">
        <v>0</v>
      </c>
      <c r="H763" s="3" t="n">
        <v>650</v>
      </c>
      <c r="I763" s="3" t="s">
        <v>22</v>
      </c>
      <c r="J763" s="3" t="n">
        <v>316</v>
      </c>
      <c r="K763" s="3" t="n">
        <v>0</v>
      </c>
      <c r="L763" s="3" t="n">
        <v>0</v>
      </c>
      <c r="M763" s="3" t="s">
        <v>127</v>
      </c>
      <c r="N763" s="3" t="n">
        <v>24</v>
      </c>
      <c r="O763" s="3" t="n">
        <v>13.626</v>
      </c>
      <c r="P763" s="3" t="n">
        <v>-90.774</v>
      </c>
      <c r="Q763" s="3" t="s">
        <v>699</v>
      </c>
      <c r="R763" s="3"/>
      <c r="S763" s="3"/>
    </row>
    <row r="764" customFormat="false" ht="13.8" hidden="false" customHeight="false" outlineLevel="0" collapsed="false">
      <c r="A764" s="3" t="s">
        <v>1993</v>
      </c>
      <c r="B764" s="3" t="n">
        <v>7.3</v>
      </c>
      <c r="C764" s="3" t="s">
        <v>1994</v>
      </c>
      <c r="D764" s="3" t="n">
        <v>0</v>
      </c>
      <c r="E764" s="3" t="n">
        <v>6</v>
      </c>
      <c r="F764" s="3"/>
      <c r="G764" s="3" t="n">
        <v>0</v>
      </c>
      <c r="H764" s="3" t="n">
        <v>820</v>
      </c>
      <c r="I764" s="3" t="s">
        <v>22</v>
      </c>
      <c r="J764" s="3" t="n">
        <v>457</v>
      </c>
      <c r="K764" s="3" t="n">
        <v>0</v>
      </c>
      <c r="L764" s="3" t="n">
        <v>0</v>
      </c>
      <c r="M764" s="3" t="s">
        <v>127</v>
      </c>
      <c r="N764" s="3" t="n">
        <v>33</v>
      </c>
      <c r="O764" s="3" t="n">
        <v>-10.491</v>
      </c>
      <c r="P764" s="3" t="n">
        <v>160.77</v>
      </c>
      <c r="Q764" s="3" t="s">
        <v>581</v>
      </c>
      <c r="R764" s="3"/>
      <c r="S764" s="3"/>
    </row>
    <row r="765" customFormat="false" ht="13.8" hidden="false" customHeight="false" outlineLevel="0" collapsed="false">
      <c r="A765" s="3" t="s">
        <v>1995</v>
      </c>
      <c r="B765" s="3" t="n">
        <v>6.7</v>
      </c>
      <c r="C765" s="3" t="s">
        <v>1996</v>
      </c>
      <c r="D765" s="3" t="n">
        <v>0</v>
      </c>
      <c r="E765" s="3" t="n">
        <v>5</v>
      </c>
      <c r="F765" s="3"/>
      <c r="G765" s="3" t="n">
        <v>0</v>
      </c>
      <c r="H765" s="3" t="n">
        <v>691</v>
      </c>
      <c r="I765" s="3" t="s">
        <v>22</v>
      </c>
      <c r="J765" s="3" t="n">
        <v>323</v>
      </c>
      <c r="K765" s="3" t="n">
        <v>0</v>
      </c>
      <c r="L765" s="3" t="n">
        <v>0</v>
      </c>
      <c r="M765" s="3" t="s">
        <v>154</v>
      </c>
      <c r="N765" s="3" t="n">
        <v>71.9</v>
      </c>
      <c r="O765" s="3" t="n">
        <v>-5.311</v>
      </c>
      <c r="P765" s="3" t="n">
        <v>153.701</v>
      </c>
      <c r="Q765" s="3" t="s">
        <v>625</v>
      </c>
      <c r="R765" s="3"/>
      <c r="S765" s="3"/>
    </row>
    <row r="766" customFormat="false" ht="13.8" hidden="false" customHeight="false" outlineLevel="0" collapsed="false">
      <c r="A766" s="3" t="s">
        <v>1997</v>
      </c>
      <c r="B766" s="3" t="n">
        <v>6.7</v>
      </c>
      <c r="C766" s="3" t="s">
        <v>1998</v>
      </c>
      <c r="D766" s="3" t="n">
        <v>0</v>
      </c>
      <c r="E766" s="3" t="n">
        <v>6</v>
      </c>
      <c r="F766" s="3"/>
      <c r="G766" s="3" t="n">
        <v>0</v>
      </c>
      <c r="H766" s="3" t="n">
        <v>691</v>
      </c>
      <c r="I766" s="3" t="s">
        <v>22</v>
      </c>
      <c r="J766" s="3" t="n">
        <v>453</v>
      </c>
      <c r="K766" s="3" t="n">
        <v>0</v>
      </c>
      <c r="L766" s="3" t="n">
        <v>0</v>
      </c>
      <c r="M766" s="3" t="s">
        <v>154</v>
      </c>
      <c r="N766" s="3" t="n">
        <v>34</v>
      </c>
      <c r="O766" s="3" t="n">
        <v>-4.786</v>
      </c>
      <c r="P766" s="3" t="n">
        <v>153.275</v>
      </c>
      <c r="Q766" s="3" t="s">
        <v>1999</v>
      </c>
      <c r="R766" s="3"/>
      <c r="S766" s="3" t="s">
        <v>85</v>
      </c>
    </row>
    <row r="767" customFormat="false" ht="13.8" hidden="false" customHeight="false" outlineLevel="0" collapsed="false">
      <c r="A767" s="3" t="s">
        <v>2000</v>
      </c>
      <c r="B767" s="3" t="n">
        <v>7.9</v>
      </c>
      <c r="C767" s="3" t="s">
        <v>2001</v>
      </c>
      <c r="D767" s="3" t="n">
        <v>8</v>
      </c>
      <c r="E767" s="3" t="n">
        <v>9</v>
      </c>
      <c r="F767" s="3"/>
      <c r="G767" s="3" t="n">
        <v>0</v>
      </c>
      <c r="H767" s="3" t="n">
        <v>1750</v>
      </c>
      <c r="I767" s="3" t="s">
        <v>259</v>
      </c>
      <c r="J767" s="3" t="n">
        <v>0</v>
      </c>
      <c r="K767" s="3" t="n">
        <v>0</v>
      </c>
      <c r="L767" s="3" t="n">
        <v>0</v>
      </c>
      <c r="M767" s="3" t="s">
        <v>485</v>
      </c>
      <c r="N767" s="3" t="n">
        <v>4.2</v>
      </c>
      <c r="O767" s="3" t="n">
        <v>63.5141</v>
      </c>
      <c r="P767" s="3" t="n">
        <v>-147.453</v>
      </c>
      <c r="Q767" s="3" t="s">
        <v>2002</v>
      </c>
      <c r="R767" s="3" t="s">
        <v>164</v>
      </c>
      <c r="S767" s="3" t="s">
        <v>261</v>
      </c>
    </row>
    <row r="768" customFormat="false" ht="13.8" hidden="false" customHeight="false" outlineLevel="0" collapsed="false">
      <c r="A768" s="3" t="s">
        <v>2003</v>
      </c>
      <c r="B768" s="3" t="n">
        <v>7.4</v>
      </c>
      <c r="C768" s="3" t="s">
        <v>2004</v>
      </c>
      <c r="D768" s="3" t="n">
        <v>0</v>
      </c>
      <c r="E768" s="3" t="n">
        <v>7</v>
      </c>
      <c r="F768" s="3"/>
      <c r="G768" s="3" t="n">
        <v>0</v>
      </c>
      <c r="H768" s="3" t="n">
        <v>842</v>
      </c>
      <c r="I768" s="3" t="s">
        <v>22</v>
      </c>
      <c r="J768" s="3" t="n">
        <v>418</v>
      </c>
      <c r="K768" s="3" t="n">
        <v>0</v>
      </c>
      <c r="L768" s="3" t="n">
        <v>0</v>
      </c>
      <c r="M768" s="3" t="s">
        <v>154</v>
      </c>
      <c r="N768" s="3" t="n">
        <v>30</v>
      </c>
      <c r="O768" s="3" t="n">
        <v>2.824</v>
      </c>
      <c r="P768" s="3" t="n">
        <v>96.085</v>
      </c>
      <c r="Q768" s="3" t="s">
        <v>317</v>
      </c>
      <c r="R768" s="3"/>
      <c r="S768" s="3" t="s">
        <v>68</v>
      </c>
    </row>
    <row r="769" customFormat="false" ht="13.8" hidden="false" customHeight="false" outlineLevel="0" collapsed="false">
      <c r="A769" s="3" t="s">
        <v>2005</v>
      </c>
      <c r="B769" s="3" t="n">
        <v>6.6</v>
      </c>
      <c r="C769" s="3" t="s">
        <v>2006</v>
      </c>
      <c r="D769" s="3" t="n">
        <v>0</v>
      </c>
      <c r="E769" s="3" t="n">
        <v>7</v>
      </c>
      <c r="F769" s="3"/>
      <c r="G769" s="3" t="n">
        <v>0</v>
      </c>
      <c r="H769" s="3" t="n">
        <v>670</v>
      </c>
      <c r="I769" s="3" t="s">
        <v>259</v>
      </c>
      <c r="J769" s="3" t="n">
        <v>0</v>
      </c>
      <c r="K769" s="3" t="n">
        <v>0</v>
      </c>
      <c r="L769" s="3" t="n">
        <v>0</v>
      </c>
      <c r="M769" s="3" t="s">
        <v>485</v>
      </c>
      <c r="N769" s="3" t="n">
        <v>4.2</v>
      </c>
      <c r="O769" s="3" t="n">
        <v>63.5144</v>
      </c>
      <c r="P769" s="3" t="n">
        <v>-147.912</v>
      </c>
      <c r="Q769" s="3" t="s">
        <v>2002</v>
      </c>
      <c r="R769" s="3" t="s">
        <v>164</v>
      </c>
      <c r="S769" s="3" t="s">
        <v>261</v>
      </c>
    </row>
    <row r="770" customFormat="false" ht="13.8" hidden="false" customHeight="false" outlineLevel="0" collapsed="false">
      <c r="A770" s="3" t="s">
        <v>2007</v>
      </c>
      <c r="B770" s="3" t="n">
        <v>6.7</v>
      </c>
      <c r="C770" s="3" t="s">
        <v>2008</v>
      </c>
      <c r="D770" s="3" t="n">
        <v>0</v>
      </c>
      <c r="E770" s="3" t="n">
        <v>7</v>
      </c>
      <c r="F770" s="3"/>
      <c r="G770" s="3" t="n">
        <v>0</v>
      </c>
      <c r="H770" s="3" t="n">
        <v>691</v>
      </c>
      <c r="I770" s="3" t="s">
        <v>22</v>
      </c>
      <c r="J770" s="3" t="n">
        <v>250</v>
      </c>
      <c r="K770" s="3" t="n">
        <v>0</v>
      </c>
      <c r="L770" s="3" t="n">
        <v>0</v>
      </c>
      <c r="M770" s="3" t="s">
        <v>1370</v>
      </c>
      <c r="N770" s="3" t="n">
        <v>10</v>
      </c>
      <c r="O770" s="3" t="n">
        <v>-1.511</v>
      </c>
      <c r="P770" s="3" t="n">
        <v>133.973</v>
      </c>
      <c r="Q770" s="3" t="s">
        <v>1275</v>
      </c>
      <c r="R770" s="3"/>
      <c r="S770" s="3" t="s">
        <v>68</v>
      </c>
    </row>
    <row r="771" customFormat="false" ht="13.8" hidden="false" customHeight="false" outlineLevel="0" collapsed="false">
      <c r="A771" s="3" t="s">
        <v>2009</v>
      </c>
      <c r="B771" s="3" t="n">
        <v>7.6</v>
      </c>
      <c r="C771" s="3" t="s">
        <v>2010</v>
      </c>
      <c r="D771" s="3" t="n">
        <v>0</v>
      </c>
      <c r="E771" s="3" t="n">
        <v>7</v>
      </c>
      <c r="F771" s="3"/>
      <c r="G771" s="3" t="n">
        <v>0</v>
      </c>
      <c r="H771" s="3" t="n">
        <v>889</v>
      </c>
      <c r="I771" s="3" t="s">
        <v>22</v>
      </c>
      <c r="J771" s="3" t="n">
        <v>375</v>
      </c>
      <c r="K771" s="3" t="n">
        <v>0</v>
      </c>
      <c r="L771" s="3" t="n">
        <v>0</v>
      </c>
      <c r="M771" s="3" t="s">
        <v>127</v>
      </c>
      <c r="N771" s="3" t="n">
        <v>10</v>
      </c>
      <c r="O771" s="3" t="n">
        <v>-1.757</v>
      </c>
      <c r="P771" s="3" t="n">
        <v>134.297</v>
      </c>
      <c r="Q771" s="3" t="s">
        <v>1275</v>
      </c>
      <c r="R771" s="3"/>
      <c r="S771" s="3" t="s">
        <v>68</v>
      </c>
    </row>
    <row r="772" customFormat="false" ht="13.8" hidden="false" customHeight="false" outlineLevel="0" collapsed="false">
      <c r="A772" s="3" t="s">
        <v>2011</v>
      </c>
      <c r="B772" s="3" t="n">
        <v>6.5</v>
      </c>
      <c r="C772" s="3" t="s">
        <v>2012</v>
      </c>
      <c r="D772" s="3" t="n">
        <v>0</v>
      </c>
      <c r="E772" s="3" t="n">
        <v>6</v>
      </c>
      <c r="F772" s="3"/>
      <c r="G772" s="3" t="n">
        <v>0</v>
      </c>
      <c r="H772" s="3" t="n">
        <v>650</v>
      </c>
      <c r="I772" s="3" t="s">
        <v>22</v>
      </c>
      <c r="J772" s="3" t="n">
        <v>646</v>
      </c>
      <c r="K772" s="3" t="n">
        <v>0</v>
      </c>
      <c r="L772" s="3" t="n">
        <v>0</v>
      </c>
      <c r="M772" s="3" t="s">
        <v>127</v>
      </c>
      <c r="N772" s="3" t="n">
        <v>21</v>
      </c>
      <c r="O772" s="3" t="n">
        <v>13.036</v>
      </c>
      <c r="P772" s="3" t="n">
        <v>93.068</v>
      </c>
      <c r="Q772" s="3" t="s">
        <v>1464</v>
      </c>
      <c r="R772" s="3"/>
      <c r="S772" s="3" t="s">
        <v>860</v>
      </c>
    </row>
    <row r="773" customFormat="false" ht="13.8" hidden="false" customHeight="false" outlineLevel="0" collapsed="false">
      <c r="A773" s="3" t="s">
        <v>2013</v>
      </c>
      <c r="B773" s="3" t="n">
        <v>7.6</v>
      </c>
      <c r="C773" s="3" t="s">
        <v>2014</v>
      </c>
      <c r="D773" s="3" t="n">
        <v>0</v>
      </c>
      <c r="E773" s="3" t="n">
        <v>7</v>
      </c>
      <c r="F773" s="3"/>
      <c r="G773" s="3" t="n">
        <v>0</v>
      </c>
      <c r="H773" s="3" t="n">
        <v>889</v>
      </c>
      <c r="I773" s="3" t="s">
        <v>22</v>
      </c>
      <c r="J773" s="3" t="n">
        <v>428</v>
      </c>
      <c r="K773" s="3" t="n">
        <v>0</v>
      </c>
      <c r="L773" s="3" t="n">
        <v>0</v>
      </c>
      <c r="M773" s="3" t="s">
        <v>127</v>
      </c>
      <c r="N773" s="3" t="n">
        <v>13</v>
      </c>
      <c r="O773" s="3" t="n">
        <v>-3.302</v>
      </c>
      <c r="P773" s="3" t="n">
        <v>142.945</v>
      </c>
      <c r="Q773" s="3" t="s">
        <v>1188</v>
      </c>
      <c r="R773" s="3"/>
      <c r="S773" s="3" t="s">
        <v>85</v>
      </c>
    </row>
    <row r="774" customFormat="false" ht="13.8" hidden="false" customHeight="false" outlineLevel="0" collapsed="false">
      <c r="A774" s="3" t="s">
        <v>2015</v>
      </c>
      <c r="B774" s="3" t="n">
        <v>6.5</v>
      </c>
      <c r="C774" s="3" t="s">
        <v>2016</v>
      </c>
      <c r="D774" s="3" t="n">
        <v>0</v>
      </c>
      <c r="E774" s="3" t="n">
        <v>4</v>
      </c>
      <c r="F774" s="3"/>
      <c r="G774" s="3" t="n">
        <v>0</v>
      </c>
      <c r="H774" s="3" t="n">
        <v>650</v>
      </c>
      <c r="I774" s="3" t="s">
        <v>22</v>
      </c>
      <c r="J774" s="3" t="n">
        <v>260</v>
      </c>
      <c r="K774" s="3" t="n">
        <v>0</v>
      </c>
      <c r="L774" s="3" t="n">
        <v>0</v>
      </c>
      <c r="M774" s="3" t="s">
        <v>127</v>
      </c>
      <c r="N774" s="3" t="n">
        <v>30</v>
      </c>
      <c r="O774" s="3" t="n">
        <v>14.101</v>
      </c>
      <c r="P774" s="3" t="n">
        <v>146.199</v>
      </c>
      <c r="Q774" s="3" t="s">
        <v>2017</v>
      </c>
      <c r="R774" s="3"/>
      <c r="S774" s="3"/>
    </row>
    <row r="775" customFormat="false" ht="13.8" hidden="false" customHeight="false" outlineLevel="0" collapsed="false">
      <c r="A775" s="3" t="s">
        <v>2018</v>
      </c>
      <c r="B775" s="3" t="n">
        <v>6.5</v>
      </c>
      <c r="C775" s="3" t="s">
        <v>2019</v>
      </c>
      <c r="D775" s="3" t="n">
        <v>0</v>
      </c>
      <c r="E775" s="3" t="n">
        <v>7</v>
      </c>
      <c r="F775" s="3"/>
      <c r="G775" s="3" t="n">
        <v>0</v>
      </c>
      <c r="H775" s="3" t="n">
        <v>650</v>
      </c>
      <c r="I775" s="3" t="s">
        <v>22</v>
      </c>
      <c r="J775" s="3" t="n">
        <v>533</v>
      </c>
      <c r="K775" s="3" t="n">
        <v>0</v>
      </c>
      <c r="L775" s="3" t="n">
        <v>0</v>
      </c>
      <c r="M775" s="3" t="s">
        <v>127</v>
      </c>
      <c r="N775" s="3" t="n">
        <v>10</v>
      </c>
      <c r="O775" s="3" t="n">
        <v>7.929</v>
      </c>
      <c r="P775" s="3" t="n">
        <v>-82.793</v>
      </c>
      <c r="Q775" s="3" t="s">
        <v>992</v>
      </c>
      <c r="R775" s="3"/>
      <c r="S775" s="3" t="s">
        <v>160</v>
      </c>
    </row>
    <row r="776" customFormat="false" ht="13.8" hidden="false" customHeight="false" outlineLevel="0" collapsed="false">
      <c r="A776" s="3" t="s">
        <v>2020</v>
      </c>
      <c r="B776" s="3" t="n">
        <v>6.5</v>
      </c>
      <c r="C776" s="3" t="s">
        <v>2021</v>
      </c>
      <c r="D776" s="3" t="n">
        <v>0</v>
      </c>
      <c r="E776" s="3" t="n">
        <v>8</v>
      </c>
      <c r="F776" s="3"/>
      <c r="G776" s="3" t="n">
        <v>0</v>
      </c>
      <c r="H776" s="3" t="n">
        <v>650</v>
      </c>
      <c r="I776" s="3" t="s">
        <v>22</v>
      </c>
      <c r="J776" s="3" t="n">
        <v>555</v>
      </c>
      <c r="K776" s="3" t="n">
        <v>0</v>
      </c>
      <c r="L776" s="3" t="n">
        <v>0</v>
      </c>
      <c r="M776" s="3" t="s">
        <v>127</v>
      </c>
      <c r="N776" s="3" t="n">
        <v>10</v>
      </c>
      <c r="O776" s="3" t="n">
        <v>35.626</v>
      </c>
      <c r="P776" s="3" t="n">
        <v>49.047</v>
      </c>
      <c r="Q776" s="3" t="s">
        <v>2022</v>
      </c>
      <c r="R776" s="3" t="s">
        <v>80</v>
      </c>
      <c r="S776" s="3" t="s">
        <v>660</v>
      </c>
    </row>
    <row r="777" customFormat="false" ht="13.8" hidden="false" customHeight="false" outlineLevel="0" collapsed="false">
      <c r="A777" s="3" t="s">
        <v>2023</v>
      </c>
      <c r="B777" s="3" t="n">
        <v>6.6</v>
      </c>
      <c r="C777" s="3" t="s">
        <v>2024</v>
      </c>
      <c r="D777" s="3" t="n">
        <v>0</v>
      </c>
      <c r="E777" s="3" t="n">
        <v>7</v>
      </c>
      <c r="F777" s="3"/>
      <c r="G777" s="3" t="n">
        <v>0</v>
      </c>
      <c r="H777" s="3" t="n">
        <v>670</v>
      </c>
      <c r="I777" s="3" t="s">
        <v>22</v>
      </c>
      <c r="J777" s="3" t="n">
        <v>420</v>
      </c>
      <c r="K777" s="3" t="n">
        <v>0</v>
      </c>
      <c r="L777" s="3" t="n">
        <v>0</v>
      </c>
      <c r="M777" s="3" t="s">
        <v>154</v>
      </c>
      <c r="N777" s="3" t="n">
        <v>54</v>
      </c>
      <c r="O777" s="3" t="n">
        <v>-30.805</v>
      </c>
      <c r="P777" s="3" t="n">
        <v>-71.124</v>
      </c>
      <c r="Q777" s="3" t="s">
        <v>2025</v>
      </c>
      <c r="R777" s="3" t="s">
        <v>33</v>
      </c>
      <c r="S777" s="3" t="s">
        <v>373</v>
      </c>
    </row>
    <row r="778" customFormat="false" ht="13.8" hidden="false" customHeight="false" outlineLevel="0" collapsed="false">
      <c r="A778" s="3" t="s">
        <v>2026</v>
      </c>
      <c r="B778" s="3" t="n">
        <v>6.7</v>
      </c>
      <c r="C778" s="3" t="s">
        <v>2027</v>
      </c>
      <c r="D778" s="3" t="n">
        <v>0</v>
      </c>
      <c r="E778" s="3" t="n">
        <v>5</v>
      </c>
      <c r="F778" s="3"/>
      <c r="G778" s="3" t="n">
        <v>0</v>
      </c>
      <c r="H778" s="3" t="n">
        <v>691</v>
      </c>
      <c r="I778" s="3" t="s">
        <v>22</v>
      </c>
      <c r="J778" s="3" t="n">
        <v>272</v>
      </c>
      <c r="K778" s="3" t="n">
        <v>0</v>
      </c>
      <c r="L778" s="3" t="n">
        <v>0</v>
      </c>
      <c r="M778" s="3" t="s">
        <v>127</v>
      </c>
      <c r="N778" s="3" t="n">
        <v>33</v>
      </c>
      <c r="O778" s="3" t="n">
        <v>-12.592</v>
      </c>
      <c r="P778" s="3" t="n">
        <v>166.383</v>
      </c>
      <c r="Q778" s="3" t="s">
        <v>24</v>
      </c>
      <c r="R778" s="3"/>
      <c r="S778" s="3"/>
    </row>
    <row r="779" customFormat="false" ht="13.8" hidden="false" customHeight="false" outlineLevel="0" collapsed="false">
      <c r="A779" s="3" t="s">
        <v>2028</v>
      </c>
      <c r="B779" s="3" t="n">
        <v>7.1</v>
      </c>
      <c r="C779" s="3" t="s">
        <v>2029</v>
      </c>
      <c r="D779" s="3" t="n">
        <v>0</v>
      </c>
      <c r="E779" s="3" t="n">
        <v>7</v>
      </c>
      <c r="F779" s="3"/>
      <c r="G779" s="3" t="n">
        <v>0</v>
      </c>
      <c r="H779" s="3" t="n">
        <v>776</v>
      </c>
      <c r="I779" s="3" t="s">
        <v>22</v>
      </c>
      <c r="J779" s="3" t="n">
        <v>257</v>
      </c>
      <c r="K779" s="3" t="n">
        <v>0</v>
      </c>
      <c r="L779" s="3" t="n">
        <v>0</v>
      </c>
      <c r="M779" s="3" t="s">
        <v>127</v>
      </c>
      <c r="N779" s="3" t="n">
        <v>85.7</v>
      </c>
      <c r="O779" s="3" t="n">
        <v>13.088</v>
      </c>
      <c r="P779" s="3" t="n">
        <v>144.619</v>
      </c>
      <c r="Q779" s="3" t="s">
        <v>2030</v>
      </c>
      <c r="R779" s="3"/>
      <c r="S779" s="3" t="s">
        <v>261</v>
      </c>
    </row>
    <row r="780" customFormat="false" ht="13.8" hidden="false" customHeight="false" outlineLevel="0" collapsed="false">
      <c r="A780" s="3" t="s">
        <v>2031</v>
      </c>
      <c r="B780" s="3" t="n">
        <v>6.7</v>
      </c>
      <c r="C780" s="3" t="s">
        <v>2032</v>
      </c>
      <c r="D780" s="3" t="n">
        <v>0</v>
      </c>
      <c r="E780" s="3" t="n">
        <v>7</v>
      </c>
      <c r="F780" s="3"/>
      <c r="G780" s="3" t="n">
        <v>0</v>
      </c>
      <c r="H780" s="3" t="n">
        <v>691</v>
      </c>
      <c r="I780" s="3" t="s">
        <v>22</v>
      </c>
      <c r="J780" s="3" t="n">
        <v>462</v>
      </c>
      <c r="K780" s="3" t="n">
        <v>0</v>
      </c>
      <c r="L780" s="3" t="n">
        <v>0</v>
      </c>
      <c r="M780" s="3" t="s">
        <v>154</v>
      </c>
      <c r="N780" s="3" t="n">
        <v>62</v>
      </c>
      <c r="O780" s="3" t="n">
        <v>-27.535</v>
      </c>
      <c r="P780" s="3" t="n">
        <v>-70.586</v>
      </c>
      <c r="Q780" s="3" t="s">
        <v>1758</v>
      </c>
      <c r="R780" s="3" t="s">
        <v>33</v>
      </c>
      <c r="S780" s="3" t="s">
        <v>373</v>
      </c>
    </row>
    <row r="781" customFormat="false" ht="13.8" hidden="false" customHeight="false" outlineLevel="0" collapsed="false">
      <c r="A781" s="3" t="s">
        <v>2033</v>
      </c>
      <c r="B781" s="3" t="n">
        <v>6.8</v>
      </c>
      <c r="C781" s="3" t="s">
        <v>2034</v>
      </c>
      <c r="D781" s="3" t="n">
        <v>0</v>
      </c>
      <c r="E781" s="3" t="n">
        <v>6</v>
      </c>
      <c r="F781" s="3"/>
      <c r="G781" s="3" t="n">
        <v>0</v>
      </c>
      <c r="H781" s="3" t="n">
        <v>711</v>
      </c>
      <c r="I781" s="3" t="s">
        <v>22</v>
      </c>
      <c r="J781" s="3" t="n">
        <v>292</v>
      </c>
      <c r="K781" s="3" t="n">
        <v>0</v>
      </c>
      <c r="L781" s="3" t="n">
        <v>0</v>
      </c>
      <c r="M781" s="3" t="s">
        <v>127</v>
      </c>
      <c r="N781" s="3" t="n">
        <v>24.9</v>
      </c>
      <c r="O781" s="3" t="n">
        <v>16.985</v>
      </c>
      <c r="P781" s="3" t="n">
        <v>-100.865</v>
      </c>
      <c r="Q781" s="3" t="s">
        <v>2035</v>
      </c>
      <c r="R781" s="3" t="s">
        <v>164</v>
      </c>
      <c r="S781" s="3"/>
    </row>
    <row r="782" customFormat="false" ht="13.8" hidden="false" customHeight="false" outlineLevel="0" collapsed="false">
      <c r="A782" s="3" t="s">
        <v>2036</v>
      </c>
      <c r="B782" s="3" t="n">
        <v>7.1</v>
      </c>
      <c r="C782" s="3" t="s">
        <v>2037</v>
      </c>
      <c r="D782" s="3" t="n">
        <v>0</v>
      </c>
      <c r="E782" s="3" t="n">
        <v>6</v>
      </c>
      <c r="F782" s="3"/>
      <c r="G782" s="3" t="n">
        <v>0</v>
      </c>
      <c r="H782" s="3" t="n">
        <v>776</v>
      </c>
      <c r="I782" s="3" t="s">
        <v>22</v>
      </c>
      <c r="J782" s="3" t="n">
        <v>550</v>
      </c>
      <c r="K782" s="3" t="n">
        <v>0</v>
      </c>
      <c r="L782" s="3" t="n">
        <v>0</v>
      </c>
      <c r="M782" s="3" t="s">
        <v>127</v>
      </c>
      <c r="N782" s="3" t="n">
        <v>32.8</v>
      </c>
      <c r="O782" s="3" t="n">
        <v>24.279</v>
      </c>
      <c r="P782" s="3" t="n">
        <v>122.179</v>
      </c>
      <c r="Q782" s="3" t="s">
        <v>214</v>
      </c>
      <c r="R782" s="3" t="s">
        <v>80</v>
      </c>
      <c r="S782" s="3"/>
    </row>
    <row r="783" customFormat="false" ht="13.8" hidden="false" customHeight="false" outlineLevel="0" collapsed="false">
      <c r="A783" s="3" t="s">
        <v>2038</v>
      </c>
      <c r="B783" s="3" t="n">
        <v>6.5</v>
      </c>
      <c r="C783" s="3" t="s">
        <v>2039</v>
      </c>
      <c r="D783" s="3" t="n">
        <v>0</v>
      </c>
      <c r="E783" s="3" t="n">
        <v>5</v>
      </c>
      <c r="F783" s="3"/>
      <c r="G783" s="3" t="n">
        <v>0</v>
      </c>
      <c r="H783" s="3" t="n">
        <v>650</v>
      </c>
      <c r="I783" s="3" t="s">
        <v>22</v>
      </c>
      <c r="J783" s="3" t="n">
        <v>486</v>
      </c>
      <c r="K783" s="3" t="n">
        <v>0</v>
      </c>
      <c r="L783" s="3" t="n">
        <v>0</v>
      </c>
      <c r="M783" s="3" t="s">
        <v>127</v>
      </c>
      <c r="N783" s="3" t="n">
        <v>125.1</v>
      </c>
      <c r="O783" s="3" t="n">
        <v>-21.663</v>
      </c>
      <c r="P783" s="3" t="n">
        <v>-68.329</v>
      </c>
      <c r="Q783" s="3" t="s">
        <v>2040</v>
      </c>
      <c r="R783" s="3" t="s">
        <v>33</v>
      </c>
      <c r="S783" s="3" t="s">
        <v>373</v>
      </c>
    </row>
    <row r="784" customFormat="false" ht="13.8" hidden="false" customHeight="false" outlineLevel="0" collapsed="false">
      <c r="A784" s="3" t="s">
        <v>2041</v>
      </c>
      <c r="B784" s="3" t="n">
        <v>7.5</v>
      </c>
      <c r="C784" s="3" t="s">
        <v>2042</v>
      </c>
      <c r="D784" s="3" t="n">
        <v>0</v>
      </c>
      <c r="E784" s="3" t="n">
        <v>7</v>
      </c>
      <c r="F784" s="3"/>
      <c r="G784" s="3" t="n">
        <v>0</v>
      </c>
      <c r="H784" s="3" t="n">
        <v>865</v>
      </c>
      <c r="I784" s="3" t="s">
        <v>22</v>
      </c>
      <c r="J784" s="3" t="n">
        <v>321</v>
      </c>
      <c r="K784" s="3" t="n">
        <v>0</v>
      </c>
      <c r="L784" s="3" t="n">
        <v>0</v>
      </c>
      <c r="M784" s="3" t="s">
        <v>127</v>
      </c>
      <c r="N784" s="3" t="n">
        <v>31</v>
      </c>
      <c r="O784" s="3" t="n">
        <v>6.033</v>
      </c>
      <c r="P784" s="3" t="n">
        <v>124.249</v>
      </c>
      <c r="Q784" s="3" t="s">
        <v>2043</v>
      </c>
      <c r="R784" s="3"/>
      <c r="S784" s="3" t="s">
        <v>191</v>
      </c>
    </row>
    <row r="785" customFormat="false" ht="13.8" hidden="false" customHeight="false" outlineLevel="0" collapsed="false">
      <c r="A785" s="3" t="s">
        <v>2044</v>
      </c>
      <c r="B785" s="3" t="n">
        <v>7.4</v>
      </c>
      <c r="C785" s="3" t="s">
        <v>2045</v>
      </c>
      <c r="D785" s="3" t="n">
        <v>0</v>
      </c>
      <c r="E785" s="3" t="n">
        <v>5</v>
      </c>
      <c r="F785" s="3"/>
      <c r="G785" s="3" t="n">
        <v>0</v>
      </c>
      <c r="H785" s="3" t="n">
        <v>842</v>
      </c>
      <c r="I785" s="3" t="s">
        <v>22</v>
      </c>
      <c r="J785" s="3" t="n">
        <v>138</v>
      </c>
      <c r="K785" s="3" t="n">
        <v>0</v>
      </c>
      <c r="L785" s="3" t="n">
        <v>0</v>
      </c>
      <c r="M785" s="3" t="s">
        <v>127</v>
      </c>
      <c r="N785" s="3" t="n">
        <v>225.6</v>
      </c>
      <c r="O785" s="3" t="n">
        <v>36.502</v>
      </c>
      <c r="P785" s="3" t="n">
        <v>70.482</v>
      </c>
      <c r="Q785" s="3" t="s">
        <v>91</v>
      </c>
      <c r="R785" s="3" t="s">
        <v>80</v>
      </c>
      <c r="S785" s="3" t="s">
        <v>92</v>
      </c>
    </row>
    <row r="786" customFormat="false" ht="13.8" hidden="false" customHeight="false" outlineLevel="0" collapsed="false">
      <c r="A786" s="3" t="s">
        <v>2046</v>
      </c>
      <c r="B786" s="3" t="n">
        <v>6.6</v>
      </c>
      <c r="C786" s="3" t="s">
        <v>2047</v>
      </c>
      <c r="D786" s="3" t="n">
        <v>0</v>
      </c>
      <c r="E786" s="3" t="n">
        <v>6</v>
      </c>
      <c r="F786" s="3"/>
      <c r="G786" s="3" t="n">
        <v>0</v>
      </c>
      <c r="H786" s="3" t="n">
        <v>670</v>
      </c>
      <c r="I786" s="3" t="s">
        <v>22</v>
      </c>
      <c r="J786" s="3" t="n">
        <v>444</v>
      </c>
      <c r="K786" s="3" t="n">
        <v>0</v>
      </c>
      <c r="L786" s="3" t="n">
        <v>0</v>
      </c>
      <c r="M786" s="3" t="s">
        <v>127</v>
      </c>
      <c r="N786" s="3" t="n">
        <v>39</v>
      </c>
      <c r="O786" s="3" t="n">
        <v>-5.345</v>
      </c>
      <c r="P786" s="3" t="n">
        <v>151.248</v>
      </c>
      <c r="Q786" s="3" t="s">
        <v>107</v>
      </c>
      <c r="R786" s="3"/>
      <c r="S786" s="3" t="s">
        <v>85</v>
      </c>
    </row>
    <row r="787" customFormat="false" ht="13.8" hidden="false" customHeight="false" outlineLevel="0" collapsed="false">
      <c r="A787" s="3" t="s">
        <v>2048</v>
      </c>
      <c r="B787" s="3" t="n">
        <v>6.5</v>
      </c>
      <c r="C787" s="3" t="s">
        <v>2049</v>
      </c>
      <c r="D787" s="3" t="n">
        <v>0</v>
      </c>
      <c r="E787" s="3" t="n">
        <v>7</v>
      </c>
      <c r="F787" s="3"/>
      <c r="G787" s="3" t="n">
        <v>0</v>
      </c>
      <c r="H787" s="3" t="n">
        <v>650</v>
      </c>
      <c r="I787" s="3" t="s">
        <v>22</v>
      </c>
      <c r="J787" s="3" t="n">
        <v>482</v>
      </c>
      <c r="K787" s="3" t="n">
        <v>0</v>
      </c>
      <c r="L787" s="3" t="n">
        <v>0</v>
      </c>
      <c r="M787" s="3" t="s">
        <v>127</v>
      </c>
      <c r="N787" s="3" t="n">
        <v>5</v>
      </c>
      <c r="O787" s="3" t="n">
        <v>38.573</v>
      </c>
      <c r="P787" s="3" t="n">
        <v>31.271</v>
      </c>
      <c r="Q787" s="3" t="s">
        <v>2050</v>
      </c>
      <c r="R787" s="3" t="s">
        <v>80</v>
      </c>
      <c r="S787" s="3" t="s">
        <v>435</v>
      </c>
    </row>
    <row r="788" customFormat="false" ht="13.8" hidden="false" customHeight="false" outlineLevel="0" collapsed="false">
      <c r="A788" s="3" t="s">
        <v>2051</v>
      </c>
      <c r="B788" s="3" t="n">
        <v>6.7</v>
      </c>
      <c r="C788" s="3" t="s">
        <v>2052</v>
      </c>
      <c r="D788" s="3" t="n">
        <v>0</v>
      </c>
      <c r="E788" s="3" t="n">
        <v>8</v>
      </c>
      <c r="F788" s="3"/>
      <c r="G788" s="3" t="n">
        <v>0</v>
      </c>
      <c r="H788" s="3" t="n">
        <v>691</v>
      </c>
      <c r="I788" s="3" t="s">
        <v>22</v>
      </c>
      <c r="J788" s="3" t="n">
        <v>333</v>
      </c>
      <c r="K788" s="3" t="n">
        <v>0</v>
      </c>
      <c r="L788" s="3" t="n">
        <v>0</v>
      </c>
      <c r="M788" s="3" t="s">
        <v>127</v>
      </c>
      <c r="N788" s="3" t="n">
        <v>11</v>
      </c>
      <c r="O788" s="3" t="n">
        <v>-3.212</v>
      </c>
      <c r="P788" s="3" t="n">
        <v>142.427</v>
      </c>
      <c r="Q788" s="3" t="s">
        <v>1188</v>
      </c>
      <c r="R788" s="3"/>
      <c r="S788" s="3" t="s">
        <v>85</v>
      </c>
    </row>
    <row r="789" customFormat="false" ht="13.8" hidden="false" customHeight="false" outlineLevel="0" collapsed="false">
      <c r="A789" s="3" t="s">
        <v>2053</v>
      </c>
      <c r="B789" s="3" t="n">
        <v>6.6</v>
      </c>
      <c r="C789" s="3" t="s">
        <v>2054</v>
      </c>
      <c r="D789" s="3" t="n">
        <v>0</v>
      </c>
      <c r="E789" s="3" t="n">
        <v>6</v>
      </c>
      <c r="F789" s="3"/>
      <c r="G789" s="3" t="n">
        <v>0</v>
      </c>
      <c r="H789" s="3" t="n">
        <v>670</v>
      </c>
      <c r="I789" s="3" t="s">
        <v>22</v>
      </c>
      <c r="J789" s="3" t="n">
        <v>386</v>
      </c>
      <c r="K789" s="3" t="n">
        <v>0</v>
      </c>
      <c r="L789" s="3" t="n">
        <v>0</v>
      </c>
      <c r="M789" s="3" t="s">
        <v>127</v>
      </c>
      <c r="N789" s="3" t="n">
        <v>10</v>
      </c>
      <c r="O789" s="3" t="n">
        <v>-17.664</v>
      </c>
      <c r="P789" s="3" t="n">
        <v>168.004</v>
      </c>
      <c r="Q789" s="3" t="s">
        <v>989</v>
      </c>
      <c r="R789" s="3"/>
      <c r="S789" s="3" t="s">
        <v>25</v>
      </c>
    </row>
    <row r="790" customFormat="false" ht="13.8" hidden="false" customHeight="false" outlineLevel="0" collapsed="false">
      <c r="A790" s="3" t="s">
        <v>2055</v>
      </c>
      <c r="B790" s="3" t="n">
        <v>7.2</v>
      </c>
      <c r="C790" s="3" t="s">
        <v>2056</v>
      </c>
      <c r="D790" s="3" t="n">
        <v>0</v>
      </c>
      <c r="E790" s="3" t="n">
        <v>6</v>
      </c>
      <c r="F790" s="3"/>
      <c r="G790" s="3" t="n">
        <v>0</v>
      </c>
      <c r="H790" s="3" t="n">
        <v>798</v>
      </c>
      <c r="I790" s="3" t="s">
        <v>22</v>
      </c>
      <c r="J790" s="3" t="n">
        <v>427</v>
      </c>
      <c r="K790" s="3" t="n">
        <v>0</v>
      </c>
      <c r="L790" s="3" t="n">
        <v>0</v>
      </c>
      <c r="M790" s="3" t="s">
        <v>127</v>
      </c>
      <c r="N790" s="3" t="n">
        <v>21</v>
      </c>
      <c r="O790" s="3" t="n">
        <v>-17.6</v>
      </c>
      <c r="P790" s="3" t="n">
        <v>167.856</v>
      </c>
      <c r="Q790" s="3" t="s">
        <v>989</v>
      </c>
      <c r="R790" s="3"/>
      <c r="S790" s="3" t="s">
        <v>25</v>
      </c>
    </row>
    <row r="791" customFormat="false" ht="13.8" hidden="false" customHeight="false" outlineLevel="0" collapsed="false">
      <c r="A791" s="3" t="s">
        <v>2057</v>
      </c>
      <c r="B791" s="3" t="n">
        <v>6.8</v>
      </c>
      <c r="C791" s="3" t="s">
        <v>2058</v>
      </c>
      <c r="D791" s="3" t="n">
        <v>0</v>
      </c>
      <c r="E791" s="3" t="n">
        <v>7</v>
      </c>
      <c r="F791" s="3"/>
      <c r="G791" s="3" t="n">
        <v>0</v>
      </c>
      <c r="H791" s="3" t="n">
        <v>711</v>
      </c>
      <c r="I791" s="3" t="s">
        <v>22</v>
      </c>
      <c r="J791" s="3" t="n">
        <v>385</v>
      </c>
      <c r="K791" s="3" t="n">
        <v>0</v>
      </c>
      <c r="L791" s="3" t="n">
        <v>0</v>
      </c>
      <c r="M791" s="3" t="s">
        <v>127</v>
      </c>
      <c r="N791" s="3" t="n">
        <v>16</v>
      </c>
      <c r="O791" s="3" t="n">
        <v>-9.613</v>
      </c>
      <c r="P791" s="3" t="n">
        <v>159.53</v>
      </c>
      <c r="Q791" s="3" t="s">
        <v>138</v>
      </c>
      <c r="R791" s="3"/>
      <c r="S791" s="3" t="s">
        <v>140</v>
      </c>
    </row>
    <row r="792" customFormat="false" ht="13.8" hidden="false" customHeight="false" outlineLevel="0" collapsed="false">
      <c r="A792" s="3" t="s">
        <v>2059</v>
      </c>
      <c r="B792" s="3" t="n">
        <v>6.8</v>
      </c>
      <c r="C792" s="3" t="s">
        <v>2060</v>
      </c>
      <c r="D792" s="3" t="n">
        <v>0</v>
      </c>
      <c r="E792" s="3" t="n">
        <v>5</v>
      </c>
      <c r="F792" s="3"/>
      <c r="G792" s="3" t="n">
        <v>0</v>
      </c>
      <c r="H792" s="3" t="n">
        <v>711</v>
      </c>
      <c r="I792" s="3" t="s">
        <v>22</v>
      </c>
      <c r="J792" s="3" t="n">
        <v>499</v>
      </c>
      <c r="K792" s="3" t="n">
        <v>0</v>
      </c>
      <c r="L792" s="3" t="n">
        <v>0</v>
      </c>
      <c r="M792" s="3" t="s">
        <v>127</v>
      </c>
      <c r="N792" s="3" t="n">
        <v>14</v>
      </c>
      <c r="O792" s="3" t="n">
        <v>23.954</v>
      </c>
      <c r="P792" s="3" t="n">
        <v>122.734</v>
      </c>
      <c r="Q792" s="3" t="s">
        <v>1884</v>
      </c>
      <c r="R792" s="3"/>
      <c r="S792" s="3"/>
    </row>
    <row r="793" customFormat="false" ht="13.8" hidden="false" customHeight="false" outlineLevel="0" collapsed="false">
      <c r="A793" s="3" t="s">
        <v>2061</v>
      </c>
      <c r="B793" s="3" t="n">
        <v>6.5</v>
      </c>
      <c r="C793" s="3" t="s">
        <v>2062</v>
      </c>
      <c r="D793" s="3" t="n">
        <v>0</v>
      </c>
      <c r="E793" s="3" t="n">
        <v>5</v>
      </c>
      <c r="F793" s="3"/>
      <c r="G793" s="3" t="n">
        <v>0</v>
      </c>
      <c r="H793" s="3" t="n">
        <v>650</v>
      </c>
      <c r="I793" s="3" t="s">
        <v>22</v>
      </c>
      <c r="J793" s="3" t="n">
        <v>605</v>
      </c>
      <c r="K793" s="3" t="n">
        <v>0</v>
      </c>
      <c r="L793" s="3" t="n">
        <v>0</v>
      </c>
      <c r="M793" s="3" t="s">
        <v>127</v>
      </c>
      <c r="N793" s="3" t="n">
        <v>123.8</v>
      </c>
      <c r="O793" s="3" t="n">
        <v>39.402</v>
      </c>
      <c r="P793" s="3" t="n">
        <v>141.089</v>
      </c>
      <c r="Q793" s="3" t="s">
        <v>2063</v>
      </c>
      <c r="R793" s="3" t="s">
        <v>80</v>
      </c>
      <c r="S793" s="3" t="s">
        <v>322</v>
      </c>
    </row>
    <row r="794" customFormat="false" ht="13.8" hidden="false" customHeight="false" outlineLevel="0" collapsed="false">
      <c r="A794" s="3" t="s">
        <v>2064</v>
      </c>
      <c r="B794" s="3" t="n">
        <v>7.8</v>
      </c>
      <c r="C794" s="3" t="s">
        <v>2065</v>
      </c>
      <c r="D794" s="3" t="n">
        <v>0</v>
      </c>
      <c r="E794" s="3" t="n">
        <v>9</v>
      </c>
      <c r="F794" s="3"/>
      <c r="G794" s="3" t="n">
        <v>0</v>
      </c>
      <c r="H794" s="3" t="n">
        <v>936</v>
      </c>
      <c r="I794" s="3" t="s">
        <v>22</v>
      </c>
      <c r="J794" s="3" t="n">
        <v>368</v>
      </c>
      <c r="K794" s="3" t="n">
        <v>0</v>
      </c>
      <c r="L794" s="3" t="n">
        <v>0</v>
      </c>
      <c r="M794" s="3" t="s">
        <v>127</v>
      </c>
      <c r="N794" s="3" t="n">
        <v>10</v>
      </c>
      <c r="O794" s="3" t="n">
        <v>35.946</v>
      </c>
      <c r="P794" s="3" t="n">
        <v>90.541</v>
      </c>
      <c r="Q794" s="3" t="s">
        <v>314</v>
      </c>
      <c r="R794" s="3" t="s">
        <v>80</v>
      </c>
      <c r="S794" s="3" t="s">
        <v>184</v>
      </c>
    </row>
    <row r="795" customFormat="false" ht="13.8" hidden="false" customHeight="false" outlineLevel="0" collapsed="false">
      <c r="A795" s="3" t="s">
        <v>2066</v>
      </c>
      <c r="B795" s="3" t="n">
        <v>7</v>
      </c>
      <c r="C795" s="3" t="s">
        <v>2067</v>
      </c>
      <c r="D795" s="3" t="n">
        <v>0</v>
      </c>
      <c r="E795" s="3" t="n">
        <v>7</v>
      </c>
      <c r="F795" s="3"/>
      <c r="G795" s="3" t="n">
        <v>0</v>
      </c>
      <c r="H795" s="3" t="n">
        <v>754</v>
      </c>
      <c r="I795" s="3" t="s">
        <v>22</v>
      </c>
      <c r="J795" s="3" t="n">
        <v>254</v>
      </c>
      <c r="K795" s="3" t="n">
        <v>0</v>
      </c>
      <c r="L795" s="3" t="n">
        <v>0</v>
      </c>
      <c r="M795" s="3" t="s">
        <v>127</v>
      </c>
      <c r="N795" s="3" t="n">
        <v>33</v>
      </c>
      <c r="O795" s="3" t="n">
        <v>-5.912</v>
      </c>
      <c r="P795" s="3" t="n">
        <v>150.196</v>
      </c>
      <c r="Q795" s="3" t="s">
        <v>107</v>
      </c>
      <c r="R795" s="3"/>
      <c r="S795" s="3" t="s">
        <v>85</v>
      </c>
    </row>
    <row r="796" customFormat="false" ht="13.8" hidden="false" customHeight="false" outlineLevel="0" collapsed="false">
      <c r="A796" s="3" t="s">
        <v>2068</v>
      </c>
      <c r="B796" s="3" t="n">
        <v>7.5</v>
      </c>
      <c r="C796" s="3" t="s">
        <v>2069</v>
      </c>
      <c r="D796" s="3" t="n">
        <v>0</v>
      </c>
      <c r="E796" s="3" t="n">
        <v>6</v>
      </c>
      <c r="F796" s="3"/>
      <c r="G796" s="3" t="n">
        <v>0</v>
      </c>
      <c r="H796" s="3" t="n">
        <v>865</v>
      </c>
      <c r="I796" s="3" t="s">
        <v>22</v>
      </c>
      <c r="J796" s="3" t="n">
        <v>234</v>
      </c>
      <c r="K796" s="3" t="n">
        <v>0</v>
      </c>
      <c r="L796" s="3" t="n">
        <v>0</v>
      </c>
      <c r="M796" s="3" t="s">
        <v>127</v>
      </c>
      <c r="N796" s="3" t="n">
        <v>33</v>
      </c>
      <c r="O796" s="3" t="n">
        <v>-4.102</v>
      </c>
      <c r="P796" s="3" t="n">
        <v>123.907</v>
      </c>
      <c r="Q796" s="3" t="s">
        <v>2070</v>
      </c>
      <c r="R796" s="3"/>
      <c r="S796" s="3" t="s">
        <v>68</v>
      </c>
    </row>
    <row r="797" customFormat="false" ht="13.8" hidden="false" customHeight="false" outlineLevel="0" collapsed="false">
      <c r="A797" s="3" t="s">
        <v>2071</v>
      </c>
      <c r="B797" s="3" t="n">
        <v>7</v>
      </c>
      <c r="C797" s="3" t="s">
        <v>2072</v>
      </c>
      <c r="D797" s="3" t="n">
        <v>0</v>
      </c>
      <c r="E797" s="3" t="n">
        <v>6</v>
      </c>
      <c r="F797" s="3"/>
      <c r="G797" s="3" t="n">
        <v>0</v>
      </c>
      <c r="H797" s="3" t="n">
        <v>754</v>
      </c>
      <c r="I797" s="3" t="s">
        <v>22</v>
      </c>
      <c r="J797" s="3" t="n">
        <v>482</v>
      </c>
      <c r="K797" s="3" t="n">
        <v>0</v>
      </c>
      <c r="L797" s="3" t="n">
        <v>0</v>
      </c>
      <c r="M797" s="3" t="s">
        <v>127</v>
      </c>
      <c r="N797" s="3" t="n">
        <v>37</v>
      </c>
      <c r="O797" s="3" t="n">
        <v>12.686</v>
      </c>
      <c r="P797" s="3" t="n">
        <v>144.98</v>
      </c>
      <c r="Q797" s="3" t="s">
        <v>2073</v>
      </c>
      <c r="R797" s="3"/>
      <c r="S797" s="3"/>
    </row>
    <row r="798" customFormat="false" ht="13.8" hidden="false" customHeight="false" outlineLevel="0" collapsed="false">
      <c r="A798" s="3" t="s">
        <v>2074</v>
      </c>
      <c r="B798" s="3" t="n">
        <v>6.5</v>
      </c>
      <c r="C798" s="3" t="s">
        <v>2075</v>
      </c>
      <c r="D798" s="3" t="n">
        <v>0</v>
      </c>
      <c r="E798" s="3" t="n">
        <v>6</v>
      </c>
      <c r="F798" s="3"/>
      <c r="G798" s="3" t="n">
        <v>0</v>
      </c>
      <c r="H798" s="3" t="n">
        <v>650</v>
      </c>
      <c r="I798" s="3" t="s">
        <v>22</v>
      </c>
      <c r="J798" s="3" t="n">
        <v>174</v>
      </c>
      <c r="K798" s="3" t="n">
        <v>0</v>
      </c>
      <c r="L798" s="3" t="n">
        <v>0</v>
      </c>
      <c r="M798" s="3" t="s">
        <v>127</v>
      </c>
      <c r="N798" s="3" t="n">
        <v>33</v>
      </c>
      <c r="O798" s="3" t="n">
        <v>-0.578</v>
      </c>
      <c r="P798" s="3" t="n">
        <v>133.13</v>
      </c>
      <c r="Q798" s="3" t="s">
        <v>1275</v>
      </c>
      <c r="R798" s="3"/>
      <c r="S798" s="3" t="s">
        <v>68</v>
      </c>
    </row>
    <row r="799" customFormat="false" ht="13.8" hidden="false" customHeight="false" outlineLevel="0" collapsed="false">
      <c r="A799" s="3" t="s">
        <v>2076</v>
      </c>
      <c r="B799" s="3" t="n">
        <v>6.6</v>
      </c>
      <c r="C799" s="3" t="s">
        <v>2077</v>
      </c>
      <c r="D799" s="3" t="n">
        <v>6</v>
      </c>
      <c r="E799" s="3" t="n">
        <v>6</v>
      </c>
      <c r="F799" s="3"/>
      <c r="G799" s="3" t="n">
        <v>0</v>
      </c>
      <c r="H799" s="3" t="n">
        <v>754</v>
      </c>
      <c r="I799" s="3" t="s">
        <v>259</v>
      </c>
      <c r="J799" s="3" t="n">
        <v>0</v>
      </c>
      <c r="K799" s="3" t="n">
        <v>0</v>
      </c>
      <c r="L799" s="3" t="n">
        <v>0</v>
      </c>
      <c r="M799" s="3" t="s">
        <v>485</v>
      </c>
      <c r="N799" s="3" t="n">
        <v>131.8</v>
      </c>
      <c r="O799" s="3" t="n">
        <v>58.775</v>
      </c>
      <c r="P799" s="3" t="n">
        <v>-154.701</v>
      </c>
      <c r="Q799" s="3" t="s">
        <v>2078</v>
      </c>
      <c r="R799" s="3" t="s">
        <v>164</v>
      </c>
      <c r="S799" s="3" t="s">
        <v>261</v>
      </c>
    </row>
    <row r="800" customFormat="false" ht="13.8" hidden="false" customHeight="false" outlineLevel="0" collapsed="false">
      <c r="A800" s="3" t="s">
        <v>2079</v>
      </c>
      <c r="B800" s="3" t="n">
        <v>6.5</v>
      </c>
      <c r="C800" s="3" t="s">
        <v>2080</v>
      </c>
      <c r="D800" s="3" t="n">
        <v>0</v>
      </c>
      <c r="E800" s="3" t="n">
        <v>8</v>
      </c>
      <c r="F800" s="3"/>
      <c r="G800" s="3" t="n">
        <v>0</v>
      </c>
      <c r="H800" s="3" t="n">
        <v>650</v>
      </c>
      <c r="I800" s="3" t="s">
        <v>22</v>
      </c>
      <c r="J800" s="3" t="n">
        <v>483</v>
      </c>
      <c r="K800" s="3" t="n">
        <v>0</v>
      </c>
      <c r="L800" s="3" t="n">
        <v>0</v>
      </c>
      <c r="M800" s="3" t="s">
        <v>127</v>
      </c>
      <c r="N800" s="3" t="n">
        <v>10</v>
      </c>
      <c r="O800" s="3" t="n">
        <v>39.059</v>
      </c>
      <c r="P800" s="3" t="n">
        <v>24.244</v>
      </c>
      <c r="Q800" s="3" t="s">
        <v>2081</v>
      </c>
      <c r="R800" s="3" t="s">
        <v>361</v>
      </c>
      <c r="S800" s="3" t="s">
        <v>362</v>
      </c>
    </row>
    <row r="801" customFormat="false" ht="13.8" hidden="false" customHeight="false" outlineLevel="0" collapsed="false">
      <c r="A801" s="3" t="s">
        <v>2082</v>
      </c>
      <c r="B801" s="3" t="n">
        <v>7.6</v>
      </c>
      <c r="C801" s="3" t="s">
        <v>2083</v>
      </c>
      <c r="D801" s="3" t="n">
        <v>0</v>
      </c>
      <c r="E801" s="3" t="n">
        <v>7</v>
      </c>
      <c r="F801" s="3"/>
      <c r="G801" s="3" t="n">
        <v>0</v>
      </c>
      <c r="H801" s="3" t="n">
        <v>889</v>
      </c>
      <c r="I801" s="3" t="s">
        <v>22</v>
      </c>
      <c r="J801" s="3" t="n">
        <v>398</v>
      </c>
      <c r="K801" s="3" t="n">
        <v>0</v>
      </c>
      <c r="L801" s="3" t="n">
        <v>0</v>
      </c>
      <c r="M801" s="3" t="s">
        <v>127</v>
      </c>
      <c r="N801" s="3" t="n">
        <v>33</v>
      </c>
      <c r="O801" s="3" t="n">
        <v>-17.543</v>
      </c>
      <c r="P801" s="3" t="n">
        <v>-72.077</v>
      </c>
      <c r="Q801" s="3" t="s">
        <v>2084</v>
      </c>
      <c r="R801" s="3"/>
      <c r="S801" s="3" t="s">
        <v>199</v>
      </c>
    </row>
    <row r="802" customFormat="false" ht="13.8" hidden="false" customHeight="false" outlineLevel="0" collapsed="false">
      <c r="A802" s="3" t="s">
        <v>2085</v>
      </c>
      <c r="B802" s="3" t="n">
        <v>6.6</v>
      </c>
      <c r="C802" s="3" t="s">
        <v>2086</v>
      </c>
      <c r="D802" s="3" t="n">
        <v>0</v>
      </c>
      <c r="E802" s="3" t="n">
        <v>7</v>
      </c>
      <c r="F802" s="3"/>
      <c r="G802" s="3" t="n">
        <v>0</v>
      </c>
      <c r="H802" s="3" t="n">
        <v>670</v>
      </c>
      <c r="I802" s="3" t="s">
        <v>22</v>
      </c>
      <c r="J802" s="3" t="n">
        <v>324</v>
      </c>
      <c r="K802" s="3" t="n">
        <v>0</v>
      </c>
      <c r="L802" s="3" t="n">
        <v>0</v>
      </c>
      <c r="M802" s="3" t="s">
        <v>127</v>
      </c>
      <c r="N802" s="3" t="n">
        <v>62</v>
      </c>
      <c r="O802" s="3" t="n">
        <v>-16.086</v>
      </c>
      <c r="P802" s="3" t="n">
        <v>-73.987</v>
      </c>
      <c r="Q802" s="3" t="s">
        <v>2087</v>
      </c>
      <c r="R802" s="3"/>
      <c r="S802" s="3" t="s">
        <v>199</v>
      </c>
    </row>
    <row r="803" customFormat="false" ht="13.8" hidden="false" customHeight="false" outlineLevel="0" collapsed="false">
      <c r="A803" s="3" t="s">
        <v>2088</v>
      </c>
      <c r="B803" s="3" t="n">
        <v>6.7</v>
      </c>
      <c r="C803" s="3" t="s">
        <v>2089</v>
      </c>
      <c r="D803" s="3" t="n">
        <v>0</v>
      </c>
      <c r="E803" s="3" t="n">
        <v>6</v>
      </c>
      <c r="F803" s="3"/>
      <c r="G803" s="3" t="n">
        <v>0</v>
      </c>
      <c r="H803" s="3" t="n">
        <v>691</v>
      </c>
      <c r="I803" s="3" t="s">
        <v>22</v>
      </c>
      <c r="J803" s="3" t="n">
        <v>422</v>
      </c>
      <c r="K803" s="3" t="n">
        <v>0</v>
      </c>
      <c r="L803" s="3" t="n">
        <v>0</v>
      </c>
      <c r="M803" s="3" t="s">
        <v>127</v>
      </c>
      <c r="N803" s="3" t="n">
        <v>24</v>
      </c>
      <c r="O803" s="3" t="n">
        <v>-17.745</v>
      </c>
      <c r="P803" s="3" t="n">
        <v>-71.649</v>
      </c>
      <c r="Q803" s="3" t="s">
        <v>2090</v>
      </c>
      <c r="R803" s="3"/>
      <c r="S803" s="3" t="s">
        <v>199</v>
      </c>
    </row>
    <row r="804" customFormat="false" ht="13.8" hidden="false" customHeight="false" outlineLevel="0" collapsed="false">
      <c r="A804" s="3" t="s">
        <v>2091</v>
      </c>
      <c r="B804" s="3" t="n">
        <v>8.4</v>
      </c>
      <c r="C804" s="3" t="s">
        <v>2092</v>
      </c>
      <c r="D804" s="3" t="n">
        <v>0</v>
      </c>
      <c r="E804" s="3" t="n">
        <v>8</v>
      </c>
      <c r="F804" s="3"/>
      <c r="G804" s="3" t="n">
        <v>0</v>
      </c>
      <c r="H804" s="3" t="n">
        <v>1086</v>
      </c>
      <c r="I804" s="3" t="s">
        <v>1293</v>
      </c>
      <c r="J804" s="3" t="n">
        <v>518</v>
      </c>
      <c r="K804" s="3" t="n">
        <v>0</v>
      </c>
      <c r="L804" s="3" t="n">
        <v>0</v>
      </c>
      <c r="M804" s="3" t="s">
        <v>23</v>
      </c>
      <c r="N804" s="3" t="n">
        <v>33</v>
      </c>
      <c r="O804" s="3" t="n">
        <v>-16.265</v>
      </c>
      <c r="P804" s="3" t="n">
        <v>-73.641</v>
      </c>
      <c r="Q804" s="3" t="s">
        <v>2093</v>
      </c>
      <c r="R804" s="3"/>
      <c r="S804" s="3" t="s">
        <v>199</v>
      </c>
    </row>
    <row r="805" customFormat="false" ht="13.8" hidden="false" customHeight="false" outlineLevel="0" collapsed="false">
      <c r="A805" s="3" t="s">
        <v>2094</v>
      </c>
      <c r="B805" s="3" t="n">
        <v>6.7</v>
      </c>
      <c r="C805" s="3" t="s">
        <v>2095</v>
      </c>
      <c r="D805" s="3" t="n">
        <v>0</v>
      </c>
      <c r="E805" s="3" t="n">
        <v>6</v>
      </c>
      <c r="F805" s="3"/>
      <c r="G805" s="3" t="n">
        <v>0</v>
      </c>
      <c r="H805" s="3" t="n">
        <v>691</v>
      </c>
      <c r="I805" s="3" t="s">
        <v>22</v>
      </c>
      <c r="J805" s="3" t="n">
        <v>282</v>
      </c>
      <c r="K805" s="3" t="n">
        <v>0</v>
      </c>
      <c r="L805" s="3" t="n">
        <v>0</v>
      </c>
      <c r="M805" s="3" t="s">
        <v>127</v>
      </c>
      <c r="N805" s="3" t="n">
        <v>17</v>
      </c>
      <c r="O805" s="3" t="n">
        <v>-7.41</v>
      </c>
      <c r="P805" s="3" t="n">
        <v>155.865</v>
      </c>
      <c r="Q805" s="3" t="s">
        <v>736</v>
      </c>
      <c r="R805" s="3"/>
      <c r="S805" s="3" t="s">
        <v>140</v>
      </c>
    </row>
    <row r="806" customFormat="false" ht="13.8" hidden="false" customHeight="false" outlineLevel="0" collapsed="false">
      <c r="A806" s="3" t="s">
        <v>2096</v>
      </c>
      <c r="B806" s="3" t="n">
        <v>6.8</v>
      </c>
      <c r="C806" s="3" t="s">
        <v>2097</v>
      </c>
      <c r="D806" s="3" t="n">
        <v>0</v>
      </c>
      <c r="E806" s="3" t="n">
        <v>7</v>
      </c>
      <c r="F806" s="3"/>
      <c r="G806" s="3" t="n">
        <v>0</v>
      </c>
      <c r="H806" s="3" t="n">
        <v>711</v>
      </c>
      <c r="I806" s="3" t="s">
        <v>22</v>
      </c>
      <c r="J806" s="3" t="n">
        <v>596</v>
      </c>
      <c r="K806" s="3" t="n">
        <v>0</v>
      </c>
      <c r="L806" s="3" t="n">
        <v>0</v>
      </c>
      <c r="M806" s="3" t="s">
        <v>127</v>
      </c>
      <c r="N806" s="3" t="n">
        <v>50</v>
      </c>
      <c r="O806" s="3" t="n">
        <v>34.083</v>
      </c>
      <c r="P806" s="3" t="n">
        <v>132.526</v>
      </c>
      <c r="Q806" s="3" t="s">
        <v>2098</v>
      </c>
      <c r="R806" s="3" t="s">
        <v>80</v>
      </c>
      <c r="S806" s="3" t="s">
        <v>322</v>
      </c>
    </row>
    <row r="807" customFormat="false" ht="13.8" hidden="false" customHeight="false" outlineLevel="0" collapsed="false">
      <c r="A807" s="3" t="s">
        <v>2099</v>
      </c>
      <c r="B807" s="3" t="n">
        <v>6.5</v>
      </c>
      <c r="C807" s="3" t="s">
        <v>2100</v>
      </c>
      <c r="D807" s="3" t="n">
        <v>0</v>
      </c>
      <c r="E807" s="3" t="n">
        <v>6</v>
      </c>
      <c r="F807" s="3"/>
      <c r="G807" s="3" t="n">
        <v>0</v>
      </c>
      <c r="H807" s="3" t="n">
        <v>650</v>
      </c>
      <c r="I807" s="3" t="s">
        <v>22</v>
      </c>
      <c r="J807" s="3" t="n">
        <v>206</v>
      </c>
      <c r="K807" s="3" t="n">
        <v>0</v>
      </c>
      <c r="L807" s="3" t="n">
        <v>0</v>
      </c>
      <c r="M807" s="3" t="s">
        <v>127</v>
      </c>
      <c r="N807" s="3" t="n">
        <v>33</v>
      </c>
      <c r="O807" s="3" t="n">
        <v>-4.029</v>
      </c>
      <c r="P807" s="3" t="n">
        <v>128.02</v>
      </c>
      <c r="Q807" s="3" t="s">
        <v>1770</v>
      </c>
      <c r="R807" s="3"/>
      <c r="S807" s="3" t="s">
        <v>68</v>
      </c>
    </row>
    <row r="808" customFormat="false" ht="13.8" hidden="false" customHeight="false" outlineLevel="0" collapsed="false">
      <c r="A808" s="3" t="s">
        <v>2101</v>
      </c>
      <c r="B808" s="3" t="n">
        <v>6.8</v>
      </c>
      <c r="C808" s="3" t="s">
        <v>2102</v>
      </c>
      <c r="D808" s="3" t="n">
        <v>7</v>
      </c>
      <c r="E808" s="3" t="n">
        <v>7</v>
      </c>
      <c r="F808" s="3"/>
      <c r="G808" s="3" t="n">
        <v>0</v>
      </c>
      <c r="H808" s="3" t="n">
        <v>1441</v>
      </c>
      <c r="I808" s="3" t="s">
        <v>2103</v>
      </c>
      <c r="J808" s="3" t="n">
        <v>67</v>
      </c>
      <c r="K808" s="3" t="n">
        <v>0</v>
      </c>
      <c r="L808" s="3" t="n">
        <v>31</v>
      </c>
      <c r="M808" s="3" t="s">
        <v>1732</v>
      </c>
      <c r="N808" s="3" t="n">
        <v>51.798</v>
      </c>
      <c r="O808" s="3" t="n">
        <v>47.149</v>
      </c>
      <c r="P808" s="3" t="n">
        <v>-122.727</v>
      </c>
      <c r="Q808" s="3" t="s">
        <v>2104</v>
      </c>
      <c r="R808" s="3" t="s">
        <v>164</v>
      </c>
      <c r="S808" s="3" t="s">
        <v>261</v>
      </c>
    </row>
    <row r="809" customFormat="false" ht="13.8" hidden="false" customHeight="false" outlineLevel="0" collapsed="false">
      <c r="A809" s="3" t="s">
        <v>2105</v>
      </c>
      <c r="B809" s="3" t="n">
        <v>7.1</v>
      </c>
      <c r="C809" s="3" t="s">
        <v>2106</v>
      </c>
      <c r="D809" s="3" t="n">
        <v>0</v>
      </c>
      <c r="E809" s="3" t="n">
        <v>7</v>
      </c>
      <c r="F809" s="3"/>
      <c r="G809" s="3" t="n">
        <v>0</v>
      </c>
      <c r="H809" s="3" t="n">
        <v>776</v>
      </c>
      <c r="I809" s="3" t="s">
        <v>22</v>
      </c>
      <c r="J809" s="3" t="n">
        <v>426</v>
      </c>
      <c r="K809" s="3" t="n">
        <v>0</v>
      </c>
      <c r="L809" s="3" t="n">
        <v>0</v>
      </c>
      <c r="M809" s="3" t="s">
        <v>127</v>
      </c>
      <c r="N809" s="3" t="n">
        <v>35</v>
      </c>
      <c r="O809" s="3" t="n">
        <v>1.271</v>
      </c>
      <c r="P809" s="3" t="n">
        <v>126.249</v>
      </c>
      <c r="Q809" s="3" t="s">
        <v>1002</v>
      </c>
      <c r="R809" s="3"/>
      <c r="S809" s="3" t="s">
        <v>68</v>
      </c>
    </row>
    <row r="810" customFormat="false" ht="13.8" hidden="false" customHeight="false" outlineLevel="0" collapsed="false">
      <c r="A810" s="3" t="s">
        <v>2107</v>
      </c>
      <c r="B810" s="3" t="n">
        <v>7.4</v>
      </c>
      <c r="C810" s="3" t="s">
        <v>2108</v>
      </c>
      <c r="D810" s="3" t="n">
        <v>0</v>
      </c>
      <c r="E810" s="3" t="n">
        <v>6</v>
      </c>
      <c r="F810" s="3"/>
      <c r="G810" s="3" t="n">
        <v>0</v>
      </c>
      <c r="H810" s="3" t="n">
        <v>842</v>
      </c>
      <c r="I810" s="3" t="s">
        <v>22</v>
      </c>
      <c r="J810" s="3" t="n">
        <v>221</v>
      </c>
      <c r="K810" s="3" t="n">
        <v>0</v>
      </c>
      <c r="L810" s="3" t="n">
        <v>0</v>
      </c>
      <c r="M810" s="3" t="s">
        <v>127</v>
      </c>
      <c r="N810" s="3" t="n">
        <v>36</v>
      </c>
      <c r="O810" s="3" t="n">
        <v>-4.68</v>
      </c>
      <c r="P810" s="3" t="n">
        <v>102.562</v>
      </c>
      <c r="Q810" s="3" t="s">
        <v>143</v>
      </c>
      <c r="R810" s="3"/>
      <c r="S810" s="3" t="s">
        <v>68</v>
      </c>
    </row>
    <row r="811" customFormat="false" ht="13.8" hidden="false" customHeight="false" outlineLevel="0" collapsed="false">
      <c r="A811" s="3" t="s">
        <v>2109</v>
      </c>
      <c r="B811" s="3" t="n">
        <v>6.6</v>
      </c>
      <c r="C811" s="3" t="s">
        <v>2110</v>
      </c>
      <c r="D811" s="3" t="n">
        <v>0</v>
      </c>
      <c r="E811" s="3" t="n">
        <v>8</v>
      </c>
      <c r="F811" s="3"/>
      <c r="G811" s="3" t="n">
        <v>0</v>
      </c>
      <c r="H811" s="3" t="n">
        <v>670</v>
      </c>
      <c r="I811" s="3" t="s">
        <v>22</v>
      </c>
      <c r="J811" s="3" t="n">
        <v>273</v>
      </c>
      <c r="K811" s="3" t="n">
        <v>0</v>
      </c>
      <c r="L811" s="3" t="n">
        <v>0</v>
      </c>
      <c r="M811" s="3" t="s">
        <v>127</v>
      </c>
      <c r="N811" s="3" t="n">
        <v>10</v>
      </c>
      <c r="O811" s="3" t="n">
        <v>13.671</v>
      </c>
      <c r="P811" s="3" t="n">
        <v>-88.938</v>
      </c>
      <c r="Q811" s="3" t="s">
        <v>2111</v>
      </c>
      <c r="R811" s="3"/>
      <c r="S811" s="3" t="s">
        <v>2112</v>
      </c>
    </row>
    <row r="812" customFormat="false" ht="13.8" hidden="false" customHeight="false" outlineLevel="0" collapsed="false">
      <c r="A812" s="3" t="s">
        <v>2113</v>
      </c>
      <c r="B812" s="3" t="n">
        <v>7.7</v>
      </c>
      <c r="C812" s="3" t="s">
        <v>2114</v>
      </c>
      <c r="D812" s="3" t="n">
        <v>0</v>
      </c>
      <c r="E812" s="3" t="n">
        <v>9</v>
      </c>
      <c r="F812" s="3"/>
      <c r="G812" s="3" t="n">
        <v>0</v>
      </c>
      <c r="H812" s="3" t="n">
        <v>912</v>
      </c>
      <c r="I812" s="3" t="s">
        <v>22</v>
      </c>
      <c r="J812" s="3" t="n">
        <v>472</v>
      </c>
      <c r="K812" s="3" t="n">
        <v>0</v>
      </c>
      <c r="L812" s="3" t="n">
        <v>0</v>
      </c>
      <c r="M812" s="3" t="s">
        <v>127</v>
      </c>
      <c r="N812" s="3" t="n">
        <v>16</v>
      </c>
      <c r="O812" s="3" t="n">
        <v>23.419</v>
      </c>
      <c r="P812" s="3" t="n">
        <v>70.232</v>
      </c>
      <c r="Q812" s="3" t="s">
        <v>2115</v>
      </c>
      <c r="R812" s="3" t="s">
        <v>80</v>
      </c>
      <c r="S812" s="3" t="s">
        <v>860</v>
      </c>
    </row>
    <row r="813" customFormat="false" ht="13.8" hidden="false" customHeight="false" outlineLevel="0" collapsed="false">
      <c r="A813" s="3" t="s">
        <v>2116</v>
      </c>
      <c r="B813" s="3" t="n">
        <v>6.9</v>
      </c>
      <c r="C813" s="3" t="s">
        <v>2117</v>
      </c>
      <c r="D813" s="3" t="n">
        <v>0</v>
      </c>
      <c r="E813" s="3" t="n">
        <v>6</v>
      </c>
      <c r="F813" s="3"/>
      <c r="G813" s="3" t="n">
        <v>0</v>
      </c>
      <c r="H813" s="3" t="n">
        <v>732</v>
      </c>
      <c r="I813" s="3" t="s">
        <v>22</v>
      </c>
      <c r="J813" s="3" t="n">
        <v>117</v>
      </c>
      <c r="K813" s="3" t="n">
        <v>0</v>
      </c>
      <c r="L813" s="3" t="n">
        <v>0</v>
      </c>
      <c r="M813" s="3" t="s">
        <v>154</v>
      </c>
      <c r="N813" s="3" t="n">
        <v>28</v>
      </c>
      <c r="O813" s="3" t="n">
        <v>-4.022</v>
      </c>
      <c r="P813" s="3" t="n">
        <v>101.776</v>
      </c>
      <c r="Q813" s="3" t="s">
        <v>143</v>
      </c>
      <c r="R813" s="3"/>
      <c r="S813" s="3" t="s">
        <v>68</v>
      </c>
    </row>
    <row r="814" customFormat="false" ht="13.8" hidden="false" customHeight="false" outlineLevel="0" collapsed="false">
      <c r="A814" s="3" t="s">
        <v>2118</v>
      </c>
      <c r="B814" s="3" t="n">
        <v>7.7</v>
      </c>
      <c r="C814" s="3" t="s">
        <v>2119</v>
      </c>
      <c r="D814" s="3" t="n">
        <v>0</v>
      </c>
      <c r="E814" s="3" t="n">
        <v>8</v>
      </c>
      <c r="F814" s="3"/>
      <c r="G814" s="3" t="n">
        <v>0</v>
      </c>
      <c r="H814" s="3" t="n">
        <v>912</v>
      </c>
      <c r="I814" s="3" t="s">
        <v>22</v>
      </c>
      <c r="J814" s="3" t="n">
        <v>427</v>
      </c>
      <c r="K814" s="3" t="n">
        <v>0</v>
      </c>
      <c r="L814" s="3" t="n">
        <v>0</v>
      </c>
      <c r="M814" s="3" t="s">
        <v>127</v>
      </c>
      <c r="N814" s="3" t="n">
        <v>60</v>
      </c>
      <c r="O814" s="3" t="n">
        <v>13.049</v>
      </c>
      <c r="P814" s="3" t="n">
        <v>-88.66</v>
      </c>
      <c r="Q814" s="3" t="s">
        <v>768</v>
      </c>
      <c r="R814" s="3"/>
      <c r="S814" s="3"/>
    </row>
    <row r="815" customFormat="false" ht="13.8" hidden="false" customHeight="false" outlineLevel="0" collapsed="false">
      <c r="A815" s="3" t="s">
        <v>2120</v>
      </c>
      <c r="B815" s="3" t="n">
        <v>6.9</v>
      </c>
      <c r="C815" s="3" t="s">
        <v>2121</v>
      </c>
      <c r="D815" s="3" t="n">
        <v>5</v>
      </c>
      <c r="E815" s="3" t="n">
        <v>7</v>
      </c>
      <c r="F815" s="3"/>
      <c r="G815" s="3" t="n">
        <v>0</v>
      </c>
      <c r="H815" s="3" t="n">
        <v>745</v>
      </c>
      <c r="I815" s="3" t="s">
        <v>259</v>
      </c>
      <c r="J815" s="3" t="n">
        <v>0</v>
      </c>
      <c r="K815" s="3" t="n">
        <v>0</v>
      </c>
      <c r="L815" s="3" t="n">
        <v>0</v>
      </c>
      <c r="M815" s="3" t="s">
        <v>485</v>
      </c>
      <c r="N815" s="3" t="n">
        <v>36.4</v>
      </c>
      <c r="O815" s="3" t="n">
        <v>56.7744</v>
      </c>
      <c r="P815" s="3" t="n">
        <v>-153.281</v>
      </c>
      <c r="Q815" s="3" t="s">
        <v>2122</v>
      </c>
      <c r="R815" s="3" t="s">
        <v>164</v>
      </c>
      <c r="S815" s="3"/>
    </row>
    <row r="816" customFormat="false" ht="13.8" hidden="false" customHeight="false" outlineLevel="0" collapsed="false">
      <c r="A816" s="3" t="s">
        <v>2123</v>
      </c>
      <c r="B816" s="3" t="n">
        <v>7.1</v>
      </c>
      <c r="C816" s="3" t="s">
        <v>2124</v>
      </c>
      <c r="D816" s="3" t="n">
        <v>0</v>
      </c>
      <c r="E816" s="3" t="n">
        <v>7</v>
      </c>
      <c r="F816" s="3"/>
      <c r="G816" s="3" t="n">
        <v>0</v>
      </c>
      <c r="H816" s="3" t="n">
        <v>776</v>
      </c>
      <c r="I816" s="3" t="s">
        <v>22</v>
      </c>
      <c r="J816" s="3" t="n">
        <v>372</v>
      </c>
      <c r="K816" s="3" t="n">
        <v>0</v>
      </c>
      <c r="L816" s="3" t="n">
        <v>0</v>
      </c>
      <c r="M816" s="3" t="s">
        <v>154</v>
      </c>
      <c r="N816" s="3" t="n">
        <v>103</v>
      </c>
      <c r="O816" s="3" t="n">
        <v>-14.928</v>
      </c>
      <c r="P816" s="3" t="n">
        <v>167.17</v>
      </c>
      <c r="Q816" s="3" t="s">
        <v>104</v>
      </c>
      <c r="R816" s="3"/>
      <c r="S816" s="3" t="s">
        <v>25</v>
      </c>
    </row>
    <row r="817" customFormat="false" ht="13.8" hidden="false" customHeight="false" outlineLevel="0" collapsed="false">
      <c r="A817" s="3" t="s">
        <v>2125</v>
      </c>
      <c r="B817" s="3" t="n">
        <v>6.8</v>
      </c>
      <c r="C817" s="3" t="s">
        <v>2126</v>
      </c>
      <c r="D817" s="3" t="n">
        <v>0</v>
      </c>
      <c r="E817" s="3" t="n">
        <v>5</v>
      </c>
      <c r="F817" s="3"/>
      <c r="G817" s="3" t="n">
        <v>0</v>
      </c>
      <c r="H817" s="3" t="n">
        <v>711</v>
      </c>
      <c r="I817" s="3" t="s">
        <v>22</v>
      </c>
      <c r="J817" s="3" t="n">
        <v>64</v>
      </c>
      <c r="K817" s="3" t="n">
        <v>0</v>
      </c>
      <c r="L817" s="3" t="n">
        <v>0</v>
      </c>
      <c r="M817" s="3" t="s">
        <v>127</v>
      </c>
      <c r="N817" s="3" t="n">
        <v>33</v>
      </c>
      <c r="O817" s="3" t="n">
        <v>6.631</v>
      </c>
      <c r="P817" s="3" t="n">
        <v>126.899</v>
      </c>
      <c r="Q817" s="3" t="s">
        <v>2043</v>
      </c>
      <c r="R817" s="3"/>
      <c r="S817" s="3"/>
    </row>
    <row r="818" customFormat="false" ht="13.8" hidden="false" customHeight="false" outlineLevel="0" collapsed="false">
      <c r="A818" s="3" t="s">
        <v>2127</v>
      </c>
      <c r="B818" s="3" t="n">
        <v>7.5</v>
      </c>
      <c r="C818" s="3" t="s">
        <v>2128</v>
      </c>
      <c r="D818" s="3" t="n">
        <v>0</v>
      </c>
      <c r="E818" s="3" t="n">
        <v>7</v>
      </c>
      <c r="F818" s="3"/>
      <c r="G818" s="3" t="n">
        <v>0</v>
      </c>
      <c r="H818" s="3" t="n">
        <v>865</v>
      </c>
      <c r="I818" s="3" t="s">
        <v>22</v>
      </c>
      <c r="J818" s="3" t="n">
        <v>324</v>
      </c>
      <c r="K818" s="3" t="n">
        <v>0</v>
      </c>
      <c r="L818" s="3" t="n">
        <v>0</v>
      </c>
      <c r="M818" s="3" t="s">
        <v>127</v>
      </c>
      <c r="N818" s="3" t="n">
        <v>33</v>
      </c>
      <c r="O818" s="3" t="n">
        <v>6.898</v>
      </c>
      <c r="P818" s="3" t="n">
        <v>126.579</v>
      </c>
      <c r="Q818" s="3" t="s">
        <v>2129</v>
      </c>
      <c r="R818" s="3"/>
      <c r="S818" s="3" t="s">
        <v>191</v>
      </c>
    </row>
    <row r="819" customFormat="false" ht="13.8" hidden="false" customHeight="false" outlineLevel="0" collapsed="false">
      <c r="A819" s="3" t="s">
        <v>2130</v>
      </c>
      <c r="B819" s="3" t="n">
        <v>6.5</v>
      </c>
      <c r="C819" s="3" t="s">
        <v>2131</v>
      </c>
      <c r="D819" s="3" t="n">
        <v>0</v>
      </c>
      <c r="E819" s="3" t="n">
        <v>7</v>
      </c>
      <c r="F819" s="3"/>
      <c r="G819" s="3" t="n">
        <v>0</v>
      </c>
      <c r="H819" s="3" t="n">
        <v>650</v>
      </c>
      <c r="I819" s="3" t="s">
        <v>22</v>
      </c>
      <c r="J819" s="3" t="n">
        <v>401</v>
      </c>
      <c r="K819" s="3" t="n">
        <v>0</v>
      </c>
      <c r="L819" s="3" t="n">
        <v>0</v>
      </c>
      <c r="M819" s="3" t="s">
        <v>127</v>
      </c>
      <c r="N819" s="3" t="n">
        <v>31</v>
      </c>
      <c r="O819" s="3" t="n">
        <v>-4.218</v>
      </c>
      <c r="P819" s="3" t="n">
        <v>152.725</v>
      </c>
      <c r="Q819" s="3" t="s">
        <v>625</v>
      </c>
      <c r="R819" s="3"/>
      <c r="S819" s="3" t="s">
        <v>85</v>
      </c>
    </row>
    <row r="820" customFormat="false" ht="13.8" hidden="false" customHeight="false" outlineLevel="0" collapsed="false">
      <c r="A820" s="3" t="s">
        <v>2132</v>
      </c>
      <c r="B820" s="3" t="n">
        <v>7</v>
      </c>
      <c r="C820" s="3" t="s">
        <v>2133</v>
      </c>
      <c r="D820" s="3" t="n">
        <v>0</v>
      </c>
      <c r="E820" s="3" t="n">
        <v>7</v>
      </c>
      <c r="F820" s="3"/>
      <c r="G820" s="3" t="n">
        <v>0</v>
      </c>
      <c r="H820" s="3" t="n">
        <v>754</v>
      </c>
      <c r="I820" s="3" t="s">
        <v>22</v>
      </c>
      <c r="J820" s="3" t="n">
        <v>495</v>
      </c>
      <c r="K820" s="3" t="n">
        <v>0</v>
      </c>
      <c r="L820" s="3" t="n">
        <v>0</v>
      </c>
      <c r="M820" s="3" t="s">
        <v>127</v>
      </c>
      <c r="N820" s="3" t="n">
        <v>30</v>
      </c>
      <c r="O820" s="3" t="n">
        <v>39.566</v>
      </c>
      <c r="P820" s="3" t="n">
        <v>54.799</v>
      </c>
      <c r="Q820" s="3" t="s">
        <v>2134</v>
      </c>
      <c r="R820" s="3" t="s">
        <v>80</v>
      </c>
      <c r="S820" s="3" t="s">
        <v>2135</v>
      </c>
    </row>
    <row r="821" customFormat="false" ht="13.8" hidden="false" customHeight="false" outlineLevel="0" collapsed="false">
      <c r="A821" s="3" t="s">
        <v>2136</v>
      </c>
      <c r="B821" s="3" t="n">
        <v>6.5</v>
      </c>
      <c r="C821" s="3" t="s">
        <v>2137</v>
      </c>
      <c r="D821" s="3" t="n">
        <v>0</v>
      </c>
      <c r="E821" s="3" t="n">
        <v>6</v>
      </c>
      <c r="F821" s="3"/>
      <c r="G821" s="3" t="n">
        <v>0</v>
      </c>
      <c r="H821" s="3" t="n">
        <v>650</v>
      </c>
      <c r="I821" s="3" t="s">
        <v>22</v>
      </c>
      <c r="J821" s="3" t="n">
        <v>268</v>
      </c>
      <c r="K821" s="3" t="n">
        <v>0</v>
      </c>
      <c r="L821" s="3" t="n">
        <v>0</v>
      </c>
      <c r="M821" s="3" t="s">
        <v>127</v>
      </c>
      <c r="N821" s="3" t="n">
        <v>33</v>
      </c>
      <c r="O821" s="3" t="n">
        <v>40.167</v>
      </c>
      <c r="P821" s="3" t="n">
        <v>49.954</v>
      </c>
      <c r="Q821" s="3" t="s">
        <v>2138</v>
      </c>
      <c r="R821" s="3" t="s">
        <v>80</v>
      </c>
      <c r="S821" s="3" t="s">
        <v>2139</v>
      </c>
    </row>
    <row r="822" customFormat="false" ht="13.8" hidden="false" customHeight="false" outlineLevel="0" collapsed="false">
      <c r="A822" s="3" t="s">
        <v>2140</v>
      </c>
      <c r="B822" s="3" t="n">
        <v>6.8</v>
      </c>
      <c r="C822" s="3" t="s">
        <v>2141</v>
      </c>
      <c r="D822" s="3" t="n">
        <v>0</v>
      </c>
      <c r="E822" s="3" t="n">
        <v>6</v>
      </c>
      <c r="F822" s="3"/>
      <c r="G822" s="3" t="n">
        <v>0</v>
      </c>
      <c r="H822" s="3" t="n">
        <v>711</v>
      </c>
      <c r="I822" s="3" t="s">
        <v>22</v>
      </c>
      <c r="J822" s="3" t="n">
        <v>446</v>
      </c>
      <c r="K822" s="3" t="n">
        <v>0</v>
      </c>
      <c r="L822" s="3" t="n">
        <v>0</v>
      </c>
      <c r="M822" s="3" t="s">
        <v>127</v>
      </c>
      <c r="N822" s="3" t="n">
        <v>50.4</v>
      </c>
      <c r="O822" s="3" t="n">
        <v>40.245</v>
      </c>
      <c r="P822" s="3" t="n">
        <v>49.946</v>
      </c>
      <c r="Q822" s="3" t="s">
        <v>2142</v>
      </c>
      <c r="R822" s="3" t="s">
        <v>80</v>
      </c>
      <c r="S822" s="3" t="s">
        <v>2139</v>
      </c>
    </row>
    <row r="823" customFormat="false" ht="13.8" hidden="false" customHeight="false" outlineLevel="0" collapsed="false">
      <c r="A823" s="3" t="s">
        <v>2143</v>
      </c>
      <c r="B823" s="3" t="n">
        <v>6.8</v>
      </c>
      <c r="C823" s="3" t="s">
        <v>2144</v>
      </c>
      <c r="D823" s="3" t="n">
        <v>0</v>
      </c>
      <c r="E823" s="3" t="n">
        <v>6</v>
      </c>
      <c r="F823" s="3"/>
      <c r="G823" s="3" t="n">
        <v>0</v>
      </c>
      <c r="H823" s="3" t="n">
        <v>711</v>
      </c>
      <c r="I823" s="3" t="s">
        <v>22</v>
      </c>
      <c r="J823" s="3" t="n">
        <v>402</v>
      </c>
      <c r="K823" s="3" t="n">
        <v>0</v>
      </c>
      <c r="L823" s="3" t="n">
        <v>0</v>
      </c>
      <c r="M823" s="3" t="s">
        <v>154</v>
      </c>
      <c r="N823" s="3" t="n">
        <v>33</v>
      </c>
      <c r="O823" s="3" t="n">
        <v>-5.228</v>
      </c>
      <c r="P823" s="3" t="n">
        <v>151.771</v>
      </c>
      <c r="Q823" s="3" t="s">
        <v>625</v>
      </c>
      <c r="R823" s="3"/>
      <c r="S823" s="3" t="s">
        <v>85</v>
      </c>
    </row>
    <row r="824" customFormat="false" ht="13.8" hidden="false" customHeight="false" outlineLevel="0" collapsed="false">
      <c r="A824" s="3" t="s">
        <v>2145</v>
      </c>
      <c r="B824" s="3" t="n">
        <v>6.6</v>
      </c>
      <c r="C824" s="3" t="s">
        <v>2146</v>
      </c>
      <c r="D824" s="3" t="n">
        <v>0</v>
      </c>
      <c r="E824" s="3" t="n">
        <v>6</v>
      </c>
      <c r="F824" s="3"/>
      <c r="G824" s="3" t="n">
        <v>0</v>
      </c>
      <c r="H824" s="3" t="n">
        <v>670</v>
      </c>
      <c r="I824" s="3" t="s">
        <v>22</v>
      </c>
      <c r="J824" s="3" t="n">
        <v>267</v>
      </c>
      <c r="K824" s="3" t="n">
        <v>0</v>
      </c>
      <c r="L824" s="3" t="n">
        <v>0</v>
      </c>
      <c r="M824" s="3" t="s">
        <v>127</v>
      </c>
      <c r="N824" s="3" t="n">
        <v>33</v>
      </c>
      <c r="O824" s="3" t="n">
        <v>-5.097</v>
      </c>
      <c r="P824" s="3" t="n">
        <v>153.181</v>
      </c>
      <c r="Q824" s="3" t="s">
        <v>625</v>
      </c>
      <c r="R824" s="3"/>
      <c r="S824" s="3" t="s">
        <v>85</v>
      </c>
    </row>
    <row r="825" customFormat="false" ht="13.8" hidden="false" customHeight="false" outlineLevel="0" collapsed="false">
      <c r="A825" s="3" t="s">
        <v>2147</v>
      </c>
      <c r="B825" s="3" t="n">
        <v>7.8</v>
      </c>
      <c r="C825" s="3" t="s">
        <v>2148</v>
      </c>
      <c r="D825" s="3" t="n">
        <v>0</v>
      </c>
      <c r="E825" s="3" t="n">
        <v>7</v>
      </c>
      <c r="F825" s="3"/>
      <c r="G825" s="3" t="n">
        <v>0</v>
      </c>
      <c r="H825" s="3" t="n">
        <v>936</v>
      </c>
      <c r="I825" s="3" t="s">
        <v>22</v>
      </c>
      <c r="J825" s="3" t="n">
        <v>346</v>
      </c>
      <c r="K825" s="3" t="n">
        <v>0</v>
      </c>
      <c r="L825" s="3" t="n">
        <v>0</v>
      </c>
      <c r="M825" s="3" t="s">
        <v>127</v>
      </c>
      <c r="N825" s="3" t="n">
        <v>33</v>
      </c>
      <c r="O825" s="3" t="n">
        <v>-5.496</v>
      </c>
      <c r="P825" s="3" t="n">
        <v>151.781</v>
      </c>
      <c r="Q825" s="3" t="s">
        <v>625</v>
      </c>
      <c r="R825" s="3"/>
      <c r="S825" s="3" t="s">
        <v>85</v>
      </c>
    </row>
    <row r="826" customFormat="false" ht="13.8" hidden="false" customHeight="false" outlineLevel="0" collapsed="false">
      <c r="A826" s="3" t="s">
        <v>2149</v>
      </c>
      <c r="B826" s="3" t="n">
        <v>6.5</v>
      </c>
      <c r="C826" s="3" t="s">
        <v>2150</v>
      </c>
      <c r="D826" s="3" t="n">
        <v>0</v>
      </c>
      <c r="E826" s="3" t="n">
        <v>6</v>
      </c>
      <c r="F826" s="3"/>
      <c r="G826" s="3" t="n">
        <v>0</v>
      </c>
      <c r="H826" s="3" t="n">
        <v>650</v>
      </c>
      <c r="I826" s="3" t="s">
        <v>22</v>
      </c>
      <c r="J826" s="3" t="n">
        <v>71</v>
      </c>
      <c r="K826" s="3" t="n">
        <v>0</v>
      </c>
      <c r="L826" s="3" t="n">
        <v>0</v>
      </c>
      <c r="M826" s="3" t="s">
        <v>1374</v>
      </c>
      <c r="N826" s="3" t="n">
        <v>33</v>
      </c>
      <c r="O826" s="3" t="n">
        <v>-4.827</v>
      </c>
      <c r="P826" s="3" t="n">
        <v>153.226</v>
      </c>
      <c r="Q826" s="3" t="s">
        <v>625</v>
      </c>
      <c r="R826" s="3"/>
      <c r="S826" s="3" t="s">
        <v>85</v>
      </c>
    </row>
    <row r="827" customFormat="false" ht="13.8" hidden="false" customHeight="false" outlineLevel="0" collapsed="false">
      <c r="A827" s="3" t="s">
        <v>2151</v>
      </c>
      <c r="B827" s="3" t="n">
        <v>7.8</v>
      </c>
      <c r="C827" s="3" t="s">
        <v>2152</v>
      </c>
      <c r="D827" s="3" t="n">
        <v>0</v>
      </c>
      <c r="E827" s="3" t="n">
        <v>7</v>
      </c>
      <c r="F827" s="3"/>
      <c r="G827" s="3" t="n">
        <v>0</v>
      </c>
      <c r="H827" s="3" t="n">
        <v>936</v>
      </c>
      <c r="I827" s="3" t="s">
        <v>22</v>
      </c>
      <c r="J827" s="3" t="n">
        <v>294</v>
      </c>
      <c r="K827" s="3" t="n">
        <v>0</v>
      </c>
      <c r="L827" s="3" t="n">
        <v>0</v>
      </c>
      <c r="M827" s="3" t="s">
        <v>127</v>
      </c>
      <c r="N827" s="3" t="n">
        <v>30</v>
      </c>
      <c r="O827" s="3" t="n">
        <v>-5.233</v>
      </c>
      <c r="P827" s="3" t="n">
        <v>153.102</v>
      </c>
      <c r="Q827" s="3" t="s">
        <v>625</v>
      </c>
      <c r="R827" s="3"/>
      <c r="S827" s="3"/>
    </row>
    <row r="828" customFormat="false" ht="13.8" hidden="false" customHeight="false" outlineLevel="0" collapsed="false">
      <c r="A828" s="3" t="s">
        <v>2153</v>
      </c>
      <c r="B828" s="3" t="n">
        <v>8</v>
      </c>
      <c r="C828" s="3" t="s">
        <v>2154</v>
      </c>
      <c r="D828" s="3" t="n">
        <v>0</v>
      </c>
      <c r="E828" s="3" t="n">
        <v>7</v>
      </c>
      <c r="F828" s="3"/>
      <c r="G828" s="3" t="n">
        <v>0</v>
      </c>
      <c r="H828" s="3" t="n">
        <v>985</v>
      </c>
      <c r="I828" s="3" t="s">
        <v>22</v>
      </c>
      <c r="J828" s="3" t="n">
        <v>254</v>
      </c>
      <c r="K828" s="3" t="n">
        <v>0</v>
      </c>
      <c r="L828" s="3" t="n">
        <v>0</v>
      </c>
      <c r="M828" s="3" t="s">
        <v>127</v>
      </c>
      <c r="N828" s="3" t="n">
        <v>33</v>
      </c>
      <c r="O828" s="3" t="n">
        <v>-3.98</v>
      </c>
      <c r="P828" s="3" t="n">
        <v>152.169</v>
      </c>
      <c r="Q828" s="3" t="s">
        <v>797</v>
      </c>
      <c r="R828" s="3"/>
      <c r="S828" s="3" t="s">
        <v>85</v>
      </c>
    </row>
    <row r="829" customFormat="false" ht="13.8" hidden="false" customHeight="false" outlineLevel="0" collapsed="false">
      <c r="A829" s="3" t="s">
        <v>2155</v>
      </c>
      <c r="B829" s="3" t="n">
        <v>6.5</v>
      </c>
      <c r="C829" s="3" t="s">
        <v>2156</v>
      </c>
      <c r="D829" s="3" t="n">
        <v>0</v>
      </c>
      <c r="E829" s="3" t="n">
        <v>7</v>
      </c>
      <c r="F829" s="3"/>
      <c r="G829" s="3" t="n">
        <v>0</v>
      </c>
      <c r="H829" s="3" t="n">
        <v>650</v>
      </c>
      <c r="I829" s="3" t="s">
        <v>22</v>
      </c>
      <c r="J829" s="3" t="n">
        <v>462</v>
      </c>
      <c r="K829" s="3" t="n">
        <v>0</v>
      </c>
      <c r="L829" s="3" t="n">
        <v>0</v>
      </c>
      <c r="M829" s="3" t="s">
        <v>127</v>
      </c>
      <c r="N829" s="3" t="n">
        <v>17</v>
      </c>
      <c r="O829" s="3" t="n">
        <v>7.042</v>
      </c>
      <c r="P829" s="3" t="n">
        <v>-77.829</v>
      </c>
      <c r="Q829" s="3" t="s">
        <v>2157</v>
      </c>
      <c r="R829" s="3"/>
      <c r="S829" s="3" t="s">
        <v>54</v>
      </c>
    </row>
    <row r="830" customFormat="false" ht="13.8" hidden="false" customHeight="false" outlineLevel="0" collapsed="false">
      <c r="A830" s="3" t="s">
        <v>2158</v>
      </c>
      <c r="B830" s="3" t="n">
        <v>7</v>
      </c>
      <c r="C830" s="3" t="s">
        <v>2159</v>
      </c>
      <c r="D830" s="3" t="n">
        <v>0</v>
      </c>
      <c r="E830" s="3" t="n">
        <v>7</v>
      </c>
      <c r="F830" s="3"/>
      <c r="G830" s="3" t="n">
        <v>0</v>
      </c>
      <c r="H830" s="3" t="n">
        <v>754</v>
      </c>
      <c r="I830" s="3" t="s">
        <v>22</v>
      </c>
      <c r="J830" s="3" t="n">
        <v>60</v>
      </c>
      <c r="K830" s="3" t="n">
        <v>0</v>
      </c>
      <c r="L830" s="3" t="n">
        <v>0</v>
      </c>
      <c r="M830" s="3" t="s">
        <v>127</v>
      </c>
      <c r="N830" s="3" t="n">
        <v>50</v>
      </c>
      <c r="O830" s="3" t="n">
        <v>-4.766</v>
      </c>
      <c r="P830" s="3" t="n">
        <v>153.945</v>
      </c>
      <c r="Q830" s="3" t="s">
        <v>625</v>
      </c>
      <c r="R830" s="3"/>
      <c r="S830" s="3" t="s">
        <v>85</v>
      </c>
    </row>
    <row r="831" customFormat="false" ht="13.8" hidden="false" customHeight="false" outlineLevel="0" collapsed="false">
      <c r="A831" s="3" t="s">
        <v>2160</v>
      </c>
      <c r="B831" s="3" t="n">
        <v>6.8</v>
      </c>
      <c r="C831" s="3" t="s">
        <v>2161</v>
      </c>
      <c r="D831" s="3" t="n">
        <v>0</v>
      </c>
      <c r="E831" s="3" t="n">
        <v>6</v>
      </c>
      <c r="F831" s="3"/>
      <c r="G831" s="3" t="n">
        <v>0</v>
      </c>
      <c r="H831" s="3" t="n">
        <v>711</v>
      </c>
      <c r="I831" s="3" t="s">
        <v>22</v>
      </c>
      <c r="J831" s="3" t="n">
        <v>415</v>
      </c>
      <c r="K831" s="3" t="n">
        <v>0</v>
      </c>
      <c r="L831" s="3" t="n">
        <v>0</v>
      </c>
      <c r="M831" s="3" t="s">
        <v>127</v>
      </c>
      <c r="N831" s="3" t="n">
        <v>38</v>
      </c>
      <c r="O831" s="3" t="n">
        <v>-6.549</v>
      </c>
      <c r="P831" s="3" t="n">
        <v>105.63</v>
      </c>
      <c r="Q831" s="3" t="s">
        <v>231</v>
      </c>
      <c r="R831" s="3"/>
      <c r="S831" s="3" t="s">
        <v>68</v>
      </c>
    </row>
    <row r="832" customFormat="false" ht="13.8" hidden="false" customHeight="false" outlineLevel="0" collapsed="false">
      <c r="A832" s="3" t="s">
        <v>2162</v>
      </c>
      <c r="B832" s="3" t="n">
        <v>6.7</v>
      </c>
      <c r="C832" s="3" t="s">
        <v>2163</v>
      </c>
      <c r="D832" s="3" t="n">
        <v>0</v>
      </c>
      <c r="E832" s="3" t="n">
        <v>8</v>
      </c>
      <c r="F832" s="3"/>
      <c r="G832" s="3" t="n">
        <v>0</v>
      </c>
      <c r="H832" s="3" t="n">
        <v>691</v>
      </c>
      <c r="I832" s="3" t="s">
        <v>22</v>
      </c>
      <c r="J832" s="3" t="n">
        <v>390</v>
      </c>
      <c r="K832" s="3" t="n">
        <v>0</v>
      </c>
      <c r="L832" s="3" t="n">
        <v>0</v>
      </c>
      <c r="M832" s="3" t="s">
        <v>127</v>
      </c>
      <c r="N832" s="3" t="n">
        <v>10</v>
      </c>
      <c r="O832" s="3" t="n">
        <v>35.456</v>
      </c>
      <c r="P832" s="3" t="n">
        <v>133.134</v>
      </c>
      <c r="Q832" s="3" t="s">
        <v>2164</v>
      </c>
      <c r="R832" s="3" t="s">
        <v>80</v>
      </c>
      <c r="S832" s="3" t="s">
        <v>322</v>
      </c>
    </row>
    <row r="833" customFormat="false" ht="13.8" hidden="false" customHeight="false" outlineLevel="0" collapsed="false">
      <c r="A833" s="3" t="s">
        <v>2165</v>
      </c>
      <c r="B833" s="3" t="n">
        <v>7</v>
      </c>
      <c r="C833" s="3" t="s">
        <v>2166</v>
      </c>
      <c r="D833" s="3" t="n">
        <v>0</v>
      </c>
      <c r="E833" s="3" t="n">
        <v>7</v>
      </c>
      <c r="F833" s="3"/>
      <c r="G833" s="3" t="n">
        <v>0</v>
      </c>
      <c r="H833" s="3" t="n">
        <v>754</v>
      </c>
      <c r="I833" s="3" t="s">
        <v>22</v>
      </c>
      <c r="J833" s="3" t="n">
        <v>357</v>
      </c>
      <c r="K833" s="3" t="n">
        <v>0</v>
      </c>
      <c r="L833" s="3" t="n">
        <v>0</v>
      </c>
      <c r="M833" s="3" t="s">
        <v>127</v>
      </c>
      <c r="N833" s="3" t="n">
        <v>23</v>
      </c>
      <c r="O833" s="3" t="n">
        <v>-15.421</v>
      </c>
      <c r="P833" s="3" t="n">
        <v>166.91</v>
      </c>
      <c r="Q833" s="3" t="s">
        <v>1685</v>
      </c>
      <c r="R833" s="3"/>
      <c r="S833" s="3" t="s">
        <v>25</v>
      </c>
    </row>
    <row r="834" customFormat="false" ht="13.8" hidden="false" customHeight="false" outlineLevel="0" collapsed="false">
      <c r="A834" s="3" t="s">
        <v>2167</v>
      </c>
      <c r="B834" s="3" t="n">
        <v>6.5</v>
      </c>
      <c r="C834" s="3" t="s">
        <v>2168</v>
      </c>
      <c r="D834" s="3" t="n">
        <v>0</v>
      </c>
      <c r="E834" s="3" t="n">
        <v>6</v>
      </c>
      <c r="F834" s="3"/>
      <c r="G834" s="3" t="n">
        <v>0</v>
      </c>
      <c r="H834" s="3" t="n">
        <v>650</v>
      </c>
      <c r="I834" s="3" t="s">
        <v>22</v>
      </c>
      <c r="J834" s="3" t="n">
        <v>415</v>
      </c>
      <c r="K834" s="3" t="n">
        <v>0</v>
      </c>
      <c r="L834" s="3" t="n">
        <v>0</v>
      </c>
      <c r="M834" s="3" t="s">
        <v>154</v>
      </c>
      <c r="N834" s="3" t="n">
        <v>34</v>
      </c>
      <c r="O834" s="3" t="n">
        <v>-7.977</v>
      </c>
      <c r="P834" s="3" t="n">
        <v>30.709</v>
      </c>
      <c r="Q834" s="3" t="s">
        <v>2169</v>
      </c>
      <c r="R834" s="3" t="s">
        <v>722</v>
      </c>
      <c r="S834" s="3" t="s">
        <v>1785</v>
      </c>
    </row>
    <row r="835" customFormat="false" ht="13.8" hidden="false" customHeight="false" outlineLevel="0" collapsed="false">
      <c r="A835" s="3" t="s">
        <v>2170</v>
      </c>
      <c r="B835" s="3" t="n">
        <v>6.8</v>
      </c>
      <c r="C835" s="3" t="s">
        <v>2171</v>
      </c>
      <c r="D835" s="3" t="n">
        <v>0</v>
      </c>
      <c r="E835" s="3" t="n">
        <v>6</v>
      </c>
      <c r="F835" s="3"/>
      <c r="G835" s="3" t="n">
        <v>0</v>
      </c>
      <c r="H835" s="3" t="n">
        <v>711</v>
      </c>
      <c r="I835" s="3" t="s">
        <v>22</v>
      </c>
      <c r="J835" s="3" t="n">
        <v>336</v>
      </c>
      <c r="K835" s="3" t="n">
        <v>0</v>
      </c>
      <c r="L835" s="3" t="n">
        <v>0</v>
      </c>
      <c r="M835" s="3" t="s">
        <v>127</v>
      </c>
      <c r="N835" s="3" t="n">
        <v>16</v>
      </c>
      <c r="O835" s="3" t="n">
        <v>-4.11</v>
      </c>
      <c r="P835" s="3" t="n">
        <v>127.394</v>
      </c>
      <c r="Q835" s="3" t="s">
        <v>1770</v>
      </c>
      <c r="R835" s="3"/>
      <c r="S835" s="3" t="s">
        <v>68</v>
      </c>
    </row>
    <row r="836" customFormat="false" ht="13.8" hidden="false" customHeight="false" outlineLevel="0" collapsed="false">
      <c r="A836" s="3" t="s">
        <v>2172</v>
      </c>
      <c r="B836" s="3" t="n">
        <v>6.5</v>
      </c>
      <c r="C836" s="3" t="s">
        <v>2173</v>
      </c>
      <c r="D836" s="3" t="n">
        <v>0</v>
      </c>
      <c r="E836" s="3" t="n">
        <v>6</v>
      </c>
      <c r="F836" s="3"/>
      <c r="G836" s="3" t="n">
        <v>0</v>
      </c>
      <c r="H836" s="3" t="n">
        <v>650</v>
      </c>
      <c r="I836" s="3" t="s">
        <v>22</v>
      </c>
      <c r="J836" s="3" t="n">
        <v>481</v>
      </c>
      <c r="K836" s="3" t="n">
        <v>0</v>
      </c>
      <c r="L836" s="3" t="n">
        <v>0</v>
      </c>
      <c r="M836" s="3" t="s">
        <v>127</v>
      </c>
      <c r="N836" s="3" t="n">
        <v>45.8</v>
      </c>
      <c r="O836" s="3" t="n">
        <v>18.198</v>
      </c>
      <c r="P836" s="3" t="n">
        <v>-102.48</v>
      </c>
      <c r="Q836" s="3" t="s">
        <v>1287</v>
      </c>
      <c r="R836" s="3" t="s">
        <v>164</v>
      </c>
      <c r="S836" s="3" t="s">
        <v>165</v>
      </c>
    </row>
    <row r="837" customFormat="false" ht="13.8" hidden="false" customHeight="false" outlineLevel="0" collapsed="false">
      <c r="A837" s="3" t="s">
        <v>2174</v>
      </c>
      <c r="B837" s="3" t="n">
        <v>6.8</v>
      </c>
      <c r="C837" s="3" t="s">
        <v>2175</v>
      </c>
      <c r="D837" s="3" t="n">
        <v>0</v>
      </c>
      <c r="E837" s="3" t="n">
        <v>7</v>
      </c>
      <c r="F837" s="3"/>
      <c r="G837" s="3" t="n">
        <v>0</v>
      </c>
      <c r="H837" s="3" t="n">
        <v>711</v>
      </c>
      <c r="I837" s="3" t="s">
        <v>22</v>
      </c>
      <c r="J837" s="3" t="n">
        <v>593</v>
      </c>
      <c r="K837" s="3" t="n">
        <v>0</v>
      </c>
      <c r="L837" s="3" t="n">
        <v>0</v>
      </c>
      <c r="M837" s="3" t="s">
        <v>127</v>
      </c>
      <c r="N837" s="3" t="n">
        <v>10</v>
      </c>
      <c r="O837" s="3" t="n">
        <v>48.786</v>
      </c>
      <c r="P837" s="3" t="n">
        <v>142.246</v>
      </c>
      <c r="Q837" s="3" t="s">
        <v>2176</v>
      </c>
      <c r="R837" s="3" t="s">
        <v>80</v>
      </c>
      <c r="S837" s="3" t="s">
        <v>428</v>
      </c>
    </row>
    <row r="838" customFormat="false" ht="13.8" hidden="false" customHeight="false" outlineLevel="0" collapsed="false">
      <c r="A838" s="3" t="s">
        <v>2177</v>
      </c>
      <c r="B838" s="3" t="n">
        <v>6.6</v>
      </c>
      <c r="C838" s="3" t="s">
        <v>2178</v>
      </c>
      <c r="D838" s="3" t="n">
        <v>0</v>
      </c>
      <c r="E838" s="3" t="n">
        <v>6</v>
      </c>
      <c r="F838" s="3"/>
      <c r="G838" s="3" t="n">
        <v>0</v>
      </c>
      <c r="H838" s="3" t="n">
        <v>670</v>
      </c>
      <c r="I838" s="3" t="s">
        <v>22</v>
      </c>
      <c r="J838" s="3" t="n">
        <v>218</v>
      </c>
      <c r="K838" s="3" t="n">
        <v>0</v>
      </c>
      <c r="L838" s="3" t="n">
        <v>0</v>
      </c>
      <c r="M838" s="3" t="s">
        <v>127</v>
      </c>
      <c r="N838" s="3" t="n">
        <v>33</v>
      </c>
      <c r="O838" s="3" t="n">
        <v>-12.037</v>
      </c>
      <c r="P838" s="3" t="n">
        <v>166.448</v>
      </c>
      <c r="Q838" s="3" t="s">
        <v>412</v>
      </c>
      <c r="R838" s="3"/>
      <c r="S838" s="3"/>
    </row>
    <row r="839" customFormat="false" ht="13.8" hidden="false" customHeight="false" outlineLevel="0" collapsed="false">
      <c r="A839" s="3" t="s">
        <v>2179</v>
      </c>
      <c r="B839" s="3" t="n">
        <v>6.5</v>
      </c>
      <c r="C839" s="3" t="s">
        <v>2180</v>
      </c>
      <c r="D839" s="3" t="n">
        <v>0</v>
      </c>
      <c r="E839" s="3" t="n">
        <v>7</v>
      </c>
      <c r="F839" s="3"/>
      <c r="G839" s="3" t="n">
        <v>0</v>
      </c>
      <c r="H839" s="3" t="n">
        <v>650</v>
      </c>
      <c r="I839" s="3" t="s">
        <v>22</v>
      </c>
      <c r="J839" s="3" t="n">
        <v>428</v>
      </c>
      <c r="K839" s="3" t="n">
        <v>0</v>
      </c>
      <c r="L839" s="3" t="n">
        <v>0</v>
      </c>
      <c r="M839" s="3" t="s">
        <v>127</v>
      </c>
      <c r="N839" s="3" t="n">
        <v>10</v>
      </c>
      <c r="O839" s="3" t="n">
        <v>33.901</v>
      </c>
      <c r="P839" s="3" t="n">
        <v>139.376</v>
      </c>
      <c r="Q839" s="3" t="s">
        <v>2181</v>
      </c>
      <c r="R839" s="3"/>
      <c r="S839" s="3" t="s">
        <v>322</v>
      </c>
    </row>
    <row r="840" customFormat="false" ht="13.8" hidden="false" customHeight="false" outlineLevel="0" collapsed="false">
      <c r="A840" s="3" t="s">
        <v>2182</v>
      </c>
      <c r="B840" s="3" t="n">
        <v>6.6</v>
      </c>
      <c r="C840" s="3" t="s">
        <v>2183</v>
      </c>
      <c r="D840" s="3" t="n">
        <v>0</v>
      </c>
      <c r="E840" s="3" t="n">
        <v>5</v>
      </c>
      <c r="F840" s="3"/>
      <c r="G840" s="3" t="n">
        <v>0</v>
      </c>
      <c r="H840" s="3" t="n">
        <v>670</v>
      </c>
      <c r="I840" s="3" t="s">
        <v>22</v>
      </c>
      <c r="J840" s="3" t="n">
        <v>367</v>
      </c>
      <c r="K840" s="3" t="n">
        <v>0</v>
      </c>
      <c r="L840" s="3" t="n">
        <v>0</v>
      </c>
      <c r="M840" s="3" t="s">
        <v>127</v>
      </c>
      <c r="N840" s="3" t="n">
        <v>10</v>
      </c>
      <c r="O840" s="3" t="n">
        <v>-7.747</v>
      </c>
      <c r="P840" s="3" t="n">
        <v>150.917</v>
      </c>
      <c r="Q840" s="3" t="s">
        <v>789</v>
      </c>
      <c r="R840" s="3"/>
      <c r="S840" s="3"/>
    </row>
    <row r="841" customFormat="false" ht="13.8" hidden="false" customHeight="false" outlineLevel="0" collapsed="false">
      <c r="A841" s="3" t="s">
        <v>2184</v>
      </c>
      <c r="B841" s="3" t="n">
        <v>6.5</v>
      </c>
      <c r="C841" s="3" t="s">
        <v>2185</v>
      </c>
      <c r="D841" s="3" t="n">
        <v>0</v>
      </c>
      <c r="E841" s="3" t="n">
        <v>6</v>
      </c>
      <c r="F841" s="3"/>
      <c r="G841" s="3" t="n">
        <v>0</v>
      </c>
      <c r="H841" s="3" t="n">
        <v>650</v>
      </c>
      <c r="I841" s="3" t="s">
        <v>259</v>
      </c>
      <c r="J841" s="3" t="n">
        <v>0</v>
      </c>
      <c r="K841" s="3" t="n">
        <v>0</v>
      </c>
      <c r="L841" s="3" t="n">
        <v>0</v>
      </c>
      <c r="M841" s="3" t="s">
        <v>485</v>
      </c>
      <c r="N841" s="3" t="n">
        <v>42.9</v>
      </c>
      <c r="O841" s="3" t="n">
        <v>57.3546</v>
      </c>
      <c r="P841" s="3" t="n">
        <v>-154.198</v>
      </c>
      <c r="Q841" s="3" t="s">
        <v>2186</v>
      </c>
      <c r="R841" s="3" t="s">
        <v>164</v>
      </c>
      <c r="S841" s="3" t="s">
        <v>261</v>
      </c>
    </row>
    <row r="842" customFormat="false" ht="13.8" hidden="false" customHeight="false" outlineLevel="0" collapsed="false">
      <c r="A842" s="3" t="s">
        <v>2187</v>
      </c>
      <c r="B842" s="3" t="n">
        <v>6.5</v>
      </c>
      <c r="C842" s="3" t="s">
        <v>2188</v>
      </c>
      <c r="D842" s="3" t="n">
        <v>0</v>
      </c>
      <c r="E842" s="3" t="n">
        <v>9</v>
      </c>
      <c r="F842" s="3"/>
      <c r="G842" s="3" t="n">
        <v>0</v>
      </c>
      <c r="H842" s="3" t="n">
        <v>650</v>
      </c>
      <c r="I842" s="3" t="s">
        <v>22</v>
      </c>
      <c r="J842" s="3" t="n">
        <v>351</v>
      </c>
      <c r="K842" s="3" t="n">
        <v>0</v>
      </c>
      <c r="L842" s="3" t="n">
        <v>0</v>
      </c>
      <c r="M842" s="3" t="s">
        <v>127</v>
      </c>
      <c r="N842" s="3" t="n">
        <v>10</v>
      </c>
      <c r="O842" s="3" t="n">
        <v>63.98</v>
      </c>
      <c r="P842" s="3" t="n">
        <v>-20.758</v>
      </c>
      <c r="Q842" s="3" t="s">
        <v>2189</v>
      </c>
      <c r="R842" s="3"/>
      <c r="S842" s="3" t="s">
        <v>2190</v>
      </c>
    </row>
    <row r="843" customFormat="false" ht="13.8" hidden="false" customHeight="false" outlineLevel="0" collapsed="false">
      <c r="A843" s="3" t="s">
        <v>2191</v>
      </c>
      <c r="B843" s="3" t="n">
        <v>7.9</v>
      </c>
      <c r="C843" s="3" t="s">
        <v>2192</v>
      </c>
      <c r="D843" s="3" t="n">
        <v>0</v>
      </c>
      <c r="E843" s="3" t="n">
        <v>5</v>
      </c>
      <c r="F843" s="3"/>
      <c r="G843" s="3" t="n">
        <v>0</v>
      </c>
      <c r="H843" s="3" t="n">
        <v>960</v>
      </c>
      <c r="I843" s="3" t="s">
        <v>22</v>
      </c>
      <c r="J843" s="3" t="n">
        <v>405</v>
      </c>
      <c r="K843" s="3" t="n">
        <v>0</v>
      </c>
      <c r="L843" s="3" t="n">
        <v>0</v>
      </c>
      <c r="M843" s="3" t="s">
        <v>127</v>
      </c>
      <c r="N843" s="3" t="n">
        <v>10</v>
      </c>
      <c r="O843" s="3" t="n">
        <v>-13.802</v>
      </c>
      <c r="P843" s="3" t="n">
        <v>97.453</v>
      </c>
      <c r="Q843" s="3" t="s">
        <v>2193</v>
      </c>
      <c r="R843" s="3"/>
      <c r="S843" s="3"/>
    </row>
    <row r="844" customFormat="false" ht="13.8" hidden="false" customHeight="false" outlineLevel="0" collapsed="false">
      <c r="A844" s="3" t="s">
        <v>2194</v>
      </c>
      <c r="B844" s="3" t="n">
        <v>6.5</v>
      </c>
      <c r="C844" s="3" t="s">
        <v>2195</v>
      </c>
      <c r="D844" s="3" t="n">
        <v>0</v>
      </c>
      <c r="E844" s="3" t="n">
        <v>8</v>
      </c>
      <c r="F844" s="3"/>
      <c r="G844" s="3" t="n">
        <v>0</v>
      </c>
      <c r="H844" s="3" t="n">
        <v>650</v>
      </c>
      <c r="I844" s="3" t="s">
        <v>22</v>
      </c>
      <c r="J844" s="3" t="n">
        <v>406</v>
      </c>
      <c r="K844" s="3" t="n">
        <v>0</v>
      </c>
      <c r="L844" s="3" t="n">
        <v>0</v>
      </c>
      <c r="M844" s="3" t="s">
        <v>127</v>
      </c>
      <c r="N844" s="3" t="n">
        <v>10</v>
      </c>
      <c r="O844" s="3" t="n">
        <v>63.966</v>
      </c>
      <c r="P844" s="3" t="n">
        <v>-20.487</v>
      </c>
      <c r="Q844" s="3" t="s">
        <v>2189</v>
      </c>
      <c r="R844" s="3"/>
      <c r="S844" s="3" t="s">
        <v>2190</v>
      </c>
    </row>
    <row r="845" customFormat="false" ht="13.8" hidden="false" customHeight="false" outlineLevel="0" collapsed="false">
      <c r="A845" s="3" t="s">
        <v>2196</v>
      </c>
      <c r="B845" s="3" t="n">
        <v>6.7</v>
      </c>
      <c r="C845" s="3" t="s">
        <v>2197</v>
      </c>
      <c r="D845" s="3" t="n">
        <v>0</v>
      </c>
      <c r="E845" s="3" t="n">
        <v>5</v>
      </c>
      <c r="F845" s="3"/>
      <c r="G845" s="3" t="n">
        <v>0</v>
      </c>
      <c r="H845" s="3" t="n">
        <v>691</v>
      </c>
      <c r="I845" s="3" t="s">
        <v>22</v>
      </c>
      <c r="J845" s="3" t="n">
        <v>352</v>
      </c>
      <c r="K845" s="3" t="n">
        <v>0</v>
      </c>
      <c r="L845" s="3" t="n">
        <v>0</v>
      </c>
      <c r="M845" s="3" t="s">
        <v>127</v>
      </c>
      <c r="N845" s="3" t="n">
        <v>33</v>
      </c>
      <c r="O845" s="3" t="n">
        <v>-4.612</v>
      </c>
      <c r="P845" s="3" t="n">
        <v>101.905</v>
      </c>
      <c r="Q845" s="3" t="s">
        <v>143</v>
      </c>
      <c r="R845" s="3"/>
      <c r="S845" s="3" t="s">
        <v>68</v>
      </c>
    </row>
    <row r="846" customFormat="false" ht="13.8" hidden="false" customHeight="false" outlineLevel="0" collapsed="false">
      <c r="A846" s="3" t="s">
        <v>2198</v>
      </c>
      <c r="B846" s="3" t="n">
        <v>6.7</v>
      </c>
      <c r="C846" s="3" t="s">
        <v>2199</v>
      </c>
      <c r="D846" s="3" t="n">
        <v>0</v>
      </c>
      <c r="E846" s="3" t="n">
        <v>5</v>
      </c>
      <c r="F846" s="3"/>
      <c r="G846" s="3" t="n">
        <v>0</v>
      </c>
      <c r="H846" s="3" t="n">
        <v>691</v>
      </c>
      <c r="I846" s="3" t="s">
        <v>22</v>
      </c>
      <c r="J846" s="3" t="n">
        <v>147</v>
      </c>
      <c r="K846" s="3" t="n">
        <v>0</v>
      </c>
      <c r="L846" s="3" t="n">
        <v>0</v>
      </c>
      <c r="M846" s="3" t="s">
        <v>1374</v>
      </c>
      <c r="N846" s="3" t="n">
        <v>33</v>
      </c>
      <c r="O846" s="3" t="n">
        <v>-4.646</v>
      </c>
      <c r="P846" s="3" t="n">
        <v>102.102</v>
      </c>
      <c r="Q846" s="3" t="s">
        <v>143</v>
      </c>
      <c r="R846" s="3"/>
      <c r="S846" s="3" t="s">
        <v>68</v>
      </c>
    </row>
    <row r="847" customFormat="false" ht="13.8" hidden="false" customHeight="false" outlineLevel="0" collapsed="false">
      <c r="A847" s="3" t="s">
        <v>2200</v>
      </c>
      <c r="B847" s="3" t="n">
        <v>7.9</v>
      </c>
      <c r="C847" s="3" t="s">
        <v>2201</v>
      </c>
      <c r="D847" s="3" t="n">
        <v>0</v>
      </c>
      <c r="E847" s="3" t="n">
        <v>8</v>
      </c>
      <c r="F847" s="3"/>
      <c r="G847" s="3" t="n">
        <v>0</v>
      </c>
      <c r="H847" s="3" t="n">
        <v>960</v>
      </c>
      <c r="I847" s="3" t="s">
        <v>22</v>
      </c>
      <c r="J847" s="3" t="n">
        <v>379</v>
      </c>
      <c r="K847" s="3" t="n">
        <v>0</v>
      </c>
      <c r="L847" s="3" t="n">
        <v>0</v>
      </c>
      <c r="M847" s="3" t="s">
        <v>127</v>
      </c>
      <c r="N847" s="3" t="n">
        <v>33</v>
      </c>
      <c r="O847" s="3" t="n">
        <v>-4.721</v>
      </c>
      <c r="P847" s="3" t="n">
        <v>102.087</v>
      </c>
      <c r="Q847" s="3" t="s">
        <v>143</v>
      </c>
      <c r="R847" s="3"/>
      <c r="S847" s="3" t="s">
        <v>68</v>
      </c>
    </row>
    <row r="848" customFormat="false" ht="13.8" hidden="false" customHeight="false" outlineLevel="0" collapsed="false">
      <c r="A848" s="3" t="s">
        <v>2202</v>
      </c>
      <c r="B848" s="3" t="n">
        <v>7.2</v>
      </c>
      <c r="C848" s="3" t="s">
        <v>2203</v>
      </c>
      <c r="D848" s="3" t="n">
        <v>0</v>
      </c>
      <c r="E848" s="3" t="n">
        <v>5</v>
      </c>
      <c r="F848" s="3"/>
      <c r="G848" s="3" t="n">
        <v>0</v>
      </c>
      <c r="H848" s="3" t="n">
        <v>798</v>
      </c>
      <c r="I848" s="3" t="s">
        <v>22</v>
      </c>
      <c r="J848" s="3" t="n">
        <v>0</v>
      </c>
      <c r="K848" s="3" t="n">
        <v>0</v>
      </c>
      <c r="L848" s="3" t="n">
        <v>0</v>
      </c>
      <c r="M848" s="3" t="s">
        <v>127</v>
      </c>
      <c r="N848" s="3" t="n">
        <v>225</v>
      </c>
      <c r="O848" s="3" t="n">
        <v>-23.548</v>
      </c>
      <c r="P848" s="3" t="n">
        <v>-66.452</v>
      </c>
      <c r="Q848" s="3" t="s">
        <v>88</v>
      </c>
      <c r="R848" s="3" t="s">
        <v>33</v>
      </c>
      <c r="S848" s="3" t="s">
        <v>34</v>
      </c>
    </row>
    <row r="849" customFormat="false" ht="13.8" hidden="false" customHeight="false" outlineLevel="0" collapsed="false">
      <c r="A849" s="3" t="s">
        <v>2204</v>
      </c>
      <c r="B849" s="3" t="n">
        <v>7.6</v>
      </c>
      <c r="C849" s="3" t="s">
        <v>2205</v>
      </c>
      <c r="D849" s="3" t="n">
        <v>0</v>
      </c>
      <c r="E849" s="3" t="n">
        <v>7</v>
      </c>
      <c r="F849" s="3"/>
      <c r="G849" s="3" t="n">
        <v>0</v>
      </c>
      <c r="H849" s="3" t="n">
        <v>889</v>
      </c>
      <c r="I849" s="3" t="s">
        <v>22</v>
      </c>
      <c r="J849" s="3" t="n">
        <v>0</v>
      </c>
      <c r="K849" s="3" t="n">
        <v>0</v>
      </c>
      <c r="L849" s="3" t="n">
        <v>0</v>
      </c>
      <c r="M849" s="3" t="s">
        <v>127</v>
      </c>
      <c r="N849" s="3" t="n">
        <v>26</v>
      </c>
      <c r="O849" s="3" t="n">
        <v>-1.105</v>
      </c>
      <c r="P849" s="3" t="n">
        <v>123.573</v>
      </c>
      <c r="Q849" s="3" t="s">
        <v>507</v>
      </c>
      <c r="R849" s="3"/>
      <c r="S849" s="3" t="s">
        <v>68</v>
      </c>
    </row>
    <row r="850" customFormat="false" ht="13.8" hidden="false" customHeight="false" outlineLevel="0" collapsed="false">
      <c r="A850" s="3" t="s">
        <v>2206</v>
      </c>
      <c r="B850" s="3" t="n">
        <v>6.6</v>
      </c>
      <c r="C850" s="3" t="s">
        <v>2207</v>
      </c>
      <c r="D850" s="3" t="n">
        <v>0</v>
      </c>
      <c r="E850" s="3" t="n">
        <v>8</v>
      </c>
      <c r="F850" s="3"/>
      <c r="G850" s="3" t="n">
        <v>0</v>
      </c>
      <c r="H850" s="3" t="n">
        <v>670</v>
      </c>
      <c r="I850" s="3" t="s">
        <v>22</v>
      </c>
      <c r="J850" s="3" t="n">
        <v>0</v>
      </c>
      <c r="K850" s="3" t="n">
        <v>0</v>
      </c>
      <c r="L850" s="3" t="n">
        <v>0</v>
      </c>
      <c r="M850" s="3" t="s">
        <v>127</v>
      </c>
      <c r="N850" s="3" t="n">
        <v>10</v>
      </c>
      <c r="O850" s="3" t="n">
        <v>-6.817</v>
      </c>
      <c r="P850" s="3" t="n">
        <v>143.807</v>
      </c>
      <c r="Q850" s="3" t="s">
        <v>2208</v>
      </c>
      <c r="R850" s="3"/>
      <c r="S850" s="3" t="s">
        <v>85</v>
      </c>
    </row>
    <row r="851" customFormat="false" ht="13.8" hidden="false" customHeight="false" outlineLevel="0" collapsed="false">
      <c r="A851" s="3" t="s">
        <v>2209</v>
      </c>
      <c r="B851" s="3" t="n">
        <v>6.6</v>
      </c>
      <c r="C851" s="3" t="s">
        <v>2210</v>
      </c>
      <c r="D851" s="3" t="n">
        <v>0</v>
      </c>
      <c r="E851" s="3" t="n">
        <v>6</v>
      </c>
      <c r="F851" s="3"/>
      <c r="G851" s="3" t="n">
        <v>0</v>
      </c>
      <c r="H851" s="3" t="n">
        <v>670</v>
      </c>
      <c r="I851" s="3" t="s">
        <v>22</v>
      </c>
      <c r="J851" s="3" t="n">
        <v>0</v>
      </c>
      <c r="K851" s="3" t="n">
        <v>0</v>
      </c>
      <c r="L851" s="3" t="n">
        <v>0</v>
      </c>
      <c r="M851" s="3" t="s">
        <v>127</v>
      </c>
      <c r="N851" s="3" t="n">
        <v>33</v>
      </c>
      <c r="O851" s="3" t="n">
        <v>-5.844</v>
      </c>
      <c r="P851" s="3" t="n">
        <v>150.876</v>
      </c>
      <c r="Q851" s="3" t="s">
        <v>107</v>
      </c>
      <c r="R851" s="3"/>
      <c r="S851" s="3" t="s">
        <v>85</v>
      </c>
    </row>
    <row r="852" customFormat="false" ht="13.8" hidden="false" customHeight="false" outlineLevel="0" collapsed="false">
      <c r="A852" s="3" t="s">
        <v>2211</v>
      </c>
      <c r="B852" s="3" t="n">
        <v>6.8</v>
      </c>
      <c r="C852" s="3" t="s">
        <v>2212</v>
      </c>
      <c r="D852" s="3" t="n">
        <v>0</v>
      </c>
      <c r="E852" s="3" t="n">
        <v>6</v>
      </c>
      <c r="F852" s="3"/>
      <c r="G852" s="3" t="n">
        <v>0</v>
      </c>
      <c r="H852" s="3" t="n">
        <v>711</v>
      </c>
      <c r="I852" s="3" t="s">
        <v>22</v>
      </c>
      <c r="J852" s="3" t="n">
        <v>0</v>
      </c>
      <c r="K852" s="3" t="n">
        <v>0</v>
      </c>
      <c r="L852" s="3" t="n">
        <v>0</v>
      </c>
      <c r="M852" s="3" t="s">
        <v>127</v>
      </c>
      <c r="N852" s="3" t="n">
        <v>61.1</v>
      </c>
      <c r="O852" s="3" t="n">
        <v>43.046</v>
      </c>
      <c r="P852" s="3" t="n">
        <v>146.837</v>
      </c>
      <c r="Q852" s="3" t="s">
        <v>2213</v>
      </c>
      <c r="R852" s="3"/>
      <c r="S852" s="3"/>
    </row>
    <row r="853" customFormat="false" ht="13.8" hidden="false" customHeight="false" outlineLevel="0" collapsed="false">
      <c r="A853" s="3" t="s">
        <v>2214</v>
      </c>
      <c r="B853" s="3" t="n">
        <v>7.2</v>
      </c>
      <c r="C853" s="3" t="s">
        <v>2215</v>
      </c>
      <c r="D853" s="3" t="n">
        <v>0</v>
      </c>
      <c r="E853" s="3" t="n">
        <v>6</v>
      </c>
      <c r="F853" s="3"/>
      <c r="G853" s="3" t="n">
        <v>0</v>
      </c>
      <c r="H853" s="3" t="n">
        <v>798</v>
      </c>
      <c r="I853" s="3" t="s">
        <v>22</v>
      </c>
      <c r="J853" s="3" t="n">
        <v>0</v>
      </c>
      <c r="K853" s="3" t="n">
        <v>0</v>
      </c>
      <c r="L853" s="3" t="n">
        <v>0</v>
      </c>
      <c r="M853" s="3" t="s">
        <v>127</v>
      </c>
      <c r="N853" s="3" t="n">
        <v>183.4</v>
      </c>
      <c r="O853" s="3" t="n">
        <v>-16.925</v>
      </c>
      <c r="P853" s="3" t="n">
        <v>-174.248</v>
      </c>
      <c r="Q853" s="3" t="s">
        <v>62</v>
      </c>
      <c r="R853" s="3"/>
      <c r="S853" s="3"/>
    </row>
    <row r="854" customFormat="false" ht="13.8" hidden="false" customHeight="false" outlineLevel="0" collapsed="false">
      <c r="A854" s="3" t="s">
        <v>2216</v>
      </c>
      <c r="B854" s="3" t="n">
        <v>6.9</v>
      </c>
      <c r="C854" s="3" t="s">
        <v>2217</v>
      </c>
      <c r="D854" s="3" t="n">
        <v>0</v>
      </c>
      <c r="E854" s="3" t="n">
        <v>6</v>
      </c>
      <c r="F854" s="3"/>
      <c r="G854" s="3" t="n">
        <v>0</v>
      </c>
      <c r="H854" s="3" t="n">
        <v>732</v>
      </c>
      <c r="I854" s="3" t="s">
        <v>22</v>
      </c>
      <c r="J854" s="3" t="n">
        <v>0</v>
      </c>
      <c r="K854" s="3" t="n">
        <v>0</v>
      </c>
      <c r="L854" s="3" t="n">
        <v>0</v>
      </c>
      <c r="M854" s="3" t="s">
        <v>154</v>
      </c>
      <c r="N854" s="3" t="n">
        <v>33</v>
      </c>
      <c r="O854" s="3" t="n">
        <v>-10.86</v>
      </c>
      <c r="P854" s="3" t="n">
        <v>165.354</v>
      </c>
      <c r="Q854" s="3" t="s">
        <v>412</v>
      </c>
      <c r="R854" s="3"/>
      <c r="S854" s="3"/>
    </row>
    <row r="855" customFormat="false" ht="13.8" hidden="false" customHeight="false" outlineLevel="0" collapsed="false">
      <c r="A855" s="3" t="s">
        <v>2218</v>
      </c>
      <c r="B855" s="3" t="n">
        <v>6.5</v>
      </c>
      <c r="C855" s="3" t="s">
        <v>2219</v>
      </c>
      <c r="D855" s="3" t="n">
        <v>0</v>
      </c>
      <c r="E855" s="3" t="n">
        <v>6</v>
      </c>
      <c r="F855" s="3"/>
      <c r="G855" s="3" t="n">
        <v>0</v>
      </c>
      <c r="H855" s="3" t="n">
        <v>650</v>
      </c>
      <c r="I855" s="3" t="s">
        <v>22</v>
      </c>
      <c r="J855" s="3" t="n">
        <v>0</v>
      </c>
      <c r="K855" s="3" t="n">
        <v>0</v>
      </c>
      <c r="L855" s="3" t="n">
        <v>0</v>
      </c>
      <c r="M855" s="3" t="s">
        <v>154</v>
      </c>
      <c r="N855" s="3" t="n">
        <v>56</v>
      </c>
      <c r="O855" s="3" t="n">
        <v>-6.845</v>
      </c>
      <c r="P855" s="3" t="n">
        <v>105.555</v>
      </c>
      <c r="Q855" s="3" t="s">
        <v>231</v>
      </c>
      <c r="R855" s="3"/>
      <c r="S855" s="3" t="s">
        <v>68</v>
      </c>
    </row>
    <row r="856" customFormat="false" ht="13.8" hidden="false" customHeight="false" outlineLevel="0" collapsed="false">
      <c r="A856" s="3" t="s">
        <v>2220</v>
      </c>
      <c r="B856" s="3" t="n">
        <v>7.3</v>
      </c>
      <c r="C856" s="3" t="s">
        <v>2221</v>
      </c>
      <c r="D856" s="3" t="n">
        <v>0</v>
      </c>
      <c r="E856" s="3" t="n">
        <v>7</v>
      </c>
      <c r="F856" s="3"/>
      <c r="G856" s="3" t="n">
        <v>0</v>
      </c>
      <c r="H856" s="3" t="n">
        <v>820</v>
      </c>
      <c r="I856" s="3" t="s">
        <v>22</v>
      </c>
      <c r="J856" s="3" t="n">
        <v>0</v>
      </c>
      <c r="K856" s="3" t="n">
        <v>0</v>
      </c>
      <c r="L856" s="3" t="n">
        <v>0</v>
      </c>
      <c r="M856" s="3" t="s">
        <v>127</v>
      </c>
      <c r="N856" s="3" t="n">
        <v>33</v>
      </c>
      <c r="O856" s="3" t="n">
        <v>15.766</v>
      </c>
      <c r="P856" s="3" t="n">
        <v>119.74</v>
      </c>
      <c r="Q856" s="3" t="s">
        <v>2222</v>
      </c>
      <c r="R856" s="3"/>
      <c r="S856" s="3" t="s">
        <v>191</v>
      </c>
    </row>
    <row r="857" customFormat="false" ht="13.8" hidden="false" customHeight="false" outlineLevel="0" collapsed="false">
      <c r="A857" s="3" t="s">
        <v>2223</v>
      </c>
      <c r="B857" s="3" t="n">
        <v>7</v>
      </c>
      <c r="C857" s="3" t="s">
        <v>2224</v>
      </c>
      <c r="D857" s="3" t="n">
        <v>0</v>
      </c>
      <c r="E857" s="3" t="n">
        <v>7</v>
      </c>
      <c r="F857" s="3"/>
      <c r="G857" s="3" t="n">
        <v>0</v>
      </c>
      <c r="H857" s="3" t="n">
        <v>754</v>
      </c>
      <c r="I857" s="3" t="s">
        <v>259</v>
      </c>
      <c r="J857" s="3" t="n">
        <v>0</v>
      </c>
      <c r="K857" s="3" t="n">
        <v>0</v>
      </c>
      <c r="L857" s="3" t="n">
        <v>0</v>
      </c>
      <c r="M857" s="3" t="s">
        <v>485</v>
      </c>
      <c r="N857" s="3" t="n">
        <v>43.6</v>
      </c>
      <c r="O857" s="3" t="n">
        <v>57.3424</v>
      </c>
      <c r="P857" s="3" t="n">
        <v>-154.347</v>
      </c>
      <c r="Q857" s="3" t="s">
        <v>2225</v>
      </c>
      <c r="R857" s="3" t="s">
        <v>164</v>
      </c>
      <c r="S857" s="3" t="s">
        <v>261</v>
      </c>
    </row>
    <row r="858" customFormat="false" ht="13.8" hidden="false" customHeight="false" outlineLevel="0" collapsed="false">
      <c r="A858" s="3" t="s">
        <v>2226</v>
      </c>
      <c r="B858" s="3" t="n">
        <v>6.6</v>
      </c>
      <c r="C858" s="3" t="s">
        <v>2227</v>
      </c>
      <c r="D858" s="3" t="n">
        <v>0</v>
      </c>
      <c r="E858" s="3" t="n">
        <v>5</v>
      </c>
      <c r="F858" s="3"/>
      <c r="G858" s="3" t="n">
        <v>0</v>
      </c>
      <c r="H858" s="3" t="n">
        <v>670</v>
      </c>
      <c r="I858" s="3" t="s">
        <v>22</v>
      </c>
      <c r="J858" s="3" t="n">
        <v>0</v>
      </c>
      <c r="K858" s="3" t="n">
        <v>0</v>
      </c>
      <c r="L858" s="3" t="n">
        <v>0</v>
      </c>
      <c r="M858" s="3" t="s">
        <v>154</v>
      </c>
      <c r="N858" s="3" t="n">
        <v>128.1</v>
      </c>
      <c r="O858" s="3" t="n">
        <v>-18.901</v>
      </c>
      <c r="P858" s="3" t="n">
        <v>-69.171</v>
      </c>
      <c r="Q858" s="3" t="s">
        <v>2228</v>
      </c>
      <c r="R858" s="3" t="s">
        <v>33</v>
      </c>
      <c r="S858" s="3" t="s">
        <v>373</v>
      </c>
    </row>
    <row r="859" customFormat="false" ht="13.8" hidden="false" customHeight="false" outlineLevel="0" collapsed="false">
      <c r="A859" s="3" t="s">
        <v>2229</v>
      </c>
      <c r="B859" s="3" t="n">
        <v>7.5</v>
      </c>
      <c r="C859" s="3" t="s">
        <v>2230</v>
      </c>
      <c r="D859" s="3" t="n">
        <v>0</v>
      </c>
      <c r="E859" s="3" t="n">
        <v>7</v>
      </c>
      <c r="F859" s="3"/>
      <c r="G859" s="3" t="n">
        <v>0</v>
      </c>
      <c r="H859" s="3" t="n">
        <v>865</v>
      </c>
      <c r="I859" s="3" t="s">
        <v>22</v>
      </c>
      <c r="J859" s="3" t="n">
        <v>0</v>
      </c>
      <c r="K859" s="3" t="n">
        <v>0</v>
      </c>
      <c r="L859" s="3" t="n">
        <v>0</v>
      </c>
      <c r="M859" s="3" t="s">
        <v>127</v>
      </c>
      <c r="N859" s="3" t="n">
        <v>33</v>
      </c>
      <c r="O859" s="3" t="n">
        <v>-16.423</v>
      </c>
      <c r="P859" s="3" t="n">
        <v>168.214</v>
      </c>
      <c r="Q859" s="3" t="s">
        <v>472</v>
      </c>
      <c r="R859" s="3"/>
      <c r="S859" s="3" t="s">
        <v>25</v>
      </c>
    </row>
    <row r="860" customFormat="false" ht="13.8" hidden="false" customHeight="false" outlineLevel="0" collapsed="false">
      <c r="A860" s="3" t="s">
        <v>2231</v>
      </c>
      <c r="B860" s="3" t="n">
        <v>7</v>
      </c>
      <c r="C860" s="3" t="s">
        <v>2232</v>
      </c>
      <c r="D860" s="3" t="n">
        <v>0</v>
      </c>
      <c r="E860" s="3" t="n">
        <v>6</v>
      </c>
      <c r="F860" s="3"/>
      <c r="G860" s="3" t="n">
        <v>0</v>
      </c>
      <c r="H860" s="3" t="n">
        <v>754</v>
      </c>
      <c r="I860" s="3" t="s">
        <v>22</v>
      </c>
      <c r="J860" s="3" t="n">
        <v>0</v>
      </c>
      <c r="K860" s="3" t="n">
        <v>0</v>
      </c>
      <c r="L860" s="3" t="n">
        <v>0</v>
      </c>
      <c r="M860" s="3" t="s">
        <v>127</v>
      </c>
      <c r="N860" s="3" t="n">
        <v>33</v>
      </c>
      <c r="O860" s="3" t="n">
        <v>-6.351</v>
      </c>
      <c r="P860" s="3" t="n">
        <v>148.763</v>
      </c>
      <c r="Q860" s="3" t="s">
        <v>789</v>
      </c>
      <c r="R860" s="3"/>
      <c r="S860" s="3" t="s">
        <v>85</v>
      </c>
    </row>
    <row r="861" customFormat="false" ht="13.8" hidden="false" customHeight="false" outlineLevel="0" collapsed="false">
      <c r="A861" s="3" t="s">
        <v>2233</v>
      </c>
      <c r="B861" s="3" t="n">
        <v>6.9</v>
      </c>
      <c r="C861" s="3" t="s">
        <v>2234</v>
      </c>
      <c r="D861" s="3" t="n">
        <v>0</v>
      </c>
      <c r="E861" s="3" t="n">
        <v>6</v>
      </c>
      <c r="F861" s="3"/>
      <c r="G861" s="3" t="n">
        <v>0</v>
      </c>
      <c r="H861" s="3" t="n">
        <v>732</v>
      </c>
      <c r="I861" s="3" t="s">
        <v>22</v>
      </c>
      <c r="J861" s="3" t="n">
        <v>0</v>
      </c>
      <c r="K861" s="3" t="n">
        <v>0</v>
      </c>
      <c r="L861" s="3" t="n">
        <v>0</v>
      </c>
      <c r="M861" s="3" t="s">
        <v>127</v>
      </c>
      <c r="N861" s="3" t="n">
        <v>47.5</v>
      </c>
      <c r="O861" s="3" t="n">
        <v>-5.978</v>
      </c>
      <c r="P861" s="3" t="n">
        <v>148.82</v>
      </c>
      <c r="Q861" s="3" t="s">
        <v>789</v>
      </c>
      <c r="R861" s="3"/>
      <c r="S861" s="3" t="s">
        <v>85</v>
      </c>
    </row>
    <row r="862" customFormat="false" ht="13.8" hidden="false" customHeight="false" outlineLevel="0" collapsed="false">
      <c r="A862" s="3" t="s">
        <v>2235</v>
      </c>
      <c r="B862" s="3" t="n">
        <v>7.2</v>
      </c>
      <c r="C862" s="3" t="s">
        <v>2236</v>
      </c>
      <c r="D862" s="3" t="n">
        <v>0</v>
      </c>
      <c r="E862" s="3" t="n">
        <v>9</v>
      </c>
      <c r="F862" s="3"/>
      <c r="G862" s="3" t="n">
        <v>0</v>
      </c>
      <c r="H862" s="3" t="n">
        <v>798</v>
      </c>
      <c r="I862" s="3" t="s">
        <v>22</v>
      </c>
      <c r="J862" s="3" t="n">
        <v>0</v>
      </c>
      <c r="K862" s="3" t="n">
        <v>0</v>
      </c>
      <c r="L862" s="3" t="n">
        <v>0</v>
      </c>
      <c r="M862" s="3" t="s">
        <v>127</v>
      </c>
      <c r="N862" s="3" t="n">
        <v>10</v>
      </c>
      <c r="O862" s="3" t="n">
        <v>40.758</v>
      </c>
      <c r="P862" s="3" t="n">
        <v>31.161</v>
      </c>
      <c r="Q862" s="3" t="s">
        <v>2237</v>
      </c>
      <c r="R862" s="3" t="s">
        <v>80</v>
      </c>
      <c r="S862" s="3" t="s">
        <v>435</v>
      </c>
    </row>
    <row r="863" customFormat="false" ht="13.8" hidden="false" customHeight="false" outlineLevel="0" collapsed="false">
      <c r="A863" s="3" t="s">
        <v>2238</v>
      </c>
      <c r="B863" s="3" t="n">
        <v>6.5</v>
      </c>
      <c r="C863" s="3" t="s">
        <v>2239</v>
      </c>
      <c r="D863" s="3" t="n">
        <v>0</v>
      </c>
      <c r="E863" s="3" t="n">
        <v>4</v>
      </c>
      <c r="F863" s="3"/>
      <c r="G863" s="3" t="n">
        <v>0</v>
      </c>
      <c r="H863" s="3" t="n">
        <v>650</v>
      </c>
      <c r="I863" s="3" t="s">
        <v>22</v>
      </c>
      <c r="J863" s="3" t="n">
        <v>0</v>
      </c>
      <c r="K863" s="3" t="n">
        <v>0</v>
      </c>
      <c r="L863" s="3" t="n">
        <v>0</v>
      </c>
      <c r="M863" s="3" t="s">
        <v>127</v>
      </c>
      <c r="N863" s="3" t="n">
        <v>228.4</v>
      </c>
      <c r="O863" s="3" t="n">
        <v>36.522</v>
      </c>
      <c r="P863" s="3" t="n">
        <v>71.24</v>
      </c>
      <c r="Q863" s="3" t="s">
        <v>832</v>
      </c>
      <c r="R863" s="3" t="s">
        <v>80</v>
      </c>
      <c r="S863" s="3" t="s">
        <v>92</v>
      </c>
    </row>
    <row r="864" customFormat="false" ht="13.8" hidden="false" customHeight="false" outlineLevel="0" collapsed="false">
      <c r="A864" s="3" t="s">
        <v>2240</v>
      </c>
      <c r="B864" s="3" t="n">
        <v>7.1</v>
      </c>
      <c r="C864" s="3" t="s">
        <v>2241</v>
      </c>
      <c r="D864" s="3" t="n">
        <v>8</v>
      </c>
      <c r="E864" s="3" t="n">
        <v>8</v>
      </c>
      <c r="F864" s="3"/>
      <c r="G864" s="3" t="n">
        <v>0</v>
      </c>
      <c r="H864" s="3" t="n">
        <v>1576</v>
      </c>
      <c r="I864" s="3" t="s">
        <v>484</v>
      </c>
      <c r="J864" s="3" t="n">
        <v>73</v>
      </c>
      <c r="K864" s="3" t="n">
        <v>0</v>
      </c>
      <c r="L864" s="3" t="n">
        <v>57</v>
      </c>
      <c r="M864" s="3" t="s">
        <v>485</v>
      </c>
      <c r="N864" s="3" t="n">
        <v>13.73</v>
      </c>
      <c r="O864" s="3" t="n">
        <v>34.6033</v>
      </c>
      <c r="P864" s="3" t="n">
        <v>-116.265</v>
      </c>
      <c r="Q864" s="3" t="s">
        <v>2242</v>
      </c>
      <c r="R864" s="3" t="s">
        <v>164</v>
      </c>
      <c r="S864" s="3" t="s">
        <v>261</v>
      </c>
    </row>
    <row r="865" customFormat="false" ht="13.8" hidden="false" customHeight="false" outlineLevel="0" collapsed="false">
      <c r="A865" s="3" t="s">
        <v>2243</v>
      </c>
      <c r="B865" s="3" t="n">
        <v>7.5</v>
      </c>
      <c r="C865" s="3" t="s">
        <v>2244</v>
      </c>
      <c r="D865" s="3" t="n">
        <v>0</v>
      </c>
      <c r="E865" s="3" t="n">
        <v>8</v>
      </c>
      <c r="F865" s="3"/>
      <c r="G865" s="3" t="n">
        <v>0</v>
      </c>
      <c r="H865" s="3" t="n">
        <v>865</v>
      </c>
      <c r="I865" s="3" t="s">
        <v>22</v>
      </c>
      <c r="J865" s="3" t="n">
        <v>0</v>
      </c>
      <c r="K865" s="3" t="n">
        <v>0</v>
      </c>
      <c r="L865" s="3" t="n">
        <v>0</v>
      </c>
      <c r="M865" s="3" t="s">
        <v>127</v>
      </c>
      <c r="N865" s="3" t="n">
        <v>60.6</v>
      </c>
      <c r="O865" s="3" t="n">
        <v>16.059</v>
      </c>
      <c r="P865" s="3" t="n">
        <v>-96.931</v>
      </c>
      <c r="Q865" s="3" t="s">
        <v>2245</v>
      </c>
      <c r="R865" s="3" t="s">
        <v>164</v>
      </c>
      <c r="S865" s="3" t="s">
        <v>165</v>
      </c>
    </row>
    <row r="866" customFormat="false" ht="13.8" hidden="false" customHeight="false" outlineLevel="0" collapsed="false">
      <c r="A866" s="3" t="s">
        <v>2246</v>
      </c>
      <c r="B866" s="3" t="n">
        <v>6.5</v>
      </c>
      <c r="C866" s="3" t="s">
        <v>2247</v>
      </c>
      <c r="D866" s="3" t="n">
        <v>0</v>
      </c>
      <c r="E866" s="3" t="n">
        <v>7</v>
      </c>
      <c r="F866" s="3"/>
      <c r="G866" s="3" t="n">
        <v>0</v>
      </c>
      <c r="H866" s="3" t="n">
        <v>650</v>
      </c>
      <c r="I866" s="3" t="s">
        <v>22</v>
      </c>
      <c r="J866" s="3" t="n">
        <v>0</v>
      </c>
      <c r="K866" s="3" t="n">
        <v>0</v>
      </c>
      <c r="L866" s="3" t="n">
        <v>0</v>
      </c>
      <c r="M866" s="3" t="s">
        <v>127</v>
      </c>
      <c r="N866" s="3" t="n">
        <v>17</v>
      </c>
      <c r="O866" s="3" t="n">
        <v>23.738</v>
      </c>
      <c r="P866" s="3" t="n">
        <v>121.158</v>
      </c>
      <c r="Q866" s="3" t="s">
        <v>2248</v>
      </c>
      <c r="R866" s="3" t="s">
        <v>80</v>
      </c>
      <c r="S866" s="3" t="s">
        <v>171</v>
      </c>
    </row>
    <row r="867" customFormat="false" ht="13.8" hidden="false" customHeight="false" outlineLevel="0" collapsed="false">
      <c r="A867" s="3" t="s">
        <v>2249</v>
      </c>
      <c r="B867" s="3" t="n">
        <v>7.7</v>
      </c>
      <c r="C867" s="3" t="s">
        <v>2250</v>
      </c>
      <c r="D867" s="3" t="n">
        <v>0</v>
      </c>
      <c r="E867" s="3" t="n">
        <v>9</v>
      </c>
      <c r="F867" s="3"/>
      <c r="G867" s="3" t="n">
        <v>0</v>
      </c>
      <c r="H867" s="3" t="n">
        <v>912</v>
      </c>
      <c r="I867" s="3" t="s">
        <v>22</v>
      </c>
      <c r="J867" s="3" t="n">
        <v>0</v>
      </c>
      <c r="K867" s="3" t="n">
        <v>0</v>
      </c>
      <c r="L867" s="3" t="n">
        <v>0</v>
      </c>
      <c r="M867" s="3" t="s">
        <v>127</v>
      </c>
      <c r="N867" s="3" t="n">
        <v>33</v>
      </c>
      <c r="O867" s="3" t="n">
        <v>23.772</v>
      </c>
      <c r="P867" s="3" t="n">
        <v>120.982</v>
      </c>
      <c r="Q867" s="3" t="s">
        <v>2248</v>
      </c>
      <c r="R867" s="3" t="s">
        <v>80</v>
      </c>
      <c r="S867" s="3" t="s">
        <v>171</v>
      </c>
    </row>
    <row r="868" customFormat="false" ht="13.8" hidden="false" customHeight="false" outlineLevel="0" collapsed="false">
      <c r="A868" s="3" t="s">
        <v>2251</v>
      </c>
      <c r="B868" s="3" t="n">
        <v>6.6</v>
      </c>
      <c r="C868" s="3" t="s">
        <v>2252</v>
      </c>
      <c r="D868" s="3" t="n">
        <v>0</v>
      </c>
      <c r="E868" s="3" t="n">
        <v>6</v>
      </c>
      <c r="F868" s="3"/>
      <c r="G868" s="3" t="n">
        <v>0</v>
      </c>
      <c r="H868" s="3" t="n">
        <v>670</v>
      </c>
      <c r="I868" s="3" t="s">
        <v>22</v>
      </c>
      <c r="J868" s="3" t="n">
        <v>0</v>
      </c>
      <c r="K868" s="3" t="n">
        <v>0</v>
      </c>
      <c r="L868" s="3" t="n">
        <v>0</v>
      </c>
      <c r="M868" s="3" t="s">
        <v>127</v>
      </c>
      <c r="N868" s="3" t="n">
        <v>33</v>
      </c>
      <c r="O868" s="3" t="n">
        <v>-16.117</v>
      </c>
      <c r="P868" s="3" t="n">
        <v>168.039</v>
      </c>
      <c r="Q868" s="3" t="s">
        <v>472</v>
      </c>
      <c r="R868" s="3"/>
      <c r="S868" s="3" t="s">
        <v>25</v>
      </c>
    </row>
    <row r="869" customFormat="false" ht="13.8" hidden="false" customHeight="false" outlineLevel="0" collapsed="false">
      <c r="A869" s="3" t="s">
        <v>2253</v>
      </c>
      <c r="B869" s="3" t="n">
        <v>6.9</v>
      </c>
      <c r="C869" s="3" t="s">
        <v>2254</v>
      </c>
      <c r="D869" s="3" t="n">
        <v>0</v>
      </c>
      <c r="E869" s="3" t="n">
        <v>6</v>
      </c>
      <c r="F869" s="3"/>
      <c r="G869" s="3" t="n">
        <v>0</v>
      </c>
      <c r="H869" s="3" t="n">
        <v>732</v>
      </c>
      <c r="I869" s="3" t="s">
        <v>22</v>
      </c>
      <c r="J869" s="3" t="n">
        <v>0</v>
      </c>
      <c r="K869" s="3" t="n">
        <v>0</v>
      </c>
      <c r="L869" s="3" t="n">
        <v>0</v>
      </c>
      <c r="M869" s="3" t="s">
        <v>127</v>
      </c>
      <c r="N869" s="3" t="n">
        <v>20</v>
      </c>
      <c r="O869" s="3" t="n">
        <v>9.044</v>
      </c>
      <c r="P869" s="3" t="n">
        <v>-84.159</v>
      </c>
      <c r="Q869" s="3" t="s">
        <v>2255</v>
      </c>
      <c r="R869" s="3"/>
      <c r="S869" s="3"/>
    </row>
    <row r="870" customFormat="false" ht="13.8" hidden="false" customHeight="false" outlineLevel="0" collapsed="false">
      <c r="A870" s="3" t="s">
        <v>2256</v>
      </c>
      <c r="B870" s="3" t="n">
        <v>7.6</v>
      </c>
      <c r="C870" s="3" t="s">
        <v>2257</v>
      </c>
      <c r="D870" s="3" t="n">
        <v>0</v>
      </c>
      <c r="E870" s="3" t="n">
        <v>9</v>
      </c>
      <c r="F870" s="3"/>
      <c r="G870" s="3" t="n">
        <v>0</v>
      </c>
      <c r="H870" s="3" t="n">
        <v>889</v>
      </c>
      <c r="I870" s="3" t="s">
        <v>22</v>
      </c>
      <c r="J870" s="3" t="n">
        <v>0</v>
      </c>
      <c r="K870" s="3" t="n">
        <v>0</v>
      </c>
      <c r="L870" s="3" t="n">
        <v>0</v>
      </c>
      <c r="M870" s="3" t="s">
        <v>127</v>
      </c>
      <c r="N870" s="3" t="n">
        <v>17</v>
      </c>
      <c r="O870" s="3" t="n">
        <v>40.748</v>
      </c>
      <c r="P870" s="3" t="n">
        <v>29.864</v>
      </c>
      <c r="Q870" s="3" t="s">
        <v>2258</v>
      </c>
      <c r="R870" s="3" t="s">
        <v>80</v>
      </c>
      <c r="S870" s="3" t="s">
        <v>435</v>
      </c>
    </row>
    <row r="871" customFormat="false" ht="13.8" hidden="false" customHeight="false" outlineLevel="0" collapsed="false">
      <c r="A871" s="3" t="s">
        <v>2259</v>
      </c>
      <c r="B871" s="3" t="n">
        <v>6.7</v>
      </c>
      <c r="C871" s="3" t="s">
        <v>2260</v>
      </c>
      <c r="D871" s="3" t="n">
        <v>0</v>
      </c>
      <c r="E871" s="3" t="n">
        <v>8</v>
      </c>
      <c r="F871" s="3"/>
      <c r="G871" s="3" t="n">
        <v>0</v>
      </c>
      <c r="H871" s="3" t="n">
        <v>691</v>
      </c>
      <c r="I871" s="3" t="s">
        <v>22</v>
      </c>
      <c r="J871" s="3" t="n">
        <v>0</v>
      </c>
      <c r="K871" s="3" t="n">
        <v>0</v>
      </c>
      <c r="L871" s="3" t="n">
        <v>0</v>
      </c>
      <c r="M871" s="3" t="s">
        <v>127</v>
      </c>
      <c r="N871" s="3" t="n">
        <v>10</v>
      </c>
      <c r="O871" s="3" t="n">
        <v>15.782</v>
      </c>
      <c r="P871" s="3" t="n">
        <v>-88.33</v>
      </c>
      <c r="Q871" s="3" t="s">
        <v>2261</v>
      </c>
      <c r="R871" s="3"/>
      <c r="S871" s="3" t="s">
        <v>703</v>
      </c>
    </row>
    <row r="872" customFormat="false" ht="13.8" hidden="false" customHeight="false" outlineLevel="0" collapsed="false">
      <c r="A872" s="3" t="s">
        <v>2262</v>
      </c>
      <c r="B872" s="3" t="n">
        <v>7</v>
      </c>
      <c r="C872" s="3" t="s">
        <v>2263</v>
      </c>
      <c r="D872" s="3" t="n">
        <v>0</v>
      </c>
      <c r="E872" s="3" t="n">
        <v>7</v>
      </c>
      <c r="F872" s="3"/>
      <c r="G872" s="3" t="n">
        <v>0</v>
      </c>
      <c r="H872" s="3" t="n">
        <v>754</v>
      </c>
      <c r="I872" s="3" t="s">
        <v>22</v>
      </c>
      <c r="J872" s="3" t="n">
        <v>0</v>
      </c>
      <c r="K872" s="3" t="n">
        <v>0</v>
      </c>
      <c r="L872" s="3" t="n">
        <v>0</v>
      </c>
      <c r="M872" s="3" t="s">
        <v>127</v>
      </c>
      <c r="N872" s="3" t="n">
        <v>70</v>
      </c>
      <c r="O872" s="3" t="n">
        <v>18.386</v>
      </c>
      <c r="P872" s="3" t="n">
        <v>-97.436</v>
      </c>
      <c r="Q872" s="3" t="s">
        <v>2264</v>
      </c>
      <c r="R872" s="3" t="s">
        <v>164</v>
      </c>
      <c r="S872" s="3" t="s">
        <v>165</v>
      </c>
    </row>
    <row r="873" customFormat="false" ht="13.8" hidden="false" customHeight="false" outlineLevel="0" collapsed="false">
      <c r="A873" s="3" t="s">
        <v>2265</v>
      </c>
      <c r="B873" s="3" t="n">
        <v>6.6</v>
      </c>
      <c r="C873" s="3" t="s">
        <v>2266</v>
      </c>
      <c r="D873" s="3" t="n">
        <v>0</v>
      </c>
      <c r="E873" s="3" t="n">
        <v>5</v>
      </c>
      <c r="F873" s="3"/>
      <c r="G873" s="3" t="n">
        <v>0</v>
      </c>
      <c r="H873" s="3" t="n">
        <v>670</v>
      </c>
      <c r="I873" s="3" t="s">
        <v>22</v>
      </c>
      <c r="J873" s="3" t="n">
        <v>0</v>
      </c>
      <c r="K873" s="3" t="n">
        <v>0</v>
      </c>
      <c r="L873" s="3" t="n">
        <v>0</v>
      </c>
      <c r="M873" s="3" t="s">
        <v>127</v>
      </c>
      <c r="N873" s="3" t="n">
        <v>27</v>
      </c>
      <c r="O873" s="3" t="n">
        <v>-5.165</v>
      </c>
      <c r="P873" s="3" t="n">
        <v>152.877</v>
      </c>
      <c r="Q873" s="3" t="s">
        <v>625</v>
      </c>
      <c r="R873" s="3"/>
      <c r="S873" s="3" t="s">
        <v>85</v>
      </c>
    </row>
    <row r="874" customFormat="false" ht="13.8" hidden="false" customHeight="false" outlineLevel="0" collapsed="false">
      <c r="A874" s="3" t="s">
        <v>2267</v>
      </c>
      <c r="B874" s="3" t="n">
        <v>7.1</v>
      </c>
      <c r="C874" s="3" t="s">
        <v>2268</v>
      </c>
      <c r="D874" s="3" t="n">
        <v>0</v>
      </c>
      <c r="E874" s="3" t="n">
        <v>7</v>
      </c>
      <c r="F874" s="3"/>
      <c r="G874" s="3" t="n">
        <v>0</v>
      </c>
      <c r="H874" s="3" t="n">
        <v>776</v>
      </c>
      <c r="I874" s="3" t="s">
        <v>22</v>
      </c>
      <c r="J874" s="3" t="n">
        <v>0</v>
      </c>
      <c r="K874" s="3" t="n">
        <v>0</v>
      </c>
      <c r="L874" s="3" t="n">
        <v>0</v>
      </c>
      <c r="M874" s="3" t="s">
        <v>127</v>
      </c>
      <c r="N874" s="3" t="n">
        <v>73.7</v>
      </c>
      <c r="O874" s="3" t="n">
        <v>-4.751</v>
      </c>
      <c r="P874" s="3" t="n">
        <v>152.486</v>
      </c>
      <c r="Q874" s="3" t="s">
        <v>625</v>
      </c>
      <c r="R874" s="3"/>
      <c r="S874" s="3" t="s">
        <v>85</v>
      </c>
    </row>
    <row r="875" customFormat="false" ht="13.8" hidden="false" customHeight="false" outlineLevel="0" collapsed="false">
      <c r="A875" s="3" t="s">
        <v>2269</v>
      </c>
      <c r="B875" s="3" t="n">
        <v>7.1</v>
      </c>
      <c r="C875" s="3" t="s">
        <v>2270</v>
      </c>
      <c r="D875" s="3" t="n">
        <v>0</v>
      </c>
      <c r="E875" s="3" t="n">
        <v>7</v>
      </c>
      <c r="F875" s="3"/>
      <c r="G875" s="3" t="n">
        <v>0</v>
      </c>
      <c r="H875" s="3" t="n">
        <v>776</v>
      </c>
      <c r="I875" s="3" t="s">
        <v>22</v>
      </c>
      <c r="J875" s="3" t="n">
        <v>0</v>
      </c>
      <c r="K875" s="3" t="n">
        <v>0</v>
      </c>
      <c r="L875" s="3" t="n">
        <v>0</v>
      </c>
      <c r="M875" s="3" t="s">
        <v>154</v>
      </c>
      <c r="N875" s="3" t="n">
        <v>138</v>
      </c>
      <c r="O875" s="3" t="n">
        <v>-5.159</v>
      </c>
      <c r="P875" s="3" t="n">
        <v>150.88</v>
      </c>
      <c r="Q875" s="3" t="s">
        <v>107</v>
      </c>
      <c r="R875" s="3"/>
      <c r="S875" s="3" t="s">
        <v>85</v>
      </c>
    </row>
    <row r="876" customFormat="false" ht="13.8" hidden="false" customHeight="false" outlineLevel="0" collapsed="false">
      <c r="A876" s="3" t="s">
        <v>2271</v>
      </c>
      <c r="B876" s="3" t="n">
        <v>6.8</v>
      </c>
      <c r="C876" s="3" t="s">
        <v>2272</v>
      </c>
      <c r="D876" s="3" t="n">
        <v>0</v>
      </c>
      <c r="E876" s="3" t="n">
        <v>5</v>
      </c>
      <c r="F876" s="3"/>
      <c r="G876" s="3" t="n">
        <v>0</v>
      </c>
      <c r="H876" s="3" t="n">
        <v>711</v>
      </c>
      <c r="I876" s="3" t="s">
        <v>22</v>
      </c>
      <c r="J876" s="3" t="n">
        <v>0</v>
      </c>
      <c r="K876" s="3" t="n">
        <v>0</v>
      </c>
      <c r="L876" s="3" t="n">
        <v>0</v>
      </c>
      <c r="M876" s="3" t="s">
        <v>127</v>
      </c>
      <c r="N876" s="3" t="n">
        <v>164.2</v>
      </c>
      <c r="O876" s="3" t="n">
        <v>-21.422</v>
      </c>
      <c r="P876" s="3" t="n">
        <v>-176.46</v>
      </c>
      <c r="Q876" s="3" t="s">
        <v>325</v>
      </c>
      <c r="R876" s="3"/>
      <c r="S876" s="3"/>
    </row>
    <row r="877" customFormat="false" ht="13.8" hidden="false" customHeight="false" outlineLevel="0" collapsed="false">
      <c r="A877" s="3" t="s">
        <v>2273</v>
      </c>
      <c r="B877" s="3" t="n">
        <v>7.4</v>
      </c>
      <c r="C877" s="3" t="s">
        <v>2274</v>
      </c>
      <c r="D877" s="3" t="n">
        <v>0</v>
      </c>
      <c r="E877" s="3" t="n">
        <v>7</v>
      </c>
      <c r="F877" s="3"/>
      <c r="G877" s="3" t="n">
        <v>0</v>
      </c>
      <c r="H877" s="3" t="n">
        <v>842</v>
      </c>
      <c r="I877" s="3" t="s">
        <v>22</v>
      </c>
      <c r="J877" s="3" t="n">
        <v>0</v>
      </c>
      <c r="K877" s="3" t="n">
        <v>0</v>
      </c>
      <c r="L877" s="3" t="n">
        <v>0</v>
      </c>
      <c r="M877" s="3" t="s">
        <v>127</v>
      </c>
      <c r="N877" s="3" t="n">
        <v>150</v>
      </c>
      <c r="O877" s="3" t="n">
        <v>-5.591</v>
      </c>
      <c r="P877" s="3" t="n">
        <v>149.568</v>
      </c>
      <c r="Q877" s="3" t="s">
        <v>107</v>
      </c>
      <c r="R877" s="3"/>
      <c r="S877" s="3" t="s">
        <v>85</v>
      </c>
    </row>
    <row r="878" customFormat="false" ht="13.8" hidden="false" customHeight="false" outlineLevel="0" collapsed="false">
      <c r="A878" s="3" t="s">
        <v>2275</v>
      </c>
      <c r="B878" s="3" t="n">
        <v>6.8</v>
      </c>
      <c r="C878" s="3" t="s">
        <v>2276</v>
      </c>
      <c r="D878" s="3" t="n">
        <v>0</v>
      </c>
      <c r="E878" s="3" t="n">
        <v>7</v>
      </c>
      <c r="F878" s="3"/>
      <c r="G878" s="3" t="n">
        <v>0</v>
      </c>
      <c r="H878" s="3" t="n">
        <v>711</v>
      </c>
      <c r="I878" s="3" t="s">
        <v>22</v>
      </c>
      <c r="J878" s="3" t="n">
        <v>0</v>
      </c>
      <c r="K878" s="3" t="n">
        <v>0</v>
      </c>
      <c r="L878" s="3" t="n">
        <v>0</v>
      </c>
      <c r="M878" s="3" t="s">
        <v>127</v>
      </c>
      <c r="N878" s="3" t="n">
        <v>87.2</v>
      </c>
      <c r="O878" s="3" t="n">
        <v>-16.66</v>
      </c>
      <c r="P878" s="3" t="n">
        <v>-72.662</v>
      </c>
      <c r="Q878" s="3" t="s">
        <v>2277</v>
      </c>
      <c r="R878" s="3" t="s">
        <v>33</v>
      </c>
      <c r="S878" s="3" t="s">
        <v>199</v>
      </c>
    </row>
    <row r="879" customFormat="false" ht="13.8" hidden="false" customHeight="false" outlineLevel="0" collapsed="false">
      <c r="A879" s="3" t="s">
        <v>2278</v>
      </c>
      <c r="B879" s="3" t="n">
        <v>6.6</v>
      </c>
      <c r="C879" s="3" t="s">
        <v>2279</v>
      </c>
      <c r="D879" s="3" t="n">
        <v>0</v>
      </c>
      <c r="E879" s="3" t="n">
        <v>7</v>
      </c>
      <c r="F879" s="3"/>
      <c r="G879" s="3" t="n">
        <v>0</v>
      </c>
      <c r="H879" s="3" t="n">
        <v>670</v>
      </c>
      <c r="I879" s="3" t="s">
        <v>22</v>
      </c>
      <c r="J879" s="3" t="n">
        <v>0</v>
      </c>
      <c r="K879" s="3" t="n">
        <v>0</v>
      </c>
      <c r="L879" s="3" t="n">
        <v>0</v>
      </c>
      <c r="M879" s="3" t="s">
        <v>154</v>
      </c>
      <c r="N879" s="3" t="n">
        <v>15</v>
      </c>
      <c r="O879" s="3" t="n">
        <v>30.512</v>
      </c>
      <c r="P879" s="3" t="n">
        <v>79.403</v>
      </c>
      <c r="Q879" s="3" t="s">
        <v>2280</v>
      </c>
      <c r="R879" s="3" t="s">
        <v>80</v>
      </c>
      <c r="S879" s="3" t="s">
        <v>860</v>
      </c>
    </row>
    <row r="880" customFormat="false" ht="13.8" hidden="false" customHeight="false" outlineLevel="0" collapsed="false">
      <c r="A880" s="3" t="s">
        <v>2281</v>
      </c>
      <c r="B880" s="3" t="n">
        <v>6.9</v>
      </c>
      <c r="C880" s="3" t="s">
        <v>2282</v>
      </c>
      <c r="D880" s="3" t="n">
        <v>0</v>
      </c>
      <c r="E880" s="3" t="n">
        <v>6</v>
      </c>
      <c r="F880" s="3"/>
      <c r="G880" s="3" t="n">
        <v>0</v>
      </c>
      <c r="H880" s="3" t="n">
        <v>732</v>
      </c>
      <c r="I880" s="3" t="s">
        <v>22</v>
      </c>
      <c r="J880" s="3" t="n">
        <v>0</v>
      </c>
      <c r="K880" s="3" t="n">
        <v>0</v>
      </c>
      <c r="L880" s="3" t="n">
        <v>0</v>
      </c>
      <c r="M880" s="3" t="s">
        <v>127</v>
      </c>
      <c r="N880" s="3" t="n">
        <v>33</v>
      </c>
      <c r="O880" s="3" t="n">
        <v>51.587</v>
      </c>
      <c r="P880" s="3" t="n">
        <v>-177.668</v>
      </c>
      <c r="Q880" s="3" t="s">
        <v>608</v>
      </c>
      <c r="R880" s="3" t="s">
        <v>164</v>
      </c>
      <c r="S880" s="3" t="s">
        <v>261</v>
      </c>
    </row>
    <row r="881" customFormat="false" ht="13.8" hidden="false" customHeight="false" outlineLevel="0" collapsed="false">
      <c r="A881" s="3" t="s">
        <v>2283</v>
      </c>
      <c r="B881" s="3" t="n">
        <v>6.9</v>
      </c>
      <c r="C881" s="3" t="s">
        <v>2284</v>
      </c>
      <c r="D881" s="3" t="n">
        <v>0</v>
      </c>
      <c r="E881" s="3" t="n">
        <v>5</v>
      </c>
      <c r="F881" s="3"/>
      <c r="G881" s="3" t="n">
        <v>0</v>
      </c>
      <c r="H881" s="3" t="n">
        <v>732</v>
      </c>
      <c r="I881" s="3" t="s">
        <v>22</v>
      </c>
      <c r="J881" s="3" t="n">
        <v>0</v>
      </c>
      <c r="K881" s="3" t="n">
        <v>0</v>
      </c>
      <c r="L881" s="3" t="n">
        <v>0</v>
      </c>
      <c r="M881" s="3" t="s">
        <v>127</v>
      </c>
      <c r="N881" s="3" t="n">
        <v>56.6</v>
      </c>
      <c r="O881" s="3" t="n">
        <v>52.056</v>
      </c>
      <c r="P881" s="3" t="n">
        <v>159.52</v>
      </c>
      <c r="Q881" s="3" t="s">
        <v>2285</v>
      </c>
      <c r="R881" s="3"/>
      <c r="S881" s="3"/>
    </row>
    <row r="882" customFormat="false" ht="13.8" hidden="false" customHeight="false" outlineLevel="0" collapsed="false">
      <c r="A882" s="3" t="s">
        <v>2286</v>
      </c>
      <c r="B882" s="3" t="n">
        <v>7.1</v>
      </c>
      <c r="C882" s="3" t="s">
        <v>2287</v>
      </c>
      <c r="D882" s="3" t="n">
        <v>0</v>
      </c>
      <c r="E882" s="3" t="n">
        <v>6</v>
      </c>
      <c r="F882" s="3"/>
      <c r="G882" s="3" t="n">
        <v>0</v>
      </c>
      <c r="H882" s="3" t="n">
        <v>776</v>
      </c>
      <c r="I882" s="3" t="s">
        <v>22</v>
      </c>
      <c r="J882" s="3" t="n">
        <v>0</v>
      </c>
      <c r="K882" s="3" t="n">
        <v>0</v>
      </c>
      <c r="L882" s="3" t="n">
        <v>0</v>
      </c>
      <c r="M882" s="3" t="s">
        <v>127</v>
      </c>
      <c r="N882" s="3" t="n">
        <v>33</v>
      </c>
      <c r="O882" s="3" t="n">
        <v>5.397</v>
      </c>
      <c r="P882" s="3" t="n">
        <v>121.937</v>
      </c>
      <c r="Q882" s="3" t="s">
        <v>741</v>
      </c>
      <c r="R882" s="3"/>
      <c r="S882" s="3"/>
    </row>
    <row r="883" customFormat="false" ht="13.8" hidden="false" customHeight="false" outlineLevel="0" collapsed="false">
      <c r="A883" s="3" t="s">
        <v>2288</v>
      </c>
      <c r="B883" s="3" t="n">
        <v>6.6</v>
      </c>
      <c r="C883" s="3" t="s">
        <v>2289</v>
      </c>
      <c r="D883" s="3" t="n">
        <v>0</v>
      </c>
      <c r="E883" s="3" t="n">
        <v>7</v>
      </c>
      <c r="F883" s="3"/>
      <c r="G883" s="3" t="n">
        <v>0</v>
      </c>
      <c r="H883" s="3" t="n">
        <v>670</v>
      </c>
      <c r="I883" s="3" t="s">
        <v>22</v>
      </c>
      <c r="J883" s="3" t="n">
        <v>0</v>
      </c>
      <c r="K883" s="3" t="n">
        <v>0</v>
      </c>
      <c r="L883" s="3" t="n">
        <v>0</v>
      </c>
      <c r="M883" s="3" t="s">
        <v>127</v>
      </c>
      <c r="N883" s="3" t="n">
        <v>33</v>
      </c>
      <c r="O883" s="3" t="n">
        <v>28.343</v>
      </c>
      <c r="P883" s="3" t="n">
        <v>57.193</v>
      </c>
      <c r="Q883" s="3" t="s">
        <v>2290</v>
      </c>
      <c r="R883" s="3" t="s">
        <v>80</v>
      </c>
      <c r="S883" s="3" t="s">
        <v>660</v>
      </c>
    </row>
    <row r="884" customFormat="false" ht="13.8" hidden="false" customHeight="false" outlineLevel="0" collapsed="false">
      <c r="A884" s="3" t="s">
        <v>2291</v>
      </c>
      <c r="B884" s="3" t="n">
        <v>7.3</v>
      </c>
      <c r="C884" s="3" t="s">
        <v>2292</v>
      </c>
      <c r="D884" s="3" t="n">
        <v>0</v>
      </c>
      <c r="E884" s="3" t="n">
        <v>7</v>
      </c>
      <c r="F884" s="3"/>
      <c r="G884" s="3" t="n">
        <v>0</v>
      </c>
      <c r="H884" s="3" t="n">
        <v>820</v>
      </c>
      <c r="I884" s="3" t="s">
        <v>22</v>
      </c>
      <c r="J884" s="3" t="n">
        <v>0</v>
      </c>
      <c r="K884" s="3" t="n">
        <v>0</v>
      </c>
      <c r="L884" s="3" t="n">
        <v>0</v>
      </c>
      <c r="M884" s="3" t="s">
        <v>127</v>
      </c>
      <c r="N884" s="3" t="n">
        <v>90.1</v>
      </c>
      <c r="O884" s="3" t="n">
        <v>-12.853</v>
      </c>
      <c r="P884" s="3" t="n">
        <v>166.697</v>
      </c>
      <c r="Q884" s="3" t="s">
        <v>24</v>
      </c>
      <c r="R884" s="3"/>
      <c r="S884" s="3"/>
    </row>
    <row r="885" customFormat="false" ht="13.8" hidden="false" customHeight="false" outlineLevel="0" collapsed="false">
      <c r="A885" s="3" t="s">
        <v>2293</v>
      </c>
      <c r="B885" s="3" t="n">
        <v>6.6</v>
      </c>
      <c r="C885" s="3" t="s">
        <v>2294</v>
      </c>
      <c r="D885" s="3" t="n">
        <v>0</v>
      </c>
      <c r="E885" s="3" t="n">
        <v>6</v>
      </c>
      <c r="F885" s="3"/>
      <c r="G885" s="3" t="n">
        <v>0</v>
      </c>
      <c r="H885" s="3" t="n">
        <v>670</v>
      </c>
      <c r="I885" s="3" t="s">
        <v>22</v>
      </c>
      <c r="J885" s="3" t="n">
        <v>0</v>
      </c>
      <c r="K885" s="3" t="n">
        <v>0</v>
      </c>
      <c r="L885" s="3" t="n">
        <v>0</v>
      </c>
      <c r="M885" s="3" t="s">
        <v>127</v>
      </c>
      <c r="N885" s="3" t="n">
        <v>67.2</v>
      </c>
      <c r="O885" s="3" t="n">
        <v>52.886</v>
      </c>
      <c r="P885" s="3" t="n">
        <v>-169.123</v>
      </c>
      <c r="Q885" s="3" t="s">
        <v>234</v>
      </c>
      <c r="R885" s="3" t="s">
        <v>164</v>
      </c>
      <c r="S885" s="3" t="s">
        <v>261</v>
      </c>
    </row>
    <row r="886" customFormat="false" ht="13.8" hidden="false" customHeight="false" outlineLevel="0" collapsed="false">
      <c r="A886" s="3" t="s">
        <v>2295</v>
      </c>
      <c r="B886" s="3" t="n">
        <v>7</v>
      </c>
      <c r="C886" s="3" t="s">
        <v>2296</v>
      </c>
      <c r="D886" s="3" t="n">
        <v>0</v>
      </c>
      <c r="E886" s="3" t="n">
        <v>7</v>
      </c>
      <c r="F886" s="3"/>
      <c r="G886" s="3" t="n">
        <v>0</v>
      </c>
      <c r="H886" s="3" t="n">
        <v>754</v>
      </c>
      <c r="I886" s="3" t="s">
        <v>22</v>
      </c>
      <c r="J886" s="3" t="n">
        <v>0</v>
      </c>
      <c r="K886" s="3" t="n">
        <v>0</v>
      </c>
      <c r="L886" s="3" t="n">
        <v>0</v>
      </c>
      <c r="M886" s="3" t="s">
        <v>127</v>
      </c>
      <c r="N886" s="3" t="n">
        <v>114.1</v>
      </c>
      <c r="O886" s="3" t="n">
        <v>-4.596</v>
      </c>
      <c r="P886" s="3" t="n">
        <v>153.235</v>
      </c>
      <c r="Q886" s="3" t="s">
        <v>625</v>
      </c>
      <c r="R886" s="3"/>
      <c r="S886" s="3" t="s">
        <v>85</v>
      </c>
    </row>
    <row r="887" customFormat="false" ht="13.8" hidden="false" customHeight="false" outlineLevel="0" collapsed="false">
      <c r="A887" s="3" t="s">
        <v>2297</v>
      </c>
      <c r="B887" s="3" t="n">
        <v>6.8</v>
      </c>
      <c r="C887" s="3" t="s">
        <v>2298</v>
      </c>
      <c r="D887" s="3" t="n">
        <v>0</v>
      </c>
      <c r="E887" s="3" t="n">
        <v>5</v>
      </c>
      <c r="F887" s="3"/>
      <c r="G887" s="3" t="n">
        <v>0</v>
      </c>
      <c r="H887" s="3" t="n">
        <v>711</v>
      </c>
      <c r="I887" s="3" t="s">
        <v>22</v>
      </c>
      <c r="J887" s="3" t="n">
        <v>0</v>
      </c>
      <c r="K887" s="3" t="n">
        <v>0</v>
      </c>
      <c r="L887" s="3" t="n">
        <v>0</v>
      </c>
      <c r="M887" s="3" t="s">
        <v>127</v>
      </c>
      <c r="N887" s="3" t="n">
        <v>144.3</v>
      </c>
      <c r="O887" s="3" t="n">
        <v>-21.632</v>
      </c>
      <c r="P887" s="3" t="n">
        <v>-176.376</v>
      </c>
      <c r="Q887" s="3" t="s">
        <v>325</v>
      </c>
      <c r="R887" s="3"/>
      <c r="S887" s="3"/>
    </row>
    <row r="888" customFormat="false" ht="13.8" hidden="false" customHeight="false" outlineLevel="0" collapsed="false">
      <c r="A888" s="3" t="s">
        <v>2299</v>
      </c>
      <c r="B888" s="3" t="n">
        <v>7.7</v>
      </c>
      <c r="C888" s="3" t="s">
        <v>2300</v>
      </c>
      <c r="D888" s="3" t="n">
        <v>0</v>
      </c>
      <c r="E888" s="3" t="n">
        <v>7</v>
      </c>
      <c r="F888" s="3"/>
      <c r="G888" s="3" t="n">
        <v>0</v>
      </c>
      <c r="H888" s="3" t="n">
        <v>912</v>
      </c>
      <c r="I888" s="3" t="s">
        <v>22</v>
      </c>
      <c r="J888" s="3" t="n">
        <v>0</v>
      </c>
      <c r="K888" s="3" t="n">
        <v>0</v>
      </c>
      <c r="L888" s="3" t="n">
        <v>0</v>
      </c>
      <c r="M888" s="3" t="s">
        <v>127</v>
      </c>
      <c r="N888" s="3" t="n">
        <v>33</v>
      </c>
      <c r="O888" s="3" t="n">
        <v>-2.071</v>
      </c>
      <c r="P888" s="3" t="n">
        <v>124.891</v>
      </c>
      <c r="Q888" s="3" t="s">
        <v>507</v>
      </c>
      <c r="R888" s="3"/>
      <c r="S888" s="3" t="s">
        <v>68</v>
      </c>
    </row>
    <row r="889" customFormat="false" ht="13.8" hidden="false" customHeight="false" outlineLevel="0" collapsed="false">
      <c r="A889" s="3" t="s">
        <v>2301</v>
      </c>
      <c r="B889" s="3" t="n">
        <v>7</v>
      </c>
      <c r="C889" s="3" t="s">
        <v>2302</v>
      </c>
      <c r="D889" s="3" t="n">
        <v>0</v>
      </c>
      <c r="E889" s="3" t="n">
        <v>7</v>
      </c>
      <c r="F889" s="3"/>
      <c r="G889" s="3" t="n">
        <v>0</v>
      </c>
      <c r="H889" s="3" t="n">
        <v>754</v>
      </c>
      <c r="I889" s="3" t="s">
        <v>22</v>
      </c>
      <c r="J889" s="3" t="n">
        <v>0</v>
      </c>
      <c r="K889" s="3" t="n">
        <v>0</v>
      </c>
      <c r="L889" s="3" t="n">
        <v>0</v>
      </c>
      <c r="M889" s="3" t="s">
        <v>127</v>
      </c>
      <c r="N889" s="3" t="n">
        <v>33</v>
      </c>
      <c r="O889" s="3" t="n">
        <v>-6.92</v>
      </c>
      <c r="P889" s="3" t="n">
        <v>128.946</v>
      </c>
      <c r="Q889" s="3" t="s">
        <v>248</v>
      </c>
      <c r="R889" s="3"/>
      <c r="S889" s="3" t="s">
        <v>68</v>
      </c>
    </row>
    <row r="890" customFormat="false" ht="13.8" hidden="false" customHeight="false" outlineLevel="0" collapsed="false">
      <c r="A890" s="3" t="s">
        <v>2303</v>
      </c>
      <c r="B890" s="3" t="n">
        <v>6.7</v>
      </c>
      <c r="C890" s="3" t="s">
        <v>2304</v>
      </c>
      <c r="D890" s="3" t="n">
        <v>0</v>
      </c>
      <c r="E890" s="3" t="n">
        <v>6</v>
      </c>
      <c r="F890" s="3"/>
      <c r="G890" s="3" t="n">
        <v>0</v>
      </c>
      <c r="H890" s="3" t="n">
        <v>691</v>
      </c>
      <c r="I890" s="3" t="s">
        <v>22</v>
      </c>
      <c r="J890" s="3" t="n">
        <v>0</v>
      </c>
      <c r="K890" s="3" t="n">
        <v>0</v>
      </c>
      <c r="L890" s="3" t="n">
        <v>0</v>
      </c>
      <c r="M890" s="3" t="s">
        <v>127</v>
      </c>
      <c r="N890" s="3" t="n">
        <v>33</v>
      </c>
      <c r="O890" s="3" t="n">
        <v>-6.954</v>
      </c>
      <c r="P890" s="3" t="n">
        <v>129.022</v>
      </c>
      <c r="Q890" s="3" t="s">
        <v>248</v>
      </c>
      <c r="R890" s="3"/>
      <c r="S890" s="3" t="s">
        <v>68</v>
      </c>
    </row>
    <row r="891" customFormat="false" ht="13.8" hidden="false" customHeight="false" outlineLevel="0" collapsed="false">
      <c r="A891" s="3" t="s">
        <v>2305</v>
      </c>
      <c r="B891" s="3" t="n">
        <v>6.6</v>
      </c>
      <c r="C891" s="3" t="s">
        <v>2306</v>
      </c>
      <c r="D891" s="3" t="n">
        <v>0</v>
      </c>
      <c r="E891" s="3" t="n">
        <v>5</v>
      </c>
      <c r="F891" s="3"/>
      <c r="G891" s="3" t="n">
        <v>0</v>
      </c>
      <c r="H891" s="3" t="n">
        <v>670</v>
      </c>
      <c r="I891" s="3" t="s">
        <v>22</v>
      </c>
      <c r="J891" s="3" t="n">
        <v>0</v>
      </c>
      <c r="K891" s="3" t="n">
        <v>0</v>
      </c>
      <c r="L891" s="3" t="n">
        <v>0</v>
      </c>
      <c r="M891" s="3" t="s">
        <v>154</v>
      </c>
      <c r="N891" s="3" t="n">
        <v>151.6</v>
      </c>
      <c r="O891" s="3" t="n">
        <v>-8.194</v>
      </c>
      <c r="P891" s="3" t="n">
        <v>112.413</v>
      </c>
      <c r="Q891" s="3" t="s">
        <v>2307</v>
      </c>
      <c r="R891" s="3"/>
      <c r="S891" s="3" t="s">
        <v>68</v>
      </c>
    </row>
    <row r="892" customFormat="false" ht="13.8" hidden="false" customHeight="false" outlineLevel="0" collapsed="false">
      <c r="A892" s="3" t="s">
        <v>2308</v>
      </c>
      <c r="B892" s="3" t="n">
        <v>6.6</v>
      </c>
      <c r="C892" s="3" t="s">
        <v>2309</v>
      </c>
      <c r="D892" s="3" t="n">
        <v>0</v>
      </c>
      <c r="E892" s="3" t="n">
        <v>6</v>
      </c>
      <c r="F892" s="3"/>
      <c r="G892" s="3" t="n">
        <v>0</v>
      </c>
      <c r="H892" s="3" t="n">
        <v>670</v>
      </c>
      <c r="I892" s="3" t="s">
        <v>22</v>
      </c>
      <c r="J892" s="3" t="n">
        <v>0</v>
      </c>
      <c r="K892" s="3" t="n">
        <v>0</v>
      </c>
      <c r="L892" s="3" t="n">
        <v>0</v>
      </c>
      <c r="M892" s="3" t="s">
        <v>127</v>
      </c>
      <c r="N892" s="3" t="n">
        <v>27</v>
      </c>
      <c r="O892" s="3" t="n">
        <v>-29.45</v>
      </c>
      <c r="P892" s="3" t="n">
        <v>-71.715</v>
      </c>
      <c r="Q892" s="3" t="s">
        <v>523</v>
      </c>
      <c r="R892" s="3"/>
      <c r="S892" s="3" t="s">
        <v>373</v>
      </c>
    </row>
    <row r="893" customFormat="false" ht="13.8" hidden="false" customHeight="false" outlineLevel="0" collapsed="false">
      <c r="A893" s="3" t="s">
        <v>2310</v>
      </c>
      <c r="B893" s="3" t="n">
        <v>6.8</v>
      </c>
      <c r="C893" s="3" t="s">
        <v>2311</v>
      </c>
      <c r="D893" s="3" t="n">
        <v>0</v>
      </c>
      <c r="E893" s="3" t="n">
        <v>5</v>
      </c>
      <c r="F893" s="3"/>
      <c r="G893" s="3" t="n">
        <v>0</v>
      </c>
      <c r="H893" s="3" t="n">
        <v>711</v>
      </c>
      <c r="I893" s="3" t="s">
        <v>22</v>
      </c>
      <c r="J893" s="3" t="n">
        <v>0</v>
      </c>
      <c r="K893" s="3" t="n">
        <v>0</v>
      </c>
      <c r="L893" s="3" t="n">
        <v>0</v>
      </c>
      <c r="M893" s="3" t="s">
        <v>127</v>
      </c>
      <c r="N893" s="3" t="n">
        <v>50</v>
      </c>
      <c r="O893" s="3" t="n">
        <v>5.41</v>
      </c>
      <c r="P893" s="3" t="n">
        <v>126.764</v>
      </c>
      <c r="Q893" s="3" t="s">
        <v>297</v>
      </c>
      <c r="R893" s="3"/>
      <c r="S893" s="3" t="s">
        <v>68</v>
      </c>
    </row>
    <row r="894" customFormat="false" ht="13.8" hidden="false" customHeight="false" outlineLevel="0" collapsed="false">
      <c r="A894" s="3" t="s">
        <v>2312</v>
      </c>
      <c r="B894" s="3" t="n">
        <v>7.2</v>
      </c>
      <c r="C894" s="3" t="s">
        <v>2313</v>
      </c>
      <c r="D894" s="3" t="n">
        <v>0</v>
      </c>
      <c r="E894" s="3" t="n">
        <v>7</v>
      </c>
      <c r="F894" s="3"/>
      <c r="G894" s="3" t="n">
        <v>0</v>
      </c>
      <c r="H894" s="3" t="n">
        <v>798</v>
      </c>
      <c r="I894" s="3" t="s">
        <v>22</v>
      </c>
      <c r="J894" s="3" t="n">
        <v>0</v>
      </c>
      <c r="K894" s="3" t="n">
        <v>0</v>
      </c>
      <c r="L894" s="3" t="n">
        <v>0</v>
      </c>
      <c r="M894" s="3" t="s">
        <v>127</v>
      </c>
      <c r="N894" s="3" t="n">
        <v>33</v>
      </c>
      <c r="O894" s="3" t="n">
        <v>-0.593</v>
      </c>
      <c r="P894" s="3" t="n">
        <v>-80.393</v>
      </c>
      <c r="Q894" s="3" t="s">
        <v>2314</v>
      </c>
      <c r="R894" s="3" t="s">
        <v>33</v>
      </c>
      <c r="S894" s="3" t="s">
        <v>96</v>
      </c>
    </row>
    <row r="895" customFormat="false" ht="13.8" hidden="false" customHeight="false" outlineLevel="0" collapsed="false">
      <c r="A895" s="3" t="s">
        <v>2315</v>
      </c>
      <c r="B895" s="3" t="n">
        <v>6.7</v>
      </c>
      <c r="C895" s="3" t="s">
        <v>2316</v>
      </c>
      <c r="D895" s="3" t="n">
        <v>0</v>
      </c>
      <c r="E895" s="3" t="n">
        <v>6</v>
      </c>
      <c r="F895" s="3"/>
      <c r="G895" s="3" t="n">
        <v>0</v>
      </c>
      <c r="H895" s="3" t="n">
        <v>691</v>
      </c>
      <c r="I895" s="3" t="s">
        <v>22</v>
      </c>
      <c r="J895" s="3" t="n">
        <v>0</v>
      </c>
      <c r="K895" s="3" t="n">
        <v>0</v>
      </c>
      <c r="L895" s="3" t="n">
        <v>0</v>
      </c>
      <c r="M895" s="3" t="s">
        <v>127</v>
      </c>
      <c r="N895" s="3" t="n">
        <v>33</v>
      </c>
      <c r="O895" s="3" t="n">
        <v>-2.693</v>
      </c>
      <c r="P895" s="3" t="n">
        <v>138.901</v>
      </c>
      <c r="Q895" s="3" t="s">
        <v>926</v>
      </c>
      <c r="R895" s="3"/>
      <c r="S895" s="3" t="s">
        <v>68</v>
      </c>
    </row>
    <row r="896" customFormat="false" ht="13.8" hidden="false" customHeight="false" outlineLevel="0" collapsed="false">
      <c r="A896" s="3" t="s">
        <v>2317</v>
      </c>
      <c r="B896" s="3" t="n">
        <v>7</v>
      </c>
      <c r="C896" s="3" t="s">
        <v>2318</v>
      </c>
      <c r="D896" s="3" t="n">
        <v>0</v>
      </c>
      <c r="E896" s="3" t="n">
        <v>7</v>
      </c>
      <c r="F896" s="3"/>
      <c r="G896" s="3" t="n">
        <v>0</v>
      </c>
      <c r="H896" s="3" t="n">
        <v>754</v>
      </c>
      <c r="I896" s="3" t="s">
        <v>22</v>
      </c>
      <c r="J896" s="3" t="n">
        <v>0</v>
      </c>
      <c r="K896" s="3" t="n">
        <v>0</v>
      </c>
      <c r="L896" s="3" t="n">
        <v>0</v>
      </c>
      <c r="M896" s="3" t="s">
        <v>127</v>
      </c>
      <c r="N896" s="3" t="n">
        <v>10</v>
      </c>
      <c r="O896" s="3" t="n">
        <v>-2.961</v>
      </c>
      <c r="P896" s="3" t="n">
        <v>141.926</v>
      </c>
      <c r="Q896" s="3" t="s">
        <v>1188</v>
      </c>
      <c r="R896" s="3"/>
      <c r="S896" s="3" t="s">
        <v>85</v>
      </c>
    </row>
    <row r="897" customFormat="false" ht="13.8" hidden="false" customHeight="false" outlineLevel="0" collapsed="false">
      <c r="A897" s="3" t="s">
        <v>2319</v>
      </c>
      <c r="B897" s="3" t="n">
        <v>7</v>
      </c>
      <c r="C897" s="3" t="s">
        <v>2320</v>
      </c>
      <c r="D897" s="3" t="n">
        <v>0</v>
      </c>
      <c r="E897" s="3" t="n">
        <v>7</v>
      </c>
      <c r="F897" s="3"/>
      <c r="G897" s="3" t="n">
        <v>0</v>
      </c>
      <c r="H897" s="3" t="n">
        <v>754</v>
      </c>
      <c r="I897" s="3" t="s">
        <v>22</v>
      </c>
      <c r="J897" s="3" t="n">
        <v>0</v>
      </c>
      <c r="K897" s="3" t="n">
        <v>0</v>
      </c>
      <c r="L897" s="3" t="n">
        <v>0</v>
      </c>
      <c r="M897" s="3" t="s">
        <v>127</v>
      </c>
      <c r="N897" s="3" t="n">
        <v>110.2</v>
      </c>
      <c r="O897" s="3" t="n">
        <v>-11.04</v>
      </c>
      <c r="P897" s="3" t="n">
        <v>166.16</v>
      </c>
      <c r="Q897" s="3" t="s">
        <v>412</v>
      </c>
      <c r="R897" s="3"/>
      <c r="S897" s="3" t="s">
        <v>140</v>
      </c>
    </row>
    <row r="898" customFormat="false" ht="13.8" hidden="false" customHeight="false" outlineLevel="0" collapsed="false">
      <c r="A898" s="3" t="s">
        <v>2321</v>
      </c>
      <c r="B898" s="3" t="n">
        <v>6.6</v>
      </c>
      <c r="C898" s="3" t="s">
        <v>2322</v>
      </c>
      <c r="D898" s="3" t="n">
        <v>0</v>
      </c>
      <c r="E898" s="3" t="n">
        <v>6</v>
      </c>
      <c r="F898" s="3"/>
      <c r="G898" s="3" t="n">
        <v>0</v>
      </c>
      <c r="H898" s="3" t="n">
        <v>670</v>
      </c>
      <c r="I898" s="3" t="s">
        <v>22</v>
      </c>
      <c r="J898" s="3" t="n">
        <v>0</v>
      </c>
      <c r="K898" s="3" t="n">
        <v>0</v>
      </c>
      <c r="L898" s="3" t="n">
        <v>0</v>
      </c>
      <c r="M898" s="3" t="s">
        <v>154</v>
      </c>
      <c r="N898" s="3" t="n">
        <v>33</v>
      </c>
      <c r="O898" s="3" t="n">
        <v>37.106</v>
      </c>
      <c r="P898" s="3" t="n">
        <v>70.11</v>
      </c>
      <c r="Q898" s="3" t="s">
        <v>2323</v>
      </c>
      <c r="R898" s="3" t="s">
        <v>80</v>
      </c>
      <c r="S898" s="3" t="s">
        <v>92</v>
      </c>
    </row>
    <row r="899" customFormat="false" ht="13.8" hidden="false" customHeight="false" outlineLevel="0" collapsed="false">
      <c r="A899" s="3" t="s">
        <v>2324</v>
      </c>
      <c r="B899" s="3" t="n">
        <v>6.6</v>
      </c>
      <c r="C899" s="3" t="s">
        <v>2325</v>
      </c>
      <c r="D899" s="3" t="n">
        <v>0</v>
      </c>
      <c r="E899" s="3" t="n">
        <v>8</v>
      </c>
      <c r="F899" s="3"/>
      <c r="G899" s="3" t="n">
        <v>0</v>
      </c>
      <c r="H899" s="3" t="n">
        <v>670</v>
      </c>
      <c r="I899" s="3" t="s">
        <v>22</v>
      </c>
      <c r="J899" s="3" t="n">
        <v>0</v>
      </c>
      <c r="K899" s="3" t="n">
        <v>0</v>
      </c>
      <c r="L899" s="3" t="n">
        <v>0</v>
      </c>
      <c r="M899" s="3" t="s">
        <v>154</v>
      </c>
      <c r="N899" s="3" t="n">
        <v>24</v>
      </c>
      <c r="O899" s="3" t="n">
        <v>-17.731</v>
      </c>
      <c r="P899" s="3" t="n">
        <v>-65.431</v>
      </c>
      <c r="Q899" s="3" t="s">
        <v>2326</v>
      </c>
      <c r="R899" s="3" t="s">
        <v>33</v>
      </c>
      <c r="S899" s="3" t="s">
        <v>618</v>
      </c>
    </row>
    <row r="900" customFormat="false" ht="13.8" hidden="false" customHeight="false" outlineLevel="0" collapsed="false">
      <c r="A900" s="3" t="s">
        <v>2327</v>
      </c>
      <c r="B900" s="3" t="n">
        <v>6.7</v>
      </c>
      <c r="C900" s="3" t="s">
        <v>2328</v>
      </c>
      <c r="D900" s="3" t="n">
        <v>0</v>
      </c>
      <c r="E900" s="3" t="n">
        <v>6</v>
      </c>
      <c r="F900" s="3"/>
      <c r="G900" s="3" t="n">
        <v>0</v>
      </c>
      <c r="H900" s="3" t="n">
        <v>691</v>
      </c>
      <c r="I900" s="3" t="s">
        <v>22</v>
      </c>
      <c r="J900" s="3" t="n">
        <v>0</v>
      </c>
      <c r="K900" s="3" t="n">
        <v>0</v>
      </c>
      <c r="L900" s="3" t="n">
        <v>0</v>
      </c>
      <c r="M900" s="3" t="s">
        <v>154</v>
      </c>
      <c r="N900" s="3" t="n">
        <v>33</v>
      </c>
      <c r="O900" s="3" t="n">
        <v>0.207</v>
      </c>
      <c r="P900" s="3" t="n">
        <v>119.584</v>
      </c>
      <c r="Q900" s="3" t="s">
        <v>574</v>
      </c>
      <c r="R900" s="3"/>
      <c r="S900" s="3" t="s">
        <v>68</v>
      </c>
    </row>
    <row r="901" customFormat="false" ht="13.8" hidden="false" customHeight="false" outlineLevel="0" collapsed="false">
      <c r="A901" s="3" t="s">
        <v>2329</v>
      </c>
      <c r="B901" s="3" t="n">
        <v>6.6</v>
      </c>
      <c r="C901" s="3" t="s">
        <v>2330</v>
      </c>
      <c r="D901" s="3" t="n">
        <v>0</v>
      </c>
      <c r="E901" s="3" t="n">
        <v>6</v>
      </c>
      <c r="F901" s="3"/>
      <c r="G901" s="3" t="n">
        <v>0</v>
      </c>
      <c r="H901" s="3" t="n">
        <v>670</v>
      </c>
      <c r="I901" s="3" t="s">
        <v>22</v>
      </c>
      <c r="J901" s="3" t="n">
        <v>0</v>
      </c>
      <c r="K901" s="3" t="n">
        <v>0</v>
      </c>
      <c r="L901" s="3" t="n">
        <v>0</v>
      </c>
      <c r="M901" s="3" t="s">
        <v>127</v>
      </c>
      <c r="N901" s="3" t="n">
        <v>61.4</v>
      </c>
      <c r="O901" s="3" t="n">
        <v>-5.147</v>
      </c>
      <c r="P901" s="3" t="n">
        <v>151.714</v>
      </c>
      <c r="Q901" s="3" t="s">
        <v>625</v>
      </c>
      <c r="R901" s="3"/>
      <c r="S901" s="3" t="s">
        <v>85</v>
      </c>
    </row>
    <row r="902" customFormat="false" ht="13.8" hidden="false" customHeight="false" outlineLevel="0" collapsed="false">
      <c r="A902" s="3" t="s">
        <v>2331</v>
      </c>
      <c r="B902" s="3" t="n">
        <v>7.5</v>
      </c>
      <c r="C902" s="3" t="s">
        <v>2332</v>
      </c>
      <c r="D902" s="3" t="n">
        <v>0</v>
      </c>
      <c r="E902" s="3" t="n">
        <v>5</v>
      </c>
      <c r="F902" s="3"/>
      <c r="G902" s="3" t="n">
        <v>0</v>
      </c>
      <c r="H902" s="3" t="n">
        <v>865</v>
      </c>
      <c r="I902" s="3" t="s">
        <v>22</v>
      </c>
      <c r="J902" s="3" t="n">
        <v>0</v>
      </c>
      <c r="K902" s="3" t="n">
        <v>0</v>
      </c>
      <c r="L902" s="3" t="n">
        <v>0</v>
      </c>
      <c r="M902" s="3" t="s">
        <v>154</v>
      </c>
      <c r="N902" s="3" t="n">
        <v>33</v>
      </c>
      <c r="O902" s="3" t="n">
        <v>22.306</v>
      </c>
      <c r="P902" s="3" t="n">
        <v>125.308</v>
      </c>
      <c r="Q902" s="3" t="s">
        <v>2333</v>
      </c>
      <c r="R902" s="3"/>
      <c r="S902" s="3"/>
    </row>
    <row r="903" customFormat="false" ht="13.8" hidden="false" customHeight="false" outlineLevel="0" collapsed="false">
      <c r="A903" s="3" t="s">
        <v>2334</v>
      </c>
      <c r="B903" s="3" t="n">
        <v>6.6</v>
      </c>
      <c r="C903" s="3" t="s">
        <v>2335</v>
      </c>
      <c r="D903" s="3" t="n">
        <v>0</v>
      </c>
      <c r="E903" s="3" t="n">
        <v>5</v>
      </c>
      <c r="F903" s="3"/>
      <c r="G903" s="3" t="n">
        <v>0</v>
      </c>
      <c r="H903" s="3" t="n">
        <v>670</v>
      </c>
      <c r="I903" s="3" t="s">
        <v>22</v>
      </c>
      <c r="J903" s="3" t="n">
        <v>0</v>
      </c>
      <c r="K903" s="3" t="n">
        <v>0</v>
      </c>
      <c r="L903" s="3" t="n">
        <v>0</v>
      </c>
      <c r="M903" s="3" t="s">
        <v>127</v>
      </c>
      <c r="N903" s="3" t="n">
        <v>164.6</v>
      </c>
      <c r="O903" s="3" t="n">
        <v>-8.148</v>
      </c>
      <c r="P903" s="3" t="n">
        <v>-74.238</v>
      </c>
      <c r="Q903" s="3" t="s">
        <v>2336</v>
      </c>
      <c r="R903" s="3" t="s">
        <v>33</v>
      </c>
      <c r="S903" s="3" t="s">
        <v>199</v>
      </c>
    </row>
    <row r="904" customFormat="false" ht="13.8" hidden="false" customHeight="false" outlineLevel="0" collapsed="false">
      <c r="A904" s="3" t="s">
        <v>2337</v>
      </c>
      <c r="B904" s="3" t="n">
        <v>7</v>
      </c>
      <c r="C904" s="3" t="s">
        <v>2338</v>
      </c>
      <c r="D904" s="3" t="n">
        <v>0</v>
      </c>
      <c r="E904" s="3" t="n">
        <v>6</v>
      </c>
      <c r="F904" s="3"/>
      <c r="G904" s="3" t="n">
        <v>0</v>
      </c>
      <c r="H904" s="3" t="n">
        <v>754</v>
      </c>
      <c r="I904" s="3" t="s">
        <v>22</v>
      </c>
      <c r="J904" s="3" t="n">
        <v>0</v>
      </c>
      <c r="K904" s="3" t="n">
        <v>0</v>
      </c>
      <c r="L904" s="3" t="n">
        <v>0</v>
      </c>
      <c r="M904" s="3" t="s">
        <v>127</v>
      </c>
      <c r="N904" s="3" t="n">
        <v>55.7</v>
      </c>
      <c r="O904" s="3" t="n">
        <v>-0.544</v>
      </c>
      <c r="P904" s="3" t="n">
        <v>99.261</v>
      </c>
      <c r="Q904" s="3" t="s">
        <v>220</v>
      </c>
      <c r="R904" s="3"/>
      <c r="S904" s="3" t="s">
        <v>68</v>
      </c>
    </row>
    <row r="905" customFormat="false" ht="13.8" hidden="false" customHeight="false" outlineLevel="0" collapsed="false">
      <c r="A905" s="3" t="s">
        <v>2339</v>
      </c>
      <c r="B905" s="3" t="n">
        <v>6.6</v>
      </c>
      <c r="C905" s="3" t="s">
        <v>2340</v>
      </c>
      <c r="D905" s="3" t="n">
        <v>0</v>
      </c>
      <c r="E905" s="3" t="n">
        <v>8</v>
      </c>
      <c r="F905" s="3"/>
      <c r="G905" s="3" t="n">
        <v>0</v>
      </c>
      <c r="H905" s="3" t="n">
        <v>670</v>
      </c>
      <c r="I905" s="3" t="s">
        <v>22</v>
      </c>
      <c r="J905" s="3" t="n">
        <v>0</v>
      </c>
      <c r="K905" s="3" t="n">
        <v>0</v>
      </c>
      <c r="L905" s="3" t="n">
        <v>0</v>
      </c>
      <c r="M905" s="3" t="s">
        <v>127</v>
      </c>
      <c r="N905" s="3" t="n">
        <v>9</v>
      </c>
      <c r="O905" s="3" t="n">
        <v>30.154</v>
      </c>
      <c r="P905" s="3" t="n">
        <v>57.605</v>
      </c>
      <c r="Q905" s="3" t="s">
        <v>2341</v>
      </c>
      <c r="R905" s="3" t="s">
        <v>80</v>
      </c>
      <c r="S905" s="3" t="s">
        <v>660</v>
      </c>
    </row>
    <row r="906" customFormat="false" ht="13.8" hidden="false" customHeight="false" outlineLevel="0" collapsed="false">
      <c r="A906" s="3" t="s">
        <v>2342</v>
      </c>
      <c r="B906" s="3" t="n">
        <v>7.1</v>
      </c>
      <c r="C906" s="3" t="s">
        <v>2343</v>
      </c>
      <c r="D906" s="3" t="n">
        <v>0</v>
      </c>
      <c r="E906" s="3" t="n">
        <v>7</v>
      </c>
      <c r="F906" s="3"/>
      <c r="G906" s="3" t="n">
        <v>0</v>
      </c>
      <c r="H906" s="3" t="n">
        <v>776</v>
      </c>
      <c r="I906" s="3" t="s">
        <v>22</v>
      </c>
      <c r="J906" s="3" t="n">
        <v>0</v>
      </c>
      <c r="K906" s="3" t="n">
        <v>0</v>
      </c>
      <c r="L906" s="3" t="n">
        <v>0</v>
      </c>
      <c r="M906" s="3" t="s">
        <v>127</v>
      </c>
      <c r="N906" s="3" t="n">
        <v>42</v>
      </c>
      <c r="O906" s="3" t="n">
        <v>-23.913</v>
      </c>
      <c r="P906" s="3" t="n">
        <v>-70.207</v>
      </c>
      <c r="Q906" s="3" t="s">
        <v>1630</v>
      </c>
      <c r="R906" s="3" t="s">
        <v>33</v>
      </c>
      <c r="S906" s="3" t="s">
        <v>373</v>
      </c>
    </row>
    <row r="907" customFormat="false" ht="13.8" hidden="false" customHeight="false" outlineLevel="0" collapsed="false">
      <c r="A907" s="3" t="s">
        <v>2344</v>
      </c>
      <c r="B907" s="3" t="n">
        <v>6.7</v>
      </c>
      <c r="C907" s="3" t="s">
        <v>2345</v>
      </c>
      <c r="D907" s="3" t="n">
        <v>0</v>
      </c>
      <c r="E907" s="3" t="n">
        <v>6</v>
      </c>
      <c r="F907" s="3"/>
      <c r="G907" s="3" t="n">
        <v>0</v>
      </c>
      <c r="H907" s="3" t="n">
        <v>691</v>
      </c>
      <c r="I907" s="3" t="s">
        <v>22</v>
      </c>
      <c r="J907" s="3" t="n">
        <v>0</v>
      </c>
      <c r="K907" s="3" t="n">
        <v>0</v>
      </c>
      <c r="L907" s="3" t="n">
        <v>0</v>
      </c>
      <c r="M907" s="3" t="s">
        <v>127</v>
      </c>
      <c r="N907" s="3" t="n">
        <v>23.4</v>
      </c>
      <c r="O907" s="3" t="n">
        <v>-15.848</v>
      </c>
      <c r="P907" s="3" t="n">
        <v>-179.376</v>
      </c>
      <c r="Q907" s="3" t="s">
        <v>2346</v>
      </c>
      <c r="R907" s="3"/>
      <c r="S907" s="3" t="s">
        <v>146</v>
      </c>
    </row>
    <row r="908" customFormat="false" ht="13.8" hidden="false" customHeight="false" outlineLevel="0" collapsed="false">
      <c r="A908" s="3" t="s">
        <v>2347</v>
      </c>
      <c r="B908" s="3" t="n">
        <v>6.6</v>
      </c>
      <c r="C908" s="3" t="s">
        <v>2348</v>
      </c>
      <c r="D908" s="3" t="n">
        <v>0</v>
      </c>
      <c r="E908" s="3" t="n">
        <v>7</v>
      </c>
      <c r="F908" s="3"/>
      <c r="G908" s="3" t="n">
        <v>0</v>
      </c>
      <c r="H908" s="3" t="n">
        <v>670</v>
      </c>
      <c r="I908" s="3" t="s">
        <v>22</v>
      </c>
      <c r="J908" s="3" t="n">
        <v>0</v>
      </c>
      <c r="K908" s="3" t="n">
        <v>0</v>
      </c>
      <c r="L908" s="3" t="n">
        <v>0</v>
      </c>
      <c r="M908" s="3" t="s">
        <v>127</v>
      </c>
      <c r="N908" s="3" t="n">
        <v>34.8</v>
      </c>
      <c r="O908" s="3" t="n">
        <v>-30.985</v>
      </c>
      <c r="P908" s="3" t="n">
        <v>-71.41</v>
      </c>
      <c r="Q908" s="3" t="s">
        <v>893</v>
      </c>
      <c r="R908" s="3" t="s">
        <v>33</v>
      </c>
      <c r="S908" s="3" t="s">
        <v>373</v>
      </c>
    </row>
    <row r="909" customFormat="false" ht="13.8" hidden="false" customHeight="false" outlineLevel="0" collapsed="false">
      <c r="A909" s="3" t="s">
        <v>2349</v>
      </c>
      <c r="B909" s="3" t="n">
        <v>6.6</v>
      </c>
      <c r="C909" s="3" t="s">
        <v>2350</v>
      </c>
      <c r="D909" s="3" t="n">
        <v>0</v>
      </c>
      <c r="E909" s="3" t="n">
        <v>6</v>
      </c>
      <c r="F909" s="3"/>
      <c r="G909" s="3" t="n">
        <v>0</v>
      </c>
      <c r="H909" s="3" t="n">
        <v>670</v>
      </c>
      <c r="I909" s="3" t="s">
        <v>22</v>
      </c>
      <c r="J909" s="3" t="n">
        <v>0</v>
      </c>
      <c r="K909" s="3" t="n">
        <v>0</v>
      </c>
      <c r="L909" s="3" t="n">
        <v>0</v>
      </c>
      <c r="M909" s="3" t="s">
        <v>127</v>
      </c>
      <c r="N909" s="3" t="n">
        <v>33</v>
      </c>
      <c r="O909" s="3" t="n">
        <v>14.374</v>
      </c>
      <c r="P909" s="3" t="n">
        <v>-91.473</v>
      </c>
      <c r="Q909" s="3" t="s">
        <v>2351</v>
      </c>
      <c r="R909" s="3"/>
      <c r="S909" s="3" t="s">
        <v>703</v>
      </c>
    </row>
    <row r="910" customFormat="false" ht="13.8" hidden="false" customHeight="false" outlineLevel="0" collapsed="false">
      <c r="A910" s="3" t="s">
        <v>2352</v>
      </c>
      <c r="B910" s="3" t="n">
        <v>7.2</v>
      </c>
      <c r="C910" s="3" t="s">
        <v>2353</v>
      </c>
      <c r="D910" s="3" t="n">
        <v>0</v>
      </c>
      <c r="E910" s="3" t="n">
        <v>6</v>
      </c>
      <c r="F910" s="3"/>
      <c r="G910" s="3" t="n">
        <v>0</v>
      </c>
      <c r="H910" s="3" t="n">
        <v>798</v>
      </c>
      <c r="I910" s="3" t="s">
        <v>22</v>
      </c>
      <c r="J910" s="3" t="n">
        <v>0</v>
      </c>
      <c r="K910" s="3" t="n">
        <v>0</v>
      </c>
      <c r="L910" s="3" t="n">
        <v>0</v>
      </c>
      <c r="M910" s="3" t="s">
        <v>127</v>
      </c>
      <c r="N910" s="3" t="n">
        <v>179.3</v>
      </c>
      <c r="O910" s="3" t="n">
        <v>-5.495</v>
      </c>
      <c r="P910" s="3" t="n">
        <v>147.867</v>
      </c>
      <c r="Q910" s="3" t="s">
        <v>1011</v>
      </c>
      <c r="R910" s="3"/>
      <c r="S910" s="3" t="s">
        <v>85</v>
      </c>
    </row>
    <row r="911" customFormat="false" ht="13.8" hidden="false" customHeight="false" outlineLevel="0" collapsed="false">
      <c r="A911" s="3" t="s">
        <v>2354</v>
      </c>
      <c r="B911" s="3" t="n">
        <v>7.8</v>
      </c>
      <c r="C911" s="3" t="s">
        <v>2355</v>
      </c>
      <c r="D911" s="3" t="n">
        <v>0</v>
      </c>
      <c r="E911" s="3" t="n">
        <v>7</v>
      </c>
      <c r="F911" s="3"/>
      <c r="G911" s="3" t="n">
        <v>0</v>
      </c>
      <c r="H911" s="3" t="n">
        <v>936</v>
      </c>
      <c r="I911" s="3" t="s">
        <v>22</v>
      </c>
      <c r="J911" s="3" t="n">
        <v>0</v>
      </c>
      <c r="K911" s="3" t="n">
        <v>0</v>
      </c>
      <c r="L911" s="3" t="n">
        <v>0</v>
      </c>
      <c r="M911" s="3" t="s">
        <v>127</v>
      </c>
      <c r="N911" s="3" t="n">
        <v>33</v>
      </c>
      <c r="O911" s="3" t="n">
        <v>54.841</v>
      </c>
      <c r="P911" s="3" t="n">
        <v>162.035</v>
      </c>
      <c r="Q911" s="3" t="s">
        <v>334</v>
      </c>
      <c r="R911" s="3" t="s">
        <v>80</v>
      </c>
      <c r="S911" s="3" t="s">
        <v>428</v>
      </c>
    </row>
    <row r="912" customFormat="false" ht="13.8" hidden="false" customHeight="false" outlineLevel="0" collapsed="false">
      <c r="A912" s="3" t="s">
        <v>2356</v>
      </c>
      <c r="B912" s="3" t="n">
        <v>7</v>
      </c>
      <c r="C912" s="3" t="s">
        <v>2357</v>
      </c>
      <c r="D912" s="3" t="n">
        <v>0</v>
      </c>
      <c r="E912" s="3" t="n">
        <v>6</v>
      </c>
      <c r="F912" s="3"/>
      <c r="G912" s="3" t="n">
        <v>0</v>
      </c>
      <c r="H912" s="3" t="n">
        <v>754</v>
      </c>
      <c r="I912" s="3" t="s">
        <v>22</v>
      </c>
      <c r="J912" s="3" t="n">
        <v>0</v>
      </c>
      <c r="K912" s="3" t="n">
        <v>0</v>
      </c>
      <c r="L912" s="3" t="n">
        <v>0</v>
      </c>
      <c r="M912" s="3" t="s">
        <v>127</v>
      </c>
      <c r="N912" s="3" t="n">
        <v>24</v>
      </c>
      <c r="O912" s="3" t="n">
        <v>1.241</v>
      </c>
      <c r="P912" s="3" t="n">
        <v>122.536</v>
      </c>
      <c r="Q912" s="3" t="s">
        <v>1566</v>
      </c>
      <c r="R912" s="3"/>
      <c r="S912" s="3" t="s">
        <v>68</v>
      </c>
    </row>
    <row r="913" customFormat="false" ht="13.8" hidden="false" customHeight="false" outlineLevel="0" collapsed="false">
      <c r="A913" s="3" t="s">
        <v>2358</v>
      </c>
      <c r="B913" s="3" t="n">
        <v>6.6</v>
      </c>
      <c r="C913" s="3" t="s">
        <v>2359</v>
      </c>
      <c r="D913" s="3" t="n">
        <v>0</v>
      </c>
      <c r="E913" s="3" t="n">
        <v>7</v>
      </c>
      <c r="F913" s="3"/>
      <c r="G913" s="3" t="n">
        <v>0</v>
      </c>
      <c r="H913" s="3" t="n">
        <v>670</v>
      </c>
      <c r="I913" s="3" t="s">
        <v>22</v>
      </c>
      <c r="J913" s="3" t="n">
        <v>0</v>
      </c>
      <c r="K913" s="3" t="n">
        <v>0</v>
      </c>
      <c r="L913" s="3" t="n">
        <v>0</v>
      </c>
      <c r="M913" s="3" t="s">
        <v>127</v>
      </c>
      <c r="N913" s="3" t="n">
        <v>33</v>
      </c>
      <c r="O913" s="3" t="n">
        <v>37.57</v>
      </c>
      <c r="P913" s="3" t="n">
        <v>20.656</v>
      </c>
      <c r="Q913" s="3" t="s">
        <v>553</v>
      </c>
      <c r="R913" s="3" t="s">
        <v>361</v>
      </c>
      <c r="S913" s="3"/>
    </row>
    <row r="914" customFormat="false" ht="13.8" hidden="false" customHeight="false" outlineLevel="0" collapsed="false">
      <c r="A914" s="3" t="s">
        <v>2360</v>
      </c>
      <c r="B914" s="3" t="n">
        <v>7</v>
      </c>
      <c r="C914" s="3" t="s">
        <v>2361</v>
      </c>
      <c r="D914" s="3" t="n">
        <v>0</v>
      </c>
      <c r="E914" s="3" t="n">
        <v>6</v>
      </c>
      <c r="F914" s="3"/>
      <c r="G914" s="3" t="n">
        <v>0</v>
      </c>
      <c r="H914" s="3" t="n">
        <v>754</v>
      </c>
      <c r="I914" s="3" t="s">
        <v>22</v>
      </c>
      <c r="J914" s="3" t="n">
        <v>0</v>
      </c>
      <c r="K914" s="3" t="n">
        <v>0</v>
      </c>
      <c r="L914" s="3" t="n">
        <v>0</v>
      </c>
      <c r="M914" s="3" t="s">
        <v>127</v>
      </c>
      <c r="N914" s="3" t="n">
        <v>123.1</v>
      </c>
      <c r="O914" s="3" t="n">
        <v>-15.145</v>
      </c>
      <c r="P914" s="3" t="n">
        <v>167.375</v>
      </c>
      <c r="Q914" s="3" t="s">
        <v>104</v>
      </c>
      <c r="R914" s="3"/>
      <c r="S914" s="3" t="s">
        <v>25</v>
      </c>
    </row>
    <row r="915" customFormat="false" ht="13.8" hidden="false" customHeight="false" outlineLevel="0" collapsed="false">
      <c r="A915" s="3" t="s">
        <v>2362</v>
      </c>
      <c r="B915" s="3" t="n">
        <v>6.5</v>
      </c>
      <c r="C915" s="3" t="s">
        <v>2363</v>
      </c>
      <c r="D915" s="3" t="n">
        <v>0</v>
      </c>
      <c r="E915" s="3" t="n">
        <v>4</v>
      </c>
      <c r="F915" s="3"/>
      <c r="G915" s="3" t="n">
        <v>0</v>
      </c>
      <c r="H915" s="3" t="n">
        <v>650</v>
      </c>
      <c r="I915" s="3" t="s">
        <v>22</v>
      </c>
      <c r="J915" s="3" t="n">
        <v>0</v>
      </c>
      <c r="K915" s="3" t="n">
        <v>0</v>
      </c>
      <c r="L915" s="3" t="n">
        <v>0</v>
      </c>
      <c r="M915" s="3" t="s">
        <v>154</v>
      </c>
      <c r="N915" s="3" t="n">
        <v>176.4</v>
      </c>
      <c r="O915" s="3" t="n">
        <v>13.849</v>
      </c>
      <c r="P915" s="3" t="n">
        <v>-88.808</v>
      </c>
      <c r="Q915" s="3" t="s">
        <v>2364</v>
      </c>
      <c r="R915" s="3"/>
      <c r="S915" s="3" t="s">
        <v>2112</v>
      </c>
    </row>
    <row r="916" customFormat="false" ht="13.8" hidden="false" customHeight="false" outlineLevel="0" collapsed="false">
      <c r="A916" s="3" t="s">
        <v>2365</v>
      </c>
      <c r="B916" s="3" t="n">
        <v>7.5</v>
      </c>
      <c r="C916" s="3" t="s">
        <v>2366</v>
      </c>
      <c r="D916" s="3" t="n">
        <v>0</v>
      </c>
      <c r="E916" s="3" t="n">
        <v>7</v>
      </c>
      <c r="F916" s="3"/>
      <c r="G916" s="3" t="n">
        <v>0</v>
      </c>
      <c r="H916" s="3" t="n">
        <v>865</v>
      </c>
      <c r="I916" s="3" t="s">
        <v>22</v>
      </c>
      <c r="J916" s="3" t="n">
        <v>0</v>
      </c>
      <c r="K916" s="3" t="n">
        <v>0</v>
      </c>
      <c r="L916" s="3" t="n">
        <v>0</v>
      </c>
      <c r="M916" s="3" t="s">
        <v>127</v>
      </c>
      <c r="N916" s="3" t="n">
        <v>33</v>
      </c>
      <c r="O916" s="3" t="n">
        <v>35.069</v>
      </c>
      <c r="P916" s="3" t="n">
        <v>87.325</v>
      </c>
      <c r="Q916" s="3" t="s">
        <v>2367</v>
      </c>
      <c r="R916" s="3" t="s">
        <v>80</v>
      </c>
      <c r="S916" s="3" t="s">
        <v>184</v>
      </c>
    </row>
    <row r="917" customFormat="false" ht="13.8" hidden="false" customHeight="false" outlineLevel="0" collapsed="false">
      <c r="A917" s="3" t="s">
        <v>2368</v>
      </c>
      <c r="B917" s="3" t="n">
        <v>7.2</v>
      </c>
      <c r="C917" s="3" t="s">
        <v>2369</v>
      </c>
      <c r="D917" s="3" t="n">
        <v>0</v>
      </c>
      <c r="E917" s="3" t="n">
        <v>7</v>
      </c>
      <c r="F917" s="3"/>
      <c r="G917" s="3" t="n">
        <v>0</v>
      </c>
      <c r="H917" s="3" t="n">
        <v>798</v>
      </c>
      <c r="I917" s="3" t="s">
        <v>22</v>
      </c>
      <c r="J917" s="3" t="n">
        <v>0</v>
      </c>
      <c r="K917" s="3" t="n">
        <v>0</v>
      </c>
      <c r="L917" s="3" t="n">
        <v>0</v>
      </c>
      <c r="M917" s="3" t="s">
        <v>127</v>
      </c>
      <c r="N917" s="3" t="n">
        <v>112</v>
      </c>
      <c r="O917" s="3" t="n">
        <v>-4.368</v>
      </c>
      <c r="P917" s="3" t="n">
        <v>-76.681</v>
      </c>
      <c r="Q917" s="3" t="s">
        <v>226</v>
      </c>
      <c r="R917" s="3" t="s">
        <v>33</v>
      </c>
      <c r="S917" s="3" t="s">
        <v>199</v>
      </c>
    </row>
    <row r="918" customFormat="false" ht="13.8" hidden="false" customHeight="false" outlineLevel="0" collapsed="false">
      <c r="A918" s="3" t="s">
        <v>2370</v>
      </c>
      <c r="B918" s="3" t="n">
        <v>7.1</v>
      </c>
      <c r="C918" s="3" t="s">
        <v>2371</v>
      </c>
      <c r="D918" s="3" t="n">
        <v>0</v>
      </c>
      <c r="E918" s="3" t="n">
        <v>7</v>
      </c>
      <c r="F918" s="3"/>
      <c r="G918" s="3" t="n">
        <v>0</v>
      </c>
      <c r="H918" s="3" t="n">
        <v>776</v>
      </c>
      <c r="I918" s="3" t="s">
        <v>22</v>
      </c>
      <c r="J918" s="3" t="n">
        <v>0</v>
      </c>
      <c r="K918" s="3" t="n">
        <v>0</v>
      </c>
      <c r="L918" s="3" t="n">
        <v>0</v>
      </c>
      <c r="M918" s="3" t="s">
        <v>127</v>
      </c>
      <c r="N918" s="3" t="n">
        <v>58</v>
      </c>
      <c r="O918" s="3" t="n">
        <v>-30.933</v>
      </c>
      <c r="P918" s="3" t="n">
        <v>-71.22</v>
      </c>
      <c r="Q918" s="3" t="s">
        <v>2025</v>
      </c>
      <c r="R918" s="3" t="s">
        <v>33</v>
      </c>
      <c r="S918" s="3" t="s">
        <v>373</v>
      </c>
    </row>
    <row r="919" customFormat="false" ht="13.8" hidden="false" customHeight="false" outlineLevel="0" collapsed="false">
      <c r="A919" s="3" t="s">
        <v>2372</v>
      </c>
      <c r="B919" s="3" t="n">
        <v>7.8</v>
      </c>
      <c r="C919" s="3" t="s">
        <v>2373</v>
      </c>
      <c r="D919" s="3" t="n">
        <v>0</v>
      </c>
      <c r="E919" s="3" t="n">
        <v>7</v>
      </c>
      <c r="F919" s="3"/>
      <c r="G919" s="3" t="n">
        <v>0</v>
      </c>
      <c r="H919" s="3" t="n">
        <v>936</v>
      </c>
      <c r="I919" s="3" t="s">
        <v>22</v>
      </c>
      <c r="J919" s="3" t="n">
        <v>0</v>
      </c>
      <c r="K919" s="3" t="n">
        <v>0</v>
      </c>
      <c r="L919" s="3" t="n">
        <v>0</v>
      </c>
      <c r="M919" s="3" t="s">
        <v>154</v>
      </c>
      <c r="N919" s="3" t="n">
        <v>167.3</v>
      </c>
      <c r="O919" s="3" t="n">
        <v>-22.101</v>
      </c>
      <c r="P919" s="3" t="n">
        <v>-176.772</v>
      </c>
      <c r="Q919" s="3" t="s">
        <v>325</v>
      </c>
      <c r="R919" s="3"/>
      <c r="S919" s="3"/>
    </row>
    <row r="920" customFormat="false" ht="13.8" hidden="false" customHeight="false" outlineLevel="0" collapsed="false">
      <c r="A920" s="3" t="s">
        <v>2374</v>
      </c>
      <c r="B920" s="3" t="n">
        <v>6.5</v>
      </c>
      <c r="C920" s="3" t="s">
        <v>2375</v>
      </c>
      <c r="D920" s="3" t="n">
        <v>0</v>
      </c>
      <c r="E920" s="3" t="n">
        <v>5</v>
      </c>
      <c r="F920" s="3"/>
      <c r="G920" s="3" t="n">
        <v>0</v>
      </c>
      <c r="H920" s="3" t="n">
        <v>650</v>
      </c>
      <c r="I920" s="3" t="s">
        <v>22</v>
      </c>
      <c r="J920" s="3" t="n">
        <v>0</v>
      </c>
      <c r="K920" s="3" t="n">
        <v>0</v>
      </c>
      <c r="L920" s="3" t="n">
        <v>0</v>
      </c>
      <c r="M920" s="3" t="s">
        <v>154</v>
      </c>
      <c r="N920" s="3" t="n">
        <v>105.6</v>
      </c>
      <c r="O920" s="3" t="n">
        <v>9.79</v>
      </c>
      <c r="P920" s="3" t="n">
        <v>125.779</v>
      </c>
      <c r="Q920" s="3" t="s">
        <v>1889</v>
      </c>
      <c r="R920" s="3"/>
      <c r="S920" s="3" t="s">
        <v>191</v>
      </c>
    </row>
    <row r="921" customFormat="false" ht="13.8" hidden="false" customHeight="false" outlineLevel="0" collapsed="false">
      <c r="A921" s="3" t="s">
        <v>2376</v>
      </c>
      <c r="B921" s="3" t="n">
        <v>6.8</v>
      </c>
      <c r="C921" s="3" t="s">
        <v>2377</v>
      </c>
      <c r="D921" s="3" t="n">
        <v>0</v>
      </c>
      <c r="E921" s="3" t="n">
        <v>5</v>
      </c>
      <c r="F921" s="3"/>
      <c r="G921" s="3" t="n">
        <v>0</v>
      </c>
      <c r="H921" s="3" t="n">
        <v>711</v>
      </c>
      <c r="I921" s="3" t="s">
        <v>22</v>
      </c>
      <c r="J921" s="3" t="n">
        <v>0</v>
      </c>
      <c r="K921" s="3" t="n">
        <v>0</v>
      </c>
      <c r="L921" s="3" t="n">
        <v>0</v>
      </c>
      <c r="M921" s="3" t="s">
        <v>154</v>
      </c>
      <c r="N921" s="3" t="n">
        <v>198.7</v>
      </c>
      <c r="O921" s="3" t="n">
        <v>3.849</v>
      </c>
      <c r="P921" s="3" t="n">
        <v>-75.749</v>
      </c>
      <c r="Q921" s="3" t="s">
        <v>2378</v>
      </c>
      <c r="R921" s="3" t="s">
        <v>33</v>
      </c>
      <c r="S921" s="3" t="s">
        <v>54</v>
      </c>
    </row>
    <row r="922" customFormat="false" ht="13.8" hidden="false" customHeight="false" outlineLevel="0" collapsed="false">
      <c r="A922" s="3" t="s">
        <v>2379</v>
      </c>
      <c r="B922" s="3" t="n">
        <v>6.6</v>
      </c>
      <c r="C922" s="3" t="s">
        <v>2380</v>
      </c>
      <c r="D922" s="3" t="n">
        <v>0</v>
      </c>
      <c r="E922" s="3" t="n">
        <v>6</v>
      </c>
      <c r="F922" s="3"/>
      <c r="G922" s="3" t="n">
        <v>0</v>
      </c>
      <c r="H922" s="3" t="n">
        <v>670</v>
      </c>
      <c r="I922" s="3" t="s">
        <v>22</v>
      </c>
      <c r="J922" s="3" t="n">
        <v>0</v>
      </c>
      <c r="K922" s="3" t="n">
        <v>0</v>
      </c>
      <c r="L922" s="3" t="n">
        <v>0</v>
      </c>
      <c r="M922" s="3" t="s">
        <v>127</v>
      </c>
      <c r="N922" s="3" t="n">
        <v>22.8</v>
      </c>
      <c r="O922" s="3" t="n">
        <v>-3.562</v>
      </c>
      <c r="P922" s="3" t="n">
        <v>144.362</v>
      </c>
      <c r="Q922" s="3" t="s">
        <v>663</v>
      </c>
      <c r="R922" s="3"/>
      <c r="S922" s="3" t="s">
        <v>85</v>
      </c>
    </row>
    <row r="923" customFormat="false" ht="13.8" hidden="false" customHeight="false" outlineLevel="0" collapsed="false">
      <c r="A923" s="3" t="s">
        <v>2381</v>
      </c>
      <c r="B923" s="3" t="n">
        <v>6.9</v>
      </c>
      <c r="C923" s="3" t="s">
        <v>2382</v>
      </c>
      <c r="D923" s="3" t="n">
        <v>0</v>
      </c>
      <c r="E923" s="3" t="n">
        <v>6</v>
      </c>
      <c r="F923" s="3"/>
      <c r="G923" s="3" t="n">
        <v>0</v>
      </c>
      <c r="H923" s="3" t="n">
        <v>732</v>
      </c>
      <c r="I923" s="3" t="s">
        <v>22</v>
      </c>
      <c r="J923" s="3" t="n">
        <v>0</v>
      </c>
      <c r="K923" s="3" t="n">
        <v>0</v>
      </c>
      <c r="L923" s="3" t="n">
        <v>0</v>
      </c>
      <c r="M923" s="3" t="s">
        <v>154</v>
      </c>
      <c r="N923" s="3" t="n">
        <v>33</v>
      </c>
      <c r="O923" s="3" t="n">
        <v>16.333</v>
      </c>
      <c r="P923" s="3" t="n">
        <v>-98.216</v>
      </c>
      <c r="Q923" s="3" t="s">
        <v>2383</v>
      </c>
      <c r="R923" s="3" t="s">
        <v>164</v>
      </c>
      <c r="S923" s="3" t="s">
        <v>165</v>
      </c>
    </row>
    <row r="924" customFormat="false" ht="13.8" hidden="false" customHeight="false" outlineLevel="0" collapsed="false">
      <c r="A924" s="3" t="s">
        <v>2384</v>
      </c>
      <c r="B924" s="3" t="n">
        <v>7</v>
      </c>
      <c r="C924" s="3" t="s">
        <v>2385</v>
      </c>
      <c r="D924" s="3" t="n">
        <v>0</v>
      </c>
      <c r="E924" s="3" t="n">
        <v>8</v>
      </c>
      <c r="F924" s="3"/>
      <c r="G924" s="3" t="n">
        <v>0</v>
      </c>
      <c r="H924" s="3" t="n">
        <v>754</v>
      </c>
      <c r="I924" s="3" t="s">
        <v>22</v>
      </c>
      <c r="J924" s="3" t="n">
        <v>0</v>
      </c>
      <c r="K924" s="3" t="n">
        <v>0</v>
      </c>
      <c r="L924" s="3" t="n">
        <v>0</v>
      </c>
      <c r="M924" s="3" t="s">
        <v>127</v>
      </c>
      <c r="N924" s="3" t="n">
        <v>19.9</v>
      </c>
      <c r="O924" s="3" t="n">
        <v>10.598</v>
      </c>
      <c r="P924" s="3" t="n">
        <v>-63.486</v>
      </c>
      <c r="Q924" s="3" t="s">
        <v>596</v>
      </c>
      <c r="R924" s="3"/>
      <c r="S924" s="3" t="s">
        <v>597</v>
      </c>
    </row>
    <row r="925" customFormat="false" ht="13.8" hidden="false" customHeight="false" outlineLevel="0" collapsed="false">
      <c r="A925" s="3" t="s">
        <v>2386</v>
      </c>
      <c r="B925" s="3" t="n">
        <v>6.8</v>
      </c>
      <c r="C925" s="3" t="s">
        <v>2387</v>
      </c>
      <c r="D925" s="3" t="n">
        <v>0</v>
      </c>
      <c r="E925" s="3" t="n">
        <v>6</v>
      </c>
      <c r="F925" s="3"/>
      <c r="G925" s="3" t="n">
        <v>0</v>
      </c>
      <c r="H925" s="3" t="n">
        <v>711</v>
      </c>
      <c r="I925" s="3" t="s">
        <v>22</v>
      </c>
      <c r="J925" s="3" t="n">
        <v>0</v>
      </c>
      <c r="K925" s="3" t="n">
        <v>0</v>
      </c>
      <c r="L925" s="3" t="n">
        <v>0</v>
      </c>
      <c r="M925" s="3" t="s">
        <v>127</v>
      </c>
      <c r="N925" s="3" t="n">
        <v>19</v>
      </c>
      <c r="O925" s="3" t="n">
        <v>-30.058</v>
      </c>
      <c r="P925" s="3" t="n">
        <v>-71.872</v>
      </c>
      <c r="Q925" s="3" t="s">
        <v>523</v>
      </c>
      <c r="R925" s="3"/>
      <c r="S925" s="3"/>
    </row>
    <row r="926" customFormat="false" ht="13.8" hidden="false" customHeight="false" outlineLevel="0" collapsed="false">
      <c r="A926" s="3" t="s">
        <v>2388</v>
      </c>
      <c r="B926" s="3" t="n">
        <v>6.5</v>
      </c>
      <c r="C926" s="3" t="s">
        <v>2389</v>
      </c>
      <c r="D926" s="3" t="n">
        <v>0</v>
      </c>
      <c r="E926" s="3" t="n">
        <v>6</v>
      </c>
      <c r="F926" s="3"/>
      <c r="G926" s="3" t="n">
        <v>0</v>
      </c>
      <c r="H926" s="3" t="n">
        <v>650</v>
      </c>
      <c r="I926" s="3" t="s">
        <v>22</v>
      </c>
      <c r="J926" s="3" t="n">
        <v>0</v>
      </c>
      <c r="K926" s="3" t="n">
        <v>0</v>
      </c>
      <c r="L926" s="3" t="n">
        <v>0</v>
      </c>
      <c r="M926" s="3" t="s">
        <v>127</v>
      </c>
      <c r="N926" s="3" t="n">
        <v>70</v>
      </c>
      <c r="O926" s="3" t="n">
        <v>18.684</v>
      </c>
      <c r="P926" s="3" t="n">
        <v>-101.604</v>
      </c>
      <c r="Q926" s="3" t="s">
        <v>2390</v>
      </c>
      <c r="R926" s="3" t="s">
        <v>164</v>
      </c>
      <c r="S926" s="3" t="s">
        <v>165</v>
      </c>
    </row>
    <row r="927" customFormat="false" ht="13.8" hidden="false" customHeight="false" outlineLevel="0" collapsed="false">
      <c r="A927" s="3" t="s">
        <v>2391</v>
      </c>
      <c r="B927" s="3" t="n">
        <v>6.8</v>
      </c>
      <c r="C927" s="3" t="s">
        <v>2392</v>
      </c>
      <c r="D927" s="3" t="n">
        <v>0</v>
      </c>
      <c r="E927" s="3" t="n">
        <v>6</v>
      </c>
      <c r="F927" s="3"/>
      <c r="G927" s="3" t="n">
        <v>0</v>
      </c>
      <c r="H927" s="3" t="n">
        <v>711</v>
      </c>
      <c r="I927" s="3" t="s">
        <v>22</v>
      </c>
      <c r="J927" s="3" t="n">
        <v>0</v>
      </c>
      <c r="K927" s="3" t="n">
        <v>0</v>
      </c>
      <c r="L927" s="3" t="n">
        <v>0</v>
      </c>
      <c r="M927" s="3" t="s">
        <v>127</v>
      </c>
      <c r="N927" s="3" t="n">
        <v>57</v>
      </c>
      <c r="O927" s="3" t="n">
        <v>-20.438</v>
      </c>
      <c r="P927" s="3" t="n">
        <v>169.287</v>
      </c>
      <c r="Q927" s="3" t="s">
        <v>177</v>
      </c>
      <c r="R927" s="3"/>
      <c r="S927" s="3"/>
    </row>
    <row r="928" customFormat="false" ht="13.8" hidden="false" customHeight="false" outlineLevel="0" collapsed="false">
      <c r="A928" s="3" t="s">
        <v>2393</v>
      </c>
      <c r="B928" s="3" t="n">
        <v>6.5</v>
      </c>
      <c r="C928" s="3" t="s">
        <v>2394</v>
      </c>
      <c r="D928" s="3" t="n">
        <v>0</v>
      </c>
      <c r="E928" s="3" t="n">
        <v>4</v>
      </c>
      <c r="F928" s="3"/>
      <c r="G928" s="3" t="n">
        <v>0</v>
      </c>
      <c r="H928" s="3" t="n">
        <v>650</v>
      </c>
      <c r="I928" s="3" t="s">
        <v>22</v>
      </c>
      <c r="J928" s="3" t="n">
        <v>0</v>
      </c>
      <c r="K928" s="3" t="n">
        <v>0</v>
      </c>
      <c r="L928" s="3" t="n">
        <v>0</v>
      </c>
      <c r="M928" s="3" t="s">
        <v>154</v>
      </c>
      <c r="N928" s="3" t="n">
        <v>196</v>
      </c>
      <c r="O928" s="3" t="n">
        <v>36.411</v>
      </c>
      <c r="P928" s="3" t="n">
        <v>70.945</v>
      </c>
      <c r="Q928" s="3" t="s">
        <v>91</v>
      </c>
      <c r="R928" s="3" t="s">
        <v>80</v>
      </c>
      <c r="S928" s="3" t="s">
        <v>92</v>
      </c>
    </row>
    <row r="929" customFormat="false" ht="13.8" hidden="false" customHeight="false" outlineLevel="0" collapsed="false">
      <c r="A929" s="3" t="s">
        <v>2395</v>
      </c>
      <c r="B929" s="3" t="n">
        <v>7.3</v>
      </c>
      <c r="C929" s="3" t="s">
        <v>2396</v>
      </c>
      <c r="D929" s="3" t="n">
        <v>0</v>
      </c>
      <c r="E929" s="3" t="n">
        <v>9</v>
      </c>
      <c r="F929" s="3"/>
      <c r="G929" s="3" t="n">
        <v>0</v>
      </c>
      <c r="H929" s="3" t="n">
        <v>820</v>
      </c>
      <c r="I929" s="3" t="s">
        <v>22</v>
      </c>
      <c r="J929" s="3" t="n">
        <v>0</v>
      </c>
      <c r="K929" s="3" t="n">
        <v>0</v>
      </c>
      <c r="L929" s="3" t="n">
        <v>0</v>
      </c>
      <c r="M929" s="3" t="s">
        <v>154</v>
      </c>
      <c r="N929" s="3" t="n">
        <v>10</v>
      </c>
      <c r="O929" s="3" t="n">
        <v>33.825</v>
      </c>
      <c r="P929" s="3" t="n">
        <v>59.809</v>
      </c>
      <c r="Q929" s="3" t="s">
        <v>2397</v>
      </c>
      <c r="R929" s="3" t="s">
        <v>80</v>
      </c>
      <c r="S929" s="3" t="s">
        <v>660</v>
      </c>
    </row>
    <row r="930" customFormat="false" ht="13.8" hidden="false" customHeight="false" outlineLevel="0" collapsed="false">
      <c r="A930" s="3" t="s">
        <v>2398</v>
      </c>
      <c r="B930" s="3" t="n">
        <v>6.5</v>
      </c>
      <c r="C930" s="3" t="s">
        <v>2399</v>
      </c>
      <c r="D930" s="3" t="n">
        <v>0</v>
      </c>
      <c r="E930" s="3" t="n">
        <v>6</v>
      </c>
      <c r="F930" s="3"/>
      <c r="G930" s="3" t="n">
        <v>0</v>
      </c>
      <c r="H930" s="3" t="n">
        <v>650</v>
      </c>
      <c r="I930" s="3" t="s">
        <v>22</v>
      </c>
      <c r="J930" s="3" t="n">
        <v>0</v>
      </c>
      <c r="K930" s="3" t="n">
        <v>0</v>
      </c>
      <c r="L930" s="3" t="n">
        <v>0</v>
      </c>
      <c r="M930" s="3" t="s">
        <v>127</v>
      </c>
      <c r="N930" s="3" t="n">
        <v>100.8</v>
      </c>
      <c r="O930" s="3" t="n">
        <v>13.986</v>
      </c>
      <c r="P930" s="3" t="n">
        <v>144.901</v>
      </c>
      <c r="Q930" s="3" t="s">
        <v>2400</v>
      </c>
      <c r="R930" s="3"/>
      <c r="S930" s="3"/>
    </row>
    <row r="931" customFormat="false" ht="13.8" hidden="false" customHeight="false" outlineLevel="0" collapsed="false">
      <c r="A931" s="3" t="s">
        <v>2401</v>
      </c>
      <c r="B931" s="3" t="n">
        <v>6.7</v>
      </c>
      <c r="C931" s="3" t="s">
        <v>2402</v>
      </c>
      <c r="D931" s="3" t="n">
        <v>0</v>
      </c>
      <c r="E931" s="3" t="n">
        <v>7</v>
      </c>
      <c r="F931" s="3"/>
      <c r="G931" s="3" t="n">
        <v>0</v>
      </c>
      <c r="H931" s="3" t="n">
        <v>691</v>
      </c>
      <c r="I931" s="3" t="s">
        <v>22</v>
      </c>
      <c r="J931" s="3" t="n">
        <v>0</v>
      </c>
      <c r="K931" s="3" t="n">
        <v>0</v>
      </c>
      <c r="L931" s="3" t="n">
        <v>0</v>
      </c>
      <c r="M931" s="3" t="s">
        <v>154</v>
      </c>
      <c r="N931" s="3" t="n">
        <v>5</v>
      </c>
      <c r="O931" s="3" t="n">
        <v>11.112</v>
      </c>
      <c r="P931" s="3" t="n">
        <v>-60.892</v>
      </c>
      <c r="Q931" s="3" t="s">
        <v>2403</v>
      </c>
      <c r="R931" s="3"/>
      <c r="S931" s="3" t="s">
        <v>2404</v>
      </c>
    </row>
    <row r="932" customFormat="false" ht="13.8" hidden="false" customHeight="false" outlineLevel="0" collapsed="false">
      <c r="A932" s="3" t="s">
        <v>2405</v>
      </c>
      <c r="B932" s="3" t="n">
        <v>7.7</v>
      </c>
      <c r="C932" s="3" t="s">
        <v>2406</v>
      </c>
      <c r="D932" s="3" t="n">
        <v>0</v>
      </c>
      <c r="E932" s="3" t="n">
        <v>6</v>
      </c>
      <c r="F932" s="3"/>
      <c r="G932" s="3" t="n">
        <v>0</v>
      </c>
      <c r="H932" s="3" t="n">
        <v>912</v>
      </c>
      <c r="I932" s="3" t="s">
        <v>22</v>
      </c>
      <c r="J932" s="3" t="n">
        <v>0</v>
      </c>
      <c r="K932" s="3" t="n">
        <v>0</v>
      </c>
      <c r="L932" s="3" t="n">
        <v>0</v>
      </c>
      <c r="M932" s="3" t="s">
        <v>127</v>
      </c>
      <c r="N932" s="3" t="n">
        <v>33</v>
      </c>
      <c r="O932" s="3" t="n">
        <v>-12.584</v>
      </c>
      <c r="P932" s="3" t="n">
        <v>166.676</v>
      </c>
      <c r="Q932" s="3" t="s">
        <v>24</v>
      </c>
      <c r="R932" s="3"/>
      <c r="S932" s="3"/>
    </row>
    <row r="933" customFormat="false" ht="13.8" hidden="false" customHeight="false" outlineLevel="0" collapsed="false">
      <c r="A933" s="3" t="s">
        <v>2407</v>
      </c>
      <c r="B933" s="3" t="n">
        <v>6.5</v>
      </c>
      <c r="C933" s="3" t="s">
        <v>2408</v>
      </c>
      <c r="D933" s="3" t="n">
        <v>0</v>
      </c>
      <c r="E933" s="3" t="n">
        <v>6</v>
      </c>
      <c r="F933" s="3"/>
      <c r="G933" s="3" t="n">
        <v>0</v>
      </c>
      <c r="H933" s="3" t="n">
        <v>650</v>
      </c>
      <c r="I933" s="3" t="s">
        <v>22</v>
      </c>
      <c r="J933" s="3" t="n">
        <v>0</v>
      </c>
      <c r="K933" s="3" t="n">
        <v>0</v>
      </c>
      <c r="L933" s="3" t="n">
        <v>0</v>
      </c>
      <c r="M933" s="3" t="s">
        <v>127</v>
      </c>
      <c r="N933" s="3" t="n">
        <v>69.1</v>
      </c>
      <c r="O933" s="3" t="n">
        <v>-6.485</v>
      </c>
      <c r="P933" s="3" t="n">
        <v>147.408</v>
      </c>
      <c r="Q933" s="3" t="s">
        <v>1011</v>
      </c>
      <c r="R933" s="3"/>
      <c r="S933" s="3" t="s">
        <v>85</v>
      </c>
    </row>
    <row r="934" customFormat="false" ht="13.8" hidden="false" customHeight="false" outlineLevel="0" collapsed="false">
      <c r="A934" s="3" t="s">
        <v>2409</v>
      </c>
      <c r="B934" s="3" t="n">
        <v>6.9</v>
      </c>
      <c r="C934" s="3" t="s">
        <v>2410</v>
      </c>
      <c r="D934" s="3" t="n">
        <v>0</v>
      </c>
      <c r="E934" s="3" t="n">
        <v>5</v>
      </c>
      <c r="F934" s="3"/>
      <c r="G934" s="3" t="n">
        <v>0</v>
      </c>
      <c r="H934" s="3" t="n">
        <v>732</v>
      </c>
      <c r="I934" s="3" t="s">
        <v>22</v>
      </c>
      <c r="J934" s="3" t="n">
        <v>0</v>
      </c>
      <c r="K934" s="3" t="n">
        <v>0</v>
      </c>
      <c r="L934" s="3" t="n">
        <v>0</v>
      </c>
      <c r="M934" s="3" t="s">
        <v>154</v>
      </c>
      <c r="N934" s="3" t="n">
        <v>10</v>
      </c>
      <c r="O934" s="3" t="n">
        <v>7.742</v>
      </c>
      <c r="P934" s="3" t="n">
        <v>127.647</v>
      </c>
      <c r="Q934" s="3" t="s">
        <v>2411</v>
      </c>
      <c r="R934" s="3"/>
      <c r="S934" s="3"/>
    </row>
    <row r="935" customFormat="false" ht="13.8" hidden="false" customHeight="false" outlineLevel="0" collapsed="false">
      <c r="A935" s="3" t="s">
        <v>2412</v>
      </c>
      <c r="B935" s="3" t="n">
        <v>7.1</v>
      </c>
      <c r="C935" s="3" t="s">
        <v>2413</v>
      </c>
      <c r="D935" s="3" t="n">
        <v>0</v>
      </c>
      <c r="E935" s="3" t="n">
        <v>6</v>
      </c>
      <c r="F935" s="3"/>
      <c r="G935" s="3" t="n">
        <v>0</v>
      </c>
      <c r="H935" s="3" t="n">
        <v>776</v>
      </c>
      <c r="I935" s="3" t="s">
        <v>22</v>
      </c>
      <c r="J935" s="3" t="n">
        <v>0</v>
      </c>
      <c r="K935" s="3" t="n">
        <v>0</v>
      </c>
      <c r="L935" s="3" t="n">
        <v>0</v>
      </c>
      <c r="M935" s="3" t="s">
        <v>127</v>
      </c>
      <c r="N935" s="3" t="n">
        <v>33</v>
      </c>
      <c r="O935" s="3" t="n">
        <v>29.976</v>
      </c>
      <c r="P935" s="3" t="n">
        <v>68.208</v>
      </c>
      <c r="Q935" s="3" t="s">
        <v>2414</v>
      </c>
      <c r="R935" s="3" t="s">
        <v>80</v>
      </c>
      <c r="S935" s="3" t="s">
        <v>1134</v>
      </c>
    </row>
    <row r="936" customFormat="false" ht="13.8" hidden="false" customHeight="false" outlineLevel="0" collapsed="false">
      <c r="A936" s="3" t="s">
        <v>2415</v>
      </c>
      <c r="B936" s="3" t="n">
        <v>6.5</v>
      </c>
      <c r="C936" s="3" t="s">
        <v>2416</v>
      </c>
      <c r="D936" s="3" t="n">
        <v>0</v>
      </c>
      <c r="E936" s="3" t="n">
        <v>8</v>
      </c>
      <c r="F936" s="3"/>
      <c r="G936" s="3" t="n">
        <v>0</v>
      </c>
      <c r="H936" s="3" t="n">
        <v>650</v>
      </c>
      <c r="I936" s="3" t="s">
        <v>22</v>
      </c>
      <c r="J936" s="3" t="n">
        <v>0</v>
      </c>
      <c r="K936" s="3" t="n">
        <v>0</v>
      </c>
      <c r="L936" s="3" t="n">
        <v>0</v>
      </c>
      <c r="M936" s="3" t="s">
        <v>127</v>
      </c>
      <c r="N936" s="3" t="n">
        <v>10</v>
      </c>
      <c r="O936" s="3" t="n">
        <v>37.661</v>
      </c>
      <c r="P936" s="3" t="n">
        <v>57.291</v>
      </c>
      <c r="Q936" s="3" t="s">
        <v>2417</v>
      </c>
      <c r="R936" s="3" t="s">
        <v>80</v>
      </c>
      <c r="S936" s="3" t="s">
        <v>660</v>
      </c>
    </row>
    <row r="937" customFormat="false" ht="13.8" hidden="false" customHeight="false" outlineLevel="0" collapsed="false">
      <c r="A937" s="3" t="s">
        <v>2418</v>
      </c>
      <c r="B937" s="3" t="n">
        <v>7.2</v>
      </c>
      <c r="C937" s="3" t="s">
        <v>2419</v>
      </c>
      <c r="D937" s="3" t="n">
        <v>0</v>
      </c>
      <c r="E937" s="3" t="n">
        <v>7</v>
      </c>
      <c r="F937" s="3"/>
      <c r="G937" s="3" t="n">
        <v>0</v>
      </c>
      <c r="H937" s="3" t="n">
        <v>798</v>
      </c>
      <c r="I937" s="3" t="s">
        <v>22</v>
      </c>
      <c r="J937" s="3" t="n">
        <v>0</v>
      </c>
      <c r="K937" s="3" t="n">
        <v>0</v>
      </c>
      <c r="L937" s="3" t="n">
        <v>0</v>
      </c>
      <c r="M937" s="3" t="s">
        <v>154</v>
      </c>
      <c r="N937" s="3" t="n">
        <v>33</v>
      </c>
      <c r="O937" s="3" t="n">
        <v>18.219</v>
      </c>
      <c r="P937" s="3" t="n">
        <v>-102.756</v>
      </c>
      <c r="Q937" s="3" t="s">
        <v>1287</v>
      </c>
      <c r="R937" s="3" t="s">
        <v>164</v>
      </c>
      <c r="S937" s="3" t="s">
        <v>165</v>
      </c>
    </row>
    <row r="938" customFormat="false" ht="13.8" hidden="false" customHeight="false" outlineLevel="0" collapsed="false">
      <c r="A938" s="3" t="s">
        <v>2420</v>
      </c>
      <c r="B938" s="3" t="n">
        <v>6.5</v>
      </c>
      <c r="C938" s="3" t="s">
        <v>2421</v>
      </c>
      <c r="D938" s="3" t="n">
        <v>0</v>
      </c>
      <c r="E938" s="3" t="n">
        <v>4</v>
      </c>
      <c r="F938" s="3"/>
      <c r="G938" s="3" t="n">
        <v>0</v>
      </c>
      <c r="H938" s="3" t="n">
        <v>650</v>
      </c>
      <c r="I938" s="3" t="s">
        <v>22</v>
      </c>
      <c r="J938" s="3" t="n">
        <v>0</v>
      </c>
      <c r="K938" s="3" t="n">
        <v>0</v>
      </c>
      <c r="L938" s="3" t="n">
        <v>0</v>
      </c>
      <c r="M938" s="3" t="s">
        <v>127</v>
      </c>
      <c r="N938" s="3" t="n">
        <v>226.5</v>
      </c>
      <c r="O938" s="3" t="n">
        <v>43.207</v>
      </c>
      <c r="P938" s="3" t="n">
        <v>138.92</v>
      </c>
      <c r="Q938" s="3" t="s">
        <v>2422</v>
      </c>
      <c r="R938" s="3"/>
      <c r="S938" s="3"/>
    </row>
    <row r="939" customFormat="false" ht="13.8" hidden="false" customHeight="false" outlineLevel="0" collapsed="false">
      <c r="A939" s="3" t="s">
        <v>2423</v>
      </c>
      <c r="B939" s="3" t="n">
        <v>6.7</v>
      </c>
      <c r="C939" s="3" t="s">
        <v>2424</v>
      </c>
      <c r="D939" s="3" t="n">
        <v>0</v>
      </c>
      <c r="E939" s="3" t="n">
        <v>6</v>
      </c>
      <c r="F939" s="3"/>
      <c r="G939" s="3" t="n">
        <v>0</v>
      </c>
      <c r="H939" s="3" t="n">
        <v>691</v>
      </c>
      <c r="I939" s="3" t="s">
        <v>22</v>
      </c>
      <c r="J939" s="3" t="n">
        <v>0</v>
      </c>
      <c r="K939" s="3" t="n">
        <v>0</v>
      </c>
      <c r="L939" s="3" t="n">
        <v>0</v>
      </c>
      <c r="M939" s="3" t="s">
        <v>127</v>
      </c>
      <c r="N939" s="3" t="n">
        <v>49.2</v>
      </c>
      <c r="O939" s="3" t="n">
        <v>31.789</v>
      </c>
      <c r="P939" s="3" t="n">
        <v>131.314</v>
      </c>
      <c r="Q939" s="3" t="s">
        <v>2425</v>
      </c>
      <c r="R939" s="3" t="s">
        <v>80</v>
      </c>
      <c r="S939" s="3" t="s">
        <v>322</v>
      </c>
    </row>
    <row r="940" customFormat="false" ht="13.8" hidden="false" customHeight="false" outlineLevel="0" collapsed="false">
      <c r="A940" s="3" t="s">
        <v>2426</v>
      </c>
      <c r="B940" s="3" t="n">
        <v>6.9</v>
      </c>
      <c r="C940" s="3" t="s">
        <v>2427</v>
      </c>
      <c r="D940" s="3" t="n">
        <v>0</v>
      </c>
      <c r="E940" s="3" t="n">
        <v>7</v>
      </c>
      <c r="F940" s="3"/>
      <c r="G940" s="3" t="n">
        <v>0</v>
      </c>
      <c r="H940" s="3" t="n">
        <v>732</v>
      </c>
      <c r="I940" s="3" t="s">
        <v>22</v>
      </c>
      <c r="J940" s="3" t="n">
        <v>0</v>
      </c>
      <c r="K940" s="3" t="n">
        <v>0</v>
      </c>
      <c r="L940" s="3" t="n">
        <v>0</v>
      </c>
      <c r="M940" s="3" t="s">
        <v>127</v>
      </c>
      <c r="N940" s="3" t="n">
        <v>33</v>
      </c>
      <c r="O940" s="3" t="n">
        <v>35.345</v>
      </c>
      <c r="P940" s="3" t="n">
        <v>78.133</v>
      </c>
      <c r="Q940" s="3" t="s">
        <v>2428</v>
      </c>
      <c r="R940" s="3" t="s">
        <v>80</v>
      </c>
      <c r="S940" s="3" t="s">
        <v>184</v>
      </c>
    </row>
    <row r="941" customFormat="false" ht="13.8" hidden="false" customHeight="false" outlineLevel="0" collapsed="false">
      <c r="A941" s="3" t="s">
        <v>2429</v>
      </c>
      <c r="B941" s="3" t="n">
        <v>7.7</v>
      </c>
      <c r="C941" s="3" t="s">
        <v>2430</v>
      </c>
      <c r="D941" s="3" t="n">
        <v>0</v>
      </c>
      <c r="E941" s="3" t="n">
        <v>7</v>
      </c>
      <c r="F941" s="3"/>
      <c r="G941" s="3" t="n">
        <v>0</v>
      </c>
      <c r="H941" s="3" t="n">
        <v>912</v>
      </c>
      <c r="I941" s="3" t="s">
        <v>22</v>
      </c>
      <c r="J941" s="3" t="n">
        <v>0</v>
      </c>
      <c r="K941" s="3" t="n">
        <v>0</v>
      </c>
      <c r="L941" s="3" t="n">
        <v>0</v>
      </c>
      <c r="M941" s="3" t="s">
        <v>127</v>
      </c>
      <c r="N941" s="3" t="n">
        <v>33</v>
      </c>
      <c r="O941" s="3" t="n">
        <v>-14.993</v>
      </c>
      <c r="P941" s="3" t="n">
        <v>-75.675</v>
      </c>
      <c r="Q941" s="3" t="s">
        <v>2431</v>
      </c>
      <c r="R941" s="3"/>
      <c r="S941" s="3" t="s">
        <v>199</v>
      </c>
    </row>
    <row r="942" customFormat="false" ht="13.8" hidden="false" customHeight="false" outlineLevel="0" collapsed="false">
      <c r="A942" s="3" t="s">
        <v>2432</v>
      </c>
      <c r="B942" s="3" t="n">
        <v>6.7</v>
      </c>
      <c r="C942" s="3" t="s">
        <v>2433</v>
      </c>
      <c r="D942" s="3" t="n">
        <v>0</v>
      </c>
      <c r="E942" s="3" t="n">
        <v>7</v>
      </c>
      <c r="F942" s="3"/>
      <c r="G942" s="3" t="n">
        <v>0</v>
      </c>
      <c r="H942" s="3" t="n">
        <v>691</v>
      </c>
      <c r="I942" s="3" t="s">
        <v>22</v>
      </c>
      <c r="J942" s="3" t="n">
        <v>0</v>
      </c>
      <c r="K942" s="3" t="n">
        <v>0</v>
      </c>
      <c r="L942" s="3" t="n">
        <v>0</v>
      </c>
      <c r="M942" s="3" t="s">
        <v>127</v>
      </c>
      <c r="N942" s="3" t="n">
        <v>22</v>
      </c>
      <c r="O942" s="3" t="n">
        <v>31.885</v>
      </c>
      <c r="P942" s="3" t="n">
        <v>131.468</v>
      </c>
      <c r="Q942" s="3" t="s">
        <v>2425</v>
      </c>
      <c r="R942" s="3" t="s">
        <v>80</v>
      </c>
      <c r="S942" s="3" t="s">
        <v>322</v>
      </c>
    </row>
    <row r="943" customFormat="false" ht="13.8" hidden="false" customHeight="false" outlineLevel="0" collapsed="false">
      <c r="A943" s="3" t="s">
        <v>2434</v>
      </c>
      <c r="B943" s="3" t="n">
        <v>6.6</v>
      </c>
      <c r="C943" s="3" t="s">
        <v>2435</v>
      </c>
      <c r="D943" s="3" t="n">
        <v>0</v>
      </c>
      <c r="E943" s="3" t="n">
        <v>7</v>
      </c>
      <c r="F943" s="3"/>
      <c r="G943" s="3" t="n">
        <v>0</v>
      </c>
      <c r="H943" s="3" t="n">
        <v>670</v>
      </c>
      <c r="I943" s="3" t="s">
        <v>22</v>
      </c>
      <c r="J943" s="3" t="n">
        <v>0</v>
      </c>
      <c r="K943" s="3" t="n">
        <v>0</v>
      </c>
      <c r="L943" s="3" t="n">
        <v>0</v>
      </c>
      <c r="M943" s="3" t="s">
        <v>127</v>
      </c>
      <c r="N943" s="3" t="n">
        <v>10</v>
      </c>
      <c r="O943" s="3" t="n">
        <v>30.568</v>
      </c>
      <c r="P943" s="3" t="n">
        <v>131.093</v>
      </c>
      <c r="Q943" s="3" t="s">
        <v>2436</v>
      </c>
      <c r="R943" s="3" t="s">
        <v>80</v>
      </c>
      <c r="S943" s="3" t="s">
        <v>322</v>
      </c>
    </row>
    <row r="944" customFormat="false" ht="13.8" hidden="false" customHeight="false" outlineLevel="0" collapsed="false">
      <c r="A944" s="3" t="s">
        <v>2437</v>
      </c>
      <c r="B944" s="3" t="n">
        <v>6.8</v>
      </c>
      <c r="C944" s="3" t="s">
        <v>2438</v>
      </c>
      <c r="D944" s="3" t="n">
        <v>0</v>
      </c>
      <c r="E944" s="3" t="n">
        <v>6</v>
      </c>
      <c r="F944" s="3"/>
      <c r="G944" s="3" t="n">
        <v>0</v>
      </c>
      <c r="H944" s="3" t="n">
        <v>711</v>
      </c>
      <c r="I944" s="3" t="s">
        <v>22</v>
      </c>
      <c r="J944" s="3" t="n">
        <v>0</v>
      </c>
      <c r="K944" s="3" t="n">
        <v>0</v>
      </c>
      <c r="L944" s="3" t="n">
        <v>0</v>
      </c>
      <c r="M944" s="3" t="s">
        <v>127</v>
      </c>
      <c r="N944" s="3" t="n">
        <v>24</v>
      </c>
      <c r="O944" s="3" t="n">
        <v>-7.133</v>
      </c>
      <c r="P944" s="3" t="n">
        <v>155.568</v>
      </c>
      <c r="Q944" s="3" t="s">
        <v>736</v>
      </c>
      <c r="R944" s="3"/>
      <c r="S944" s="3" t="s">
        <v>140</v>
      </c>
    </row>
    <row r="945" customFormat="false" ht="13.8" hidden="false" customHeight="false" outlineLevel="0" collapsed="false">
      <c r="A945" s="3" t="s">
        <v>2439</v>
      </c>
      <c r="B945" s="3" t="n">
        <v>6.8</v>
      </c>
      <c r="C945" s="3" t="s">
        <v>2440</v>
      </c>
      <c r="D945" s="3" t="n">
        <v>0</v>
      </c>
      <c r="E945" s="3" t="n">
        <v>6</v>
      </c>
      <c r="F945" s="3"/>
      <c r="G945" s="3" t="n">
        <v>0</v>
      </c>
      <c r="H945" s="3" t="n">
        <v>711</v>
      </c>
      <c r="I945" s="3" t="s">
        <v>22</v>
      </c>
      <c r="J945" s="3" t="n">
        <v>0</v>
      </c>
      <c r="K945" s="3" t="n">
        <v>0</v>
      </c>
      <c r="L945" s="3" t="n">
        <v>0</v>
      </c>
      <c r="M945" s="3" t="s">
        <v>127</v>
      </c>
      <c r="N945" s="3" t="n">
        <v>33</v>
      </c>
      <c r="O945" s="3" t="n">
        <v>34.556</v>
      </c>
      <c r="P945" s="3" t="n">
        <v>32.126</v>
      </c>
      <c r="Q945" s="3" t="s">
        <v>2441</v>
      </c>
      <c r="R945" s="3" t="s">
        <v>80</v>
      </c>
      <c r="S945" s="3"/>
    </row>
    <row r="946" customFormat="false" ht="13.8" hidden="false" customHeight="false" outlineLevel="0" collapsed="false">
      <c r="A946" s="3" t="s">
        <v>2442</v>
      </c>
      <c r="B946" s="3" t="n">
        <v>6.6</v>
      </c>
      <c r="C946" s="3" t="s">
        <v>2443</v>
      </c>
      <c r="D946" s="3" t="n">
        <v>0</v>
      </c>
      <c r="E946" s="3" t="n">
        <v>6</v>
      </c>
      <c r="F946" s="3"/>
      <c r="G946" s="3" t="n">
        <v>0</v>
      </c>
      <c r="H946" s="3" t="n">
        <v>670</v>
      </c>
      <c r="I946" s="3" t="s">
        <v>22</v>
      </c>
      <c r="J946" s="3" t="n">
        <v>0</v>
      </c>
      <c r="K946" s="3" t="n">
        <v>0</v>
      </c>
      <c r="L946" s="3" t="n">
        <v>0</v>
      </c>
      <c r="M946" s="3" t="s">
        <v>127</v>
      </c>
      <c r="N946" s="3" t="n">
        <v>33</v>
      </c>
      <c r="O946" s="3" t="n">
        <v>9.454</v>
      </c>
      <c r="P946" s="3" t="n">
        <v>126.334</v>
      </c>
      <c r="Q946" s="3" t="s">
        <v>2444</v>
      </c>
      <c r="R946" s="3"/>
      <c r="S946" s="3" t="s">
        <v>191</v>
      </c>
    </row>
    <row r="947" customFormat="false" ht="13.8" hidden="false" customHeight="false" outlineLevel="0" collapsed="false">
      <c r="A947" s="3" t="s">
        <v>2445</v>
      </c>
      <c r="B947" s="3" t="n">
        <v>6.6</v>
      </c>
      <c r="C947" s="3" t="s">
        <v>2446</v>
      </c>
      <c r="D947" s="3" t="n">
        <v>0</v>
      </c>
      <c r="E947" s="3" t="n">
        <v>6</v>
      </c>
      <c r="F947" s="3"/>
      <c r="G947" s="3" t="n">
        <v>0</v>
      </c>
      <c r="H947" s="3" t="n">
        <v>670</v>
      </c>
      <c r="I947" s="3" t="s">
        <v>22</v>
      </c>
      <c r="J947" s="3" t="n">
        <v>0</v>
      </c>
      <c r="K947" s="3" t="n">
        <v>0</v>
      </c>
      <c r="L947" s="3" t="n">
        <v>0</v>
      </c>
      <c r="M947" s="3" t="s">
        <v>127</v>
      </c>
      <c r="N947" s="3" t="n">
        <v>33</v>
      </c>
      <c r="O947" s="3" t="n">
        <v>9.463</v>
      </c>
      <c r="P947" s="3" t="n">
        <v>126.284</v>
      </c>
      <c r="Q947" s="3" t="s">
        <v>2444</v>
      </c>
      <c r="R947" s="3"/>
      <c r="S947" s="3" t="s">
        <v>191</v>
      </c>
    </row>
    <row r="948" customFormat="false" ht="13.8" hidden="false" customHeight="false" outlineLevel="0" collapsed="false">
      <c r="A948" s="3" t="s">
        <v>2447</v>
      </c>
      <c r="B948" s="3" t="n">
        <v>6.8</v>
      </c>
      <c r="C948" s="3" t="s">
        <v>2448</v>
      </c>
      <c r="D948" s="3" t="n">
        <v>0</v>
      </c>
      <c r="E948" s="3" t="n">
        <v>6</v>
      </c>
      <c r="F948" s="3"/>
      <c r="G948" s="3" t="n">
        <v>0</v>
      </c>
      <c r="H948" s="3" t="n">
        <v>711</v>
      </c>
      <c r="I948" s="3" t="s">
        <v>22</v>
      </c>
      <c r="J948" s="3" t="n">
        <v>0</v>
      </c>
      <c r="K948" s="3" t="n">
        <v>0</v>
      </c>
      <c r="L948" s="3" t="n">
        <v>0</v>
      </c>
      <c r="M948" s="3" t="s">
        <v>127</v>
      </c>
      <c r="N948" s="3" t="n">
        <v>20</v>
      </c>
      <c r="O948" s="3" t="n">
        <v>21.898</v>
      </c>
      <c r="P948" s="3" t="n">
        <v>121.498</v>
      </c>
      <c r="Q948" s="3" t="s">
        <v>1718</v>
      </c>
      <c r="R948" s="3"/>
      <c r="S948" s="3" t="s">
        <v>171</v>
      </c>
    </row>
    <row r="949" customFormat="false" ht="13.8" hidden="false" customHeight="false" outlineLevel="0" collapsed="false">
      <c r="A949" s="3" t="s">
        <v>2449</v>
      </c>
      <c r="B949" s="3" t="n">
        <v>6.9</v>
      </c>
      <c r="C949" s="3" t="s">
        <v>2450</v>
      </c>
      <c r="D949" s="3" t="n">
        <v>0</v>
      </c>
      <c r="E949" s="3" t="n">
        <v>6</v>
      </c>
      <c r="F949" s="3"/>
      <c r="G949" s="3" t="n">
        <v>0</v>
      </c>
      <c r="H949" s="3" t="n">
        <v>732</v>
      </c>
      <c r="I949" s="3" t="s">
        <v>22</v>
      </c>
      <c r="J949" s="3" t="n">
        <v>0</v>
      </c>
      <c r="K949" s="3" t="n">
        <v>0</v>
      </c>
      <c r="L949" s="3" t="n">
        <v>0</v>
      </c>
      <c r="M949" s="3" t="s">
        <v>127</v>
      </c>
      <c r="N949" s="3" t="n">
        <v>33</v>
      </c>
      <c r="O949" s="3" t="n">
        <v>-10.769</v>
      </c>
      <c r="P949" s="3" t="n">
        <v>161.445</v>
      </c>
      <c r="Q949" s="3" t="s">
        <v>581</v>
      </c>
      <c r="R949" s="3"/>
      <c r="S949" s="3" t="s">
        <v>140</v>
      </c>
    </row>
    <row r="950" customFormat="false" ht="13.8" hidden="false" customHeight="false" outlineLevel="0" collapsed="false">
      <c r="A950" s="3" t="s">
        <v>2451</v>
      </c>
      <c r="B950" s="3" t="n">
        <v>7</v>
      </c>
      <c r="C950" s="3" t="s">
        <v>2452</v>
      </c>
      <c r="D950" s="3" t="n">
        <v>0</v>
      </c>
      <c r="E950" s="3" t="n">
        <v>6</v>
      </c>
      <c r="F950" s="3"/>
      <c r="G950" s="3" t="n">
        <v>0</v>
      </c>
      <c r="H950" s="3" t="n">
        <v>754</v>
      </c>
      <c r="I950" s="3" t="s">
        <v>22</v>
      </c>
      <c r="J950" s="3" t="n">
        <v>0</v>
      </c>
      <c r="K950" s="3" t="n">
        <v>0</v>
      </c>
      <c r="L950" s="3" t="n">
        <v>0</v>
      </c>
      <c r="M950" s="3" t="s">
        <v>127</v>
      </c>
      <c r="N950" s="3" t="n">
        <v>33</v>
      </c>
      <c r="O950" s="3" t="n">
        <v>1</v>
      </c>
      <c r="P950" s="3" t="n">
        <v>120.45</v>
      </c>
      <c r="Q950" s="3" t="s">
        <v>574</v>
      </c>
      <c r="R950" s="3"/>
      <c r="S950" s="3" t="s">
        <v>68</v>
      </c>
    </row>
    <row r="951" customFormat="false" ht="13.8" hidden="false" customHeight="false" outlineLevel="0" collapsed="false">
      <c r="A951" s="3" t="s">
        <v>2453</v>
      </c>
      <c r="B951" s="3" t="n">
        <v>6.6</v>
      </c>
      <c r="C951" s="3" t="s">
        <v>2454</v>
      </c>
      <c r="D951" s="3" t="n">
        <v>0</v>
      </c>
      <c r="E951" s="3" t="n">
        <v>6</v>
      </c>
      <c r="F951" s="3"/>
      <c r="G951" s="3" t="n">
        <v>0</v>
      </c>
      <c r="H951" s="3" t="n">
        <v>670</v>
      </c>
      <c r="I951" s="3" t="s">
        <v>22</v>
      </c>
      <c r="J951" s="3" t="n">
        <v>0</v>
      </c>
      <c r="K951" s="3" t="n">
        <v>0</v>
      </c>
      <c r="L951" s="3" t="n">
        <v>0</v>
      </c>
      <c r="M951" s="3" t="s">
        <v>154</v>
      </c>
      <c r="N951" s="3" t="n">
        <v>33</v>
      </c>
      <c r="O951" s="3" t="n">
        <v>1.016</v>
      </c>
      <c r="P951" s="3" t="n">
        <v>120.254</v>
      </c>
      <c r="Q951" s="3" t="s">
        <v>574</v>
      </c>
      <c r="R951" s="3"/>
      <c r="S951" s="3" t="s">
        <v>68</v>
      </c>
    </row>
    <row r="952" customFormat="false" ht="13.8" hidden="false" customHeight="false" outlineLevel="0" collapsed="false">
      <c r="A952" s="3" t="s">
        <v>2455</v>
      </c>
      <c r="B952" s="3" t="n">
        <v>6.8</v>
      </c>
      <c r="C952" s="3" t="s">
        <v>2456</v>
      </c>
      <c r="D952" s="3" t="n">
        <v>0</v>
      </c>
      <c r="E952" s="3" t="n">
        <v>6</v>
      </c>
      <c r="F952" s="3"/>
      <c r="G952" s="3" t="n">
        <v>0</v>
      </c>
      <c r="H952" s="3" t="n">
        <v>711</v>
      </c>
      <c r="I952" s="3" t="s">
        <v>22</v>
      </c>
      <c r="J952" s="3" t="n">
        <v>0</v>
      </c>
      <c r="K952" s="3" t="n">
        <v>0</v>
      </c>
      <c r="L952" s="3" t="n">
        <v>0</v>
      </c>
      <c r="M952" s="3" t="s">
        <v>154</v>
      </c>
      <c r="N952" s="3" t="n">
        <v>18.3</v>
      </c>
      <c r="O952" s="3" t="n">
        <v>17.6</v>
      </c>
      <c r="P952" s="3" t="n">
        <v>-100.965</v>
      </c>
      <c r="Q952" s="3" t="s">
        <v>1059</v>
      </c>
      <c r="R952" s="3" t="s">
        <v>164</v>
      </c>
      <c r="S952" s="3" t="s">
        <v>165</v>
      </c>
    </row>
    <row r="953" customFormat="false" ht="13.8" hidden="false" customHeight="false" outlineLevel="0" collapsed="false">
      <c r="A953" s="3" t="s">
        <v>2457</v>
      </c>
      <c r="B953" s="3" t="n">
        <v>7.9</v>
      </c>
      <c r="C953" s="3" t="s">
        <v>2458</v>
      </c>
      <c r="D953" s="3" t="n">
        <v>0</v>
      </c>
      <c r="E953" s="3" t="n">
        <v>4</v>
      </c>
      <c r="F953" s="3"/>
      <c r="G953" s="3" t="n">
        <v>0</v>
      </c>
      <c r="H953" s="3" t="n">
        <v>960</v>
      </c>
      <c r="I953" s="3" t="s">
        <v>22</v>
      </c>
      <c r="J953" s="3" t="n">
        <v>0</v>
      </c>
      <c r="K953" s="3" t="n">
        <v>0</v>
      </c>
      <c r="L953" s="3" t="n">
        <v>0</v>
      </c>
      <c r="M953" s="3" t="s">
        <v>127</v>
      </c>
      <c r="N953" s="3" t="n">
        <v>587.3</v>
      </c>
      <c r="O953" s="3" t="n">
        <v>-7.137</v>
      </c>
      <c r="P953" s="3" t="n">
        <v>122.589</v>
      </c>
      <c r="Q953" s="3" t="s">
        <v>672</v>
      </c>
      <c r="R953" s="3"/>
      <c r="S953" s="3" t="s">
        <v>68</v>
      </c>
    </row>
    <row r="954" customFormat="false" ht="13.8" hidden="false" customHeight="false" outlineLevel="0" collapsed="false">
      <c r="A954" s="3" t="s">
        <v>2459</v>
      </c>
      <c r="B954" s="3" t="n">
        <v>7.1</v>
      </c>
      <c r="C954" s="3" t="s">
        <v>2460</v>
      </c>
      <c r="D954" s="3" t="n">
        <v>0</v>
      </c>
      <c r="E954" s="3" t="n">
        <v>6</v>
      </c>
      <c r="F954" s="3"/>
      <c r="G954" s="3" t="n">
        <v>0</v>
      </c>
      <c r="H954" s="3" t="n">
        <v>776</v>
      </c>
      <c r="I954" s="3" t="s">
        <v>22</v>
      </c>
      <c r="J954" s="3" t="n">
        <v>0</v>
      </c>
      <c r="K954" s="3" t="n">
        <v>0</v>
      </c>
      <c r="L954" s="3" t="n">
        <v>0</v>
      </c>
      <c r="M954" s="3" t="s">
        <v>127</v>
      </c>
      <c r="N954" s="3" t="n">
        <v>33</v>
      </c>
      <c r="O954" s="3" t="n">
        <v>12.614</v>
      </c>
      <c r="P954" s="3" t="n">
        <v>125.154</v>
      </c>
      <c r="Q954" s="3" t="s">
        <v>2461</v>
      </c>
      <c r="R954" s="3"/>
      <c r="S954" s="3" t="s">
        <v>191</v>
      </c>
    </row>
    <row r="955" customFormat="false" ht="13.8" hidden="false" customHeight="false" outlineLevel="0" collapsed="false">
      <c r="A955" s="3" t="s">
        <v>2462</v>
      </c>
      <c r="B955" s="3" t="n">
        <v>7.3</v>
      </c>
      <c r="C955" s="3" t="s">
        <v>2463</v>
      </c>
      <c r="D955" s="3" t="n">
        <v>0</v>
      </c>
      <c r="E955" s="3" t="n">
        <v>7</v>
      </c>
      <c r="F955" s="3"/>
      <c r="G955" s="3" t="n">
        <v>0</v>
      </c>
      <c r="H955" s="3" t="n">
        <v>820</v>
      </c>
      <c r="I955" s="3" t="s">
        <v>22</v>
      </c>
      <c r="J955" s="3" t="n">
        <v>0</v>
      </c>
      <c r="K955" s="3" t="n">
        <v>0</v>
      </c>
      <c r="L955" s="3" t="n">
        <v>0</v>
      </c>
      <c r="M955" s="3" t="s">
        <v>127</v>
      </c>
      <c r="N955" s="3" t="n">
        <v>26.3</v>
      </c>
      <c r="O955" s="3" t="n">
        <v>51.478</v>
      </c>
      <c r="P955" s="3" t="n">
        <v>-176.847</v>
      </c>
      <c r="Q955" s="3" t="s">
        <v>608</v>
      </c>
      <c r="R955" s="3" t="s">
        <v>164</v>
      </c>
      <c r="S955" s="3" t="s">
        <v>261</v>
      </c>
    </row>
    <row r="956" customFormat="false" ht="13.8" hidden="false" customHeight="false" outlineLevel="0" collapsed="false">
      <c r="A956" s="3" t="s">
        <v>2464</v>
      </c>
      <c r="B956" s="3" t="n">
        <v>7.9</v>
      </c>
      <c r="C956" s="3" t="s">
        <v>2465</v>
      </c>
      <c r="D956" s="3" t="n">
        <v>0</v>
      </c>
      <c r="E956" s="3" t="n">
        <v>7</v>
      </c>
      <c r="F956" s="3"/>
      <c r="G956" s="3" t="n">
        <v>0</v>
      </c>
      <c r="H956" s="3" t="n">
        <v>960</v>
      </c>
      <c r="I956" s="3" t="s">
        <v>22</v>
      </c>
      <c r="J956" s="3" t="n">
        <v>0</v>
      </c>
      <c r="K956" s="3" t="n">
        <v>0</v>
      </c>
      <c r="L956" s="3" t="n">
        <v>0</v>
      </c>
      <c r="M956" s="3" t="s">
        <v>127</v>
      </c>
      <c r="N956" s="3" t="n">
        <v>33</v>
      </c>
      <c r="O956" s="3" t="n">
        <v>51.564</v>
      </c>
      <c r="P956" s="3" t="n">
        <v>-177.632</v>
      </c>
      <c r="Q956" s="3" t="s">
        <v>608</v>
      </c>
      <c r="R956" s="3" t="s">
        <v>164</v>
      </c>
      <c r="S956" s="3" t="s">
        <v>261</v>
      </c>
    </row>
    <row r="957" customFormat="false" ht="13.8" hidden="false" customHeight="false" outlineLevel="0" collapsed="false">
      <c r="A957" s="3" t="s">
        <v>2466</v>
      </c>
      <c r="B957" s="3" t="n">
        <v>6.7</v>
      </c>
      <c r="C957" s="3" t="s">
        <v>2467</v>
      </c>
      <c r="D957" s="3" t="n">
        <v>0</v>
      </c>
      <c r="E957" s="3" t="n">
        <v>4</v>
      </c>
      <c r="F957" s="3"/>
      <c r="G957" s="3" t="n">
        <v>0</v>
      </c>
      <c r="H957" s="3" t="n">
        <v>691</v>
      </c>
      <c r="I957" s="3" t="s">
        <v>22</v>
      </c>
      <c r="J957" s="3" t="n">
        <v>0</v>
      </c>
      <c r="K957" s="3" t="n">
        <v>0</v>
      </c>
      <c r="L957" s="3" t="n">
        <v>0</v>
      </c>
      <c r="M957" s="3" t="s">
        <v>127</v>
      </c>
      <c r="N957" s="3" t="n">
        <v>200.1</v>
      </c>
      <c r="O957" s="3" t="n">
        <v>-13.481</v>
      </c>
      <c r="P957" s="3" t="n">
        <v>167.13</v>
      </c>
      <c r="Q957" s="3" t="s">
        <v>24</v>
      </c>
      <c r="R957" s="3"/>
      <c r="S957" s="3" t="s">
        <v>25</v>
      </c>
    </row>
    <row r="958" customFormat="false" ht="13.8" hidden="false" customHeight="false" outlineLevel="0" collapsed="false">
      <c r="A958" s="3" t="s">
        <v>2468</v>
      </c>
      <c r="B958" s="3" t="n">
        <v>7.2</v>
      </c>
      <c r="C958" s="3" t="s">
        <v>2469</v>
      </c>
      <c r="D958" s="3" t="n">
        <v>0</v>
      </c>
      <c r="E958" s="3" t="n">
        <v>6</v>
      </c>
      <c r="F958" s="3"/>
      <c r="G958" s="3" t="n">
        <v>0</v>
      </c>
      <c r="H958" s="3" t="n">
        <v>798</v>
      </c>
      <c r="I958" s="3" t="s">
        <v>22</v>
      </c>
      <c r="J958" s="3" t="n">
        <v>0</v>
      </c>
      <c r="K958" s="3" t="n">
        <v>0</v>
      </c>
      <c r="L958" s="3" t="n">
        <v>0</v>
      </c>
      <c r="M958" s="3" t="s">
        <v>127</v>
      </c>
      <c r="N958" s="3" t="n">
        <v>44</v>
      </c>
      <c r="O958" s="3" t="n">
        <v>-6.518</v>
      </c>
      <c r="P958" s="3" t="n">
        <v>154.999</v>
      </c>
      <c r="Q958" s="3" t="s">
        <v>736</v>
      </c>
      <c r="R958" s="3"/>
      <c r="S958" s="3" t="s">
        <v>85</v>
      </c>
    </row>
    <row r="959" customFormat="false" ht="13.8" hidden="false" customHeight="false" outlineLevel="0" collapsed="false">
      <c r="A959" s="3" t="s">
        <v>2470</v>
      </c>
      <c r="B959" s="3" t="n">
        <v>6.6</v>
      </c>
      <c r="C959" s="3" t="s">
        <v>2471</v>
      </c>
      <c r="D959" s="3" t="n">
        <v>0</v>
      </c>
      <c r="E959" s="3" t="n">
        <v>7</v>
      </c>
      <c r="F959" s="3"/>
      <c r="G959" s="3" t="n">
        <v>0</v>
      </c>
      <c r="H959" s="3" t="n">
        <v>670</v>
      </c>
      <c r="I959" s="3" t="s">
        <v>22</v>
      </c>
      <c r="J959" s="3" t="n">
        <v>0</v>
      </c>
      <c r="K959" s="3" t="n">
        <v>0</v>
      </c>
      <c r="L959" s="3" t="n">
        <v>0</v>
      </c>
      <c r="M959" s="3" t="s">
        <v>154</v>
      </c>
      <c r="N959" s="3" t="n">
        <v>49.5</v>
      </c>
      <c r="O959" s="3" t="n">
        <v>-23.944</v>
      </c>
      <c r="P959" s="3" t="n">
        <v>-70.093</v>
      </c>
      <c r="Q959" s="3" t="s">
        <v>1630</v>
      </c>
      <c r="R959" s="3" t="s">
        <v>33</v>
      </c>
      <c r="S959" s="3" t="s">
        <v>373</v>
      </c>
    </row>
    <row r="960" customFormat="false" ht="13.8" hidden="false" customHeight="false" outlineLevel="0" collapsed="false">
      <c r="A960" s="3" t="s">
        <v>2472</v>
      </c>
      <c r="B960" s="3" t="n">
        <v>6.7</v>
      </c>
      <c r="C960" s="3" t="s">
        <v>2473</v>
      </c>
      <c r="D960" s="3" t="n">
        <v>0</v>
      </c>
      <c r="E960" s="3" t="n">
        <v>5</v>
      </c>
      <c r="F960" s="3"/>
      <c r="G960" s="3" t="n">
        <v>0</v>
      </c>
      <c r="H960" s="3" t="n">
        <v>691</v>
      </c>
      <c r="I960" s="3" t="s">
        <v>22</v>
      </c>
      <c r="J960" s="3" t="n">
        <v>0</v>
      </c>
      <c r="K960" s="3" t="n">
        <v>0</v>
      </c>
      <c r="L960" s="3" t="n">
        <v>0</v>
      </c>
      <c r="M960" s="3" t="s">
        <v>127</v>
      </c>
      <c r="N960" s="3" t="n">
        <v>164.4</v>
      </c>
      <c r="O960" s="3" t="n">
        <v>-14.705</v>
      </c>
      <c r="P960" s="3" t="n">
        <v>167.297</v>
      </c>
      <c r="Q960" s="3" t="s">
        <v>104</v>
      </c>
      <c r="R960" s="3"/>
      <c r="S960" s="3" t="s">
        <v>25</v>
      </c>
    </row>
    <row r="961" customFormat="false" ht="13.8" hidden="false" customHeight="false" outlineLevel="0" collapsed="false">
      <c r="A961" s="3" t="s">
        <v>2474</v>
      </c>
      <c r="B961" s="3" t="n">
        <v>6.7</v>
      </c>
      <c r="C961" s="3" t="s">
        <v>2475</v>
      </c>
      <c r="D961" s="3" t="n">
        <v>0</v>
      </c>
      <c r="E961" s="3" t="n">
        <v>6</v>
      </c>
      <c r="F961" s="3"/>
      <c r="G961" s="3" t="n">
        <v>0</v>
      </c>
      <c r="H961" s="3" t="n">
        <v>691</v>
      </c>
      <c r="I961" s="3" t="s">
        <v>22</v>
      </c>
      <c r="J961" s="3" t="n">
        <v>0</v>
      </c>
      <c r="K961" s="3" t="n">
        <v>0</v>
      </c>
      <c r="L961" s="3" t="n">
        <v>0</v>
      </c>
      <c r="M961" s="3" t="s">
        <v>127</v>
      </c>
      <c r="N961" s="3" t="n">
        <v>33</v>
      </c>
      <c r="O961" s="3" t="n">
        <v>11.905</v>
      </c>
      <c r="P961" s="3" t="n">
        <v>-86.772</v>
      </c>
      <c r="Q961" s="3" t="s">
        <v>2476</v>
      </c>
      <c r="R961" s="3"/>
      <c r="S961" s="3" t="s">
        <v>1069</v>
      </c>
    </row>
    <row r="962" customFormat="false" ht="13.8" hidden="false" customHeight="false" outlineLevel="0" collapsed="false">
      <c r="A962" s="3" t="s">
        <v>2477</v>
      </c>
      <c r="B962" s="3" t="n">
        <v>6.6</v>
      </c>
      <c r="C962" s="3" t="s">
        <v>2478</v>
      </c>
      <c r="D962" s="3" t="n">
        <v>0</v>
      </c>
      <c r="E962" s="3" t="n">
        <v>6</v>
      </c>
      <c r="F962" s="3"/>
      <c r="G962" s="3" t="n">
        <v>0</v>
      </c>
      <c r="H962" s="3" t="n">
        <v>670</v>
      </c>
      <c r="I962" s="3" t="s">
        <v>22</v>
      </c>
      <c r="J962" s="3" t="n">
        <v>0</v>
      </c>
      <c r="K962" s="3" t="n">
        <v>0</v>
      </c>
      <c r="L962" s="3" t="n">
        <v>0</v>
      </c>
      <c r="M962" s="3" t="s">
        <v>127</v>
      </c>
      <c r="N962" s="3" t="n">
        <v>33</v>
      </c>
      <c r="O962" s="3" t="n">
        <v>11.657</v>
      </c>
      <c r="P962" s="3" t="n">
        <v>-86.856</v>
      </c>
      <c r="Q962" s="3" t="s">
        <v>206</v>
      </c>
      <c r="R962" s="3"/>
      <c r="S962" s="3"/>
    </row>
    <row r="963" customFormat="false" ht="13.8" hidden="false" customHeight="false" outlineLevel="0" collapsed="false">
      <c r="A963" s="3" t="s">
        <v>2479</v>
      </c>
      <c r="B963" s="3" t="n">
        <v>7.1</v>
      </c>
      <c r="C963" s="3" t="s">
        <v>2480</v>
      </c>
      <c r="D963" s="3" t="n">
        <v>0</v>
      </c>
      <c r="E963" s="3" t="n">
        <v>7</v>
      </c>
      <c r="F963" s="3"/>
      <c r="G963" s="3" t="n">
        <v>0</v>
      </c>
      <c r="H963" s="3" t="n">
        <v>776</v>
      </c>
      <c r="I963" s="3" t="s">
        <v>22</v>
      </c>
      <c r="J963" s="3" t="n">
        <v>0</v>
      </c>
      <c r="K963" s="3" t="n">
        <v>0</v>
      </c>
      <c r="L963" s="3" t="n">
        <v>0</v>
      </c>
      <c r="M963" s="3" t="s">
        <v>485</v>
      </c>
      <c r="N963" s="3" t="n">
        <v>21.1</v>
      </c>
      <c r="O963" s="3" t="n">
        <v>15.978</v>
      </c>
      <c r="P963" s="3" t="n">
        <v>-98.07</v>
      </c>
      <c r="Q963" s="3" t="s">
        <v>2481</v>
      </c>
      <c r="R963" s="3" t="s">
        <v>164</v>
      </c>
      <c r="S963" s="3" t="s">
        <v>165</v>
      </c>
    </row>
    <row r="964" customFormat="false" ht="13.8" hidden="false" customHeight="false" outlineLevel="0" collapsed="false">
      <c r="A964" s="3" t="s">
        <v>2482</v>
      </c>
      <c r="B964" s="3" t="n">
        <v>7.5</v>
      </c>
      <c r="C964" s="3" t="s">
        <v>2483</v>
      </c>
      <c r="D964" s="3" t="n">
        <v>0</v>
      </c>
      <c r="E964" s="3" t="n">
        <v>6</v>
      </c>
      <c r="F964" s="3"/>
      <c r="G964" s="3" t="n">
        <v>0</v>
      </c>
      <c r="H964" s="3" t="n">
        <v>865</v>
      </c>
      <c r="I964" s="3" t="s">
        <v>22</v>
      </c>
      <c r="J964" s="3" t="n">
        <v>0</v>
      </c>
      <c r="K964" s="3" t="n">
        <v>0</v>
      </c>
      <c r="L964" s="3" t="n">
        <v>0</v>
      </c>
      <c r="M964" s="3" t="s">
        <v>485</v>
      </c>
      <c r="N964" s="3" t="n">
        <v>10</v>
      </c>
      <c r="O964" s="3" t="n">
        <v>-9.593</v>
      </c>
      <c r="P964" s="3" t="n">
        <v>-79.587</v>
      </c>
      <c r="Q964" s="3" t="s">
        <v>2484</v>
      </c>
      <c r="R964" s="3"/>
      <c r="S964" s="3" t="s">
        <v>199</v>
      </c>
    </row>
    <row r="965" customFormat="false" ht="13.8" hidden="false" customHeight="false" outlineLevel="0" collapsed="false">
      <c r="A965" s="3" t="s">
        <v>2485</v>
      </c>
      <c r="B965" s="3" t="n">
        <v>6.5</v>
      </c>
      <c r="C965" s="3" t="s">
        <v>2486</v>
      </c>
      <c r="D965" s="3" t="n">
        <v>0</v>
      </c>
      <c r="E965" s="3" t="n">
        <v>6</v>
      </c>
      <c r="F965" s="3"/>
      <c r="G965" s="3" t="n">
        <v>0</v>
      </c>
      <c r="H965" s="3" t="n">
        <v>650</v>
      </c>
      <c r="I965" s="3" t="s">
        <v>22</v>
      </c>
      <c r="J965" s="3" t="n">
        <v>0</v>
      </c>
      <c r="K965" s="3" t="n">
        <v>0</v>
      </c>
      <c r="L965" s="3" t="n">
        <v>0</v>
      </c>
      <c r="M965" s="3" t="s">
        <v>485</v>
      </c>
      <c r="N965" s="3" t="n">
        <v>31.9</v>
      </c>
      <c r="O965" s="3" t="n">
        <v>-0.917</v>
      </c>
      <c r="P965" s="3" t="n">
        <v>136.225</v>
      </c>
      <c r="Q965" s="3" t="s">
        <v>1442</v>
      </c>
      <c r="R965" s="3"/>
      <c r="S965" s="3" t="s">
        <v>68</v>
      </c>
    </row>
    <row r="966" customFormat="false" ht="13.8" hidden="false" customHeight="false" outlineLevel="0" collapsed="false">
      <c r="A966" s="3" t="s">
        <v>2487</v>
      </c>
      <c r="B966" s="3" t="n">
        <v>6.5</v>
      </c>
      <c r="C966" s="3" t="s">
        <v>2488</v>
      </c>
      <c r="D966" s="3" t="n">
        <v>0</v>
      </c>
      <c r="E966" s="3" t="n">
        <v>6</v>
      </c>
      <c r="F966" s="3"/>
      <c r="G966" s="3" t="n">
        <v>0</v>
      </c>
      <c r="H966" s="3" t="n">
        <v>650</v>
      </c>
      <c r="I966" s="3" t="s">
        <v>22</v>
      </c>
      <c r="J966" s="3" t="n">
        <v>0</v>
      </c>
      <c r="K966" s="3" t="n">
        <v>0</v>
      </c>
      <c r="L966" s="3" t="n">
        <v>0</v>
      </c>
      <c r="M966" s="3" t="s">
        <v>485</v>
      </c>
      <c r="N966" s="3" t="n">
        <v>19.2</v>
      </c>
      <c r="O966" s="3" t="n">
        <v>-0.567</v>
      </c>
      <c r="P966" s="3" t="n">
        <v>135.84</v>
      </c>
      <c r="Q966" s="3" t="s">
        <v>2489</v>
      </c>
      <c r="R966" s="3"/>
      <c r="S966" s="3" t="s">
        <v>68</v>
      </c>
    </row>
    <row r="967" customFormat="false" ht="13.8" hidden="false" customHeight="false" outlineLevel="0" collapsed="false">
      <c r="A967" s="3" t="s">
        <v>2490</v>
      </c>
      <c r="B967" s="3" t="n">
        <v>8.09</v>
      </c>
      <c r="C967" s="3" t="s">
        <v>2491</v>
      </c>
      <c r="D967" s="3" t="n">
        <v>0</v>
      </c>
      <c r="E967" s="3" t="n">
        <v>8</v>
      </c>
      <c r="F967" s="3"/>
      <c r="G967" s="3" t="n">
        <v>0</v>
      </c>
      <c r="H967" s="3" t="n">
        <v>1007</v>
      </c>
      <c r="I967" s="3" t="s">
        <v>1293</v>
      </c>
      <c r="J967" s="3" t="n">
        <v>0</v>
      </c>
      <c r="K967" s="3" t="n">
        <v>0</v>
      </c>
      <c r="L967" s="3" t="n">
        <v>0</v>
      </c>
      <c r="M967" s="3" t="s">
        <v>23</v>
      </c>
      <c r="N967" s="3" t="n">
        <v>33</v>
      </c>
      <c r="O967" s="3" t="n">
        <v>-0.891</v>
      </c>
      <c r="P967" s="3" t="n">
        <v>136.952</v>
      </c>
      <c r="Q967" s="3" t="s">
        <v>1442</v>
      </c>
      <c r="R967" s="3"/>
      <c r="S967" s="3"/>
    </row>
    <row r="968" customFormat="false" ht="13.8" hidden="false" customHeight="false" outlineLevel="0" collapsed="false">
      <c r="A968" s="3" t="s">
        <v>2492</v>
      </c>
      <c r="B968" s="3" t="n">
        <v>6.7</v>
      </c>
      <c r="C968" s="3" t="s">
        <v>2493</v>
      </c>
      <c r="D968" s="3" t="n">
        <v>0</v>
      </c>
      <c r="E968" s="3" t="n">
        <v>4</v>
      </c>
      <c r="F968" s="3"/>
      <c r="G968" s="3" t="n">
        <v>0</v>
      </c>
      <c r="H968" s="3" t="n">
        <v>691</v>
      </c>
      <c r="I968" s="3" t="s">
        <v>22</v>
      </c>
      <c r="J968" s="3" t="n">
        <v>0</v>
      </c>
      <c r="K968" s="3" t="n">
        <v>0</v>
      </c>
      <c r="L968" s="3" t="n">
        <v>0</v>
      </c>
      <c r="M968" s="3" t="s">
        <v>485</v>
      </c>
      <c r="N968" s="3" t="n">
        <v>40.8</v>
      </c>
      <c r="O968" s="3" t="n">
        <v>37.353</v>
      </c>
      <c r="P968" s="3" t="n">
        <v>142.38</v>
      </c>
      <c r="Q968" s="3" t="s">
        <v>217</v>
      </c>
      <c r="R968" s="3"/>
      <c r="S968" s="3"/>
    </row>
    <row r="969" customFormat="false" ht="13.8" hidden="false" customHeight="false" outlineLevel="0" collapsed="false">
      <c r="A969" s="3" t="s">
        <v>2494</v>
      </c>
      <c r="B969" s="3" t="n">
        <v>7.2</v>
      </c>
      <c r="C969" s="3" t="s">
        <v>2495</v>
      </c>
      <c r="D969" s="3" t="n">
        <v>0</v>
      </c>
      <c r="E969" s="3" t="n">
        <v>6</v>
      </c>
      <c r="F969" s="3"/>
      <c r="G969" s="3" t="n">
        <v>0</v>
      </c>
      <c r="H969" s="3" t="n">
        <v>798</v>
      </c>
      <c r="I969" s="3" t="s">
        <v>22</v>
      </c>
      <c r="J969" s="3" t="n">
        <v>0</v>
      </c>
      <c r="K969" s="3" t="n">
        <v>0</v>
      </c>
      <c r="L969" s="3" t="n">
        <v>0</v>
      </c>
      <c r="M969" s="3" t="s">
        <v>485</v>
      </c>
      <c r="N969" s="3" t="n">
        <v>42.6</v>
      </c>
      <c r="O969" s="3" t="n">
        <v>45.324</v>
      </c>
      <c r="P969" s="3" t="n">
        <v>149.892</v>
      </c>
      <c r="Q969" s="3" t="s">
        <v>427</v>
      </c>
      <c r="R969" s="3"/>
      <c r="S969" s="3"/>
    </row>
    <row r="970" customFormat="false" ht="13.8" hidden="false" customHeight="false" outlineLevel="0" collapsed="false">
      <c r="A970" s="3" t="s">
        <v>2496</v>
      </c>
      <c r="B970" s="3" t="n">
        <v>6.6</v>
      </c>
      <c r="C970" s="3" t="s">
        <v>2497</v>
      </c>
      <c r="D970" s="3" t="n">
        <v>0</v>
      </c>
      <c r="E970" s="3" t="n">
        <v>10</v>
      </c>
      <c r="F970" s="3"/>
      <c r="G970" s="3" t="n">
        <v>0</v>
      </c>
      <c r="H970" s="3" t="n">
        <v>670</v>
      </c>
      <c r="I970" s="3" t="s">
        <v>22</v>
      </c>
      <c r="J970" s="3" t="n">
        <v>0</v>
      </c>
      <c r="K970" s="3" t="n">
        <v>0</v>
      </c>
      <c r="L970" s="3" t="n">
        <v>0</v>
      </c>
      <c r="M970" s="3" t="s">
        <v>485</v>
      </c>
      <c r="N970" s="3" t="n">
        <v>11.1</v>
      </c>
      <c r="O970" s="3" t="n">
        <v>27.291</v>
      </c>
      <c r="P970" s="3" t="n">
        <v>100.276</v>
      </c>
      <c r="Q970" s="3" t="s">
        <v>2498</v>
      </c>
      <c r="R970" s="3" t="s">
        <v>80</v>
      </c>
      <c r="S970" s="3" t="s">
        <v>184</v>
      </c>
    </row>
    <row r="971" customFormat="false" ht="13.8" hidden="false" customHeight="false" outlineLevel="0" collapsed="false">
      <c r="A971" s="3" t="s">
        <v>2499</v>
      </c>
      <c r="B971" s="3" t="n">
        <v>6.6</v>
      </c>
      <c r="C971" s="3" t="s">
        <v>2500</v>
      </c>
      <c r="D971" s="3" t="n">
        <v>0</v>
      </c>
      <c r="E971" s="3" t="n">
        <v>7</v>
      </c>
      <c r="F971" s="3"/>
      <c r="G971" s="3" t="n">
        <v>0</v>
      </c>
      <c r="H971" s="3" t="n">
        <v>670</v>
      </c>
      <c r="I971" s="3" t="s">
        <v>22</v>
      </c>
      <c r="J971" s="3" t="n">
        <v>0</v>
      </c>
      <c r="K971" s="3" t="n">
        <v>0</v>
      </c>
      <c r="L971" s="3" t="n">
        <v>0</v>
      </c>
      <c r="M971" s="3" t="s">
        <v>1370</v>
      </c>
      <c r="N971" s="3" t="n">
        <v>33</v>
      </c>
      <c r="O971" s="3" t="n">
        <v>53.826</v>
      </c>
      <c r="P971" s="3" t="n">
        <v>159.586</v>
      </c>
      <c r="Q971" s="3" t="s">
        <v>2501</v>
      </c>
      <c r="R971" s="3" t="s">
        <v>80</v>
      </c>
      <c r="S971" s="3" t="s">
        <v>428</v>
      </c>
    </row>
    <row r="972" customFormat="false" ht="13.8" hidden="false" customHeight="false" outlineLevel="0" collapsed="false">
      <c r="A972" s="3" t="s">
        <v>2502</v>
      </c>
      <c r="B972" s="3" t="n">
        <v>7.9</v>
      </c>
      <c r="C972" s="3" t="s">
        <v>2503</v>
      </c>
      <c r="D972" s="3" t="n">
        <v>0</v>
      </c>
      <c r="E972" s="3" t="n">
        <v>8</v>
      </c>
      <c r="F972" s="3"/>
      <c r="G972" s="3" t="n">
        <v>0</v>
      </c>
      <c r="H972" s="3" t="n">
        <v>960</v>
      </c>
      <c r="I972" s="3" t="s">
        <v>22</v>
      </c>
      <c r="J972" s="3" t="n">
        <v>0</v>
      </c>
      <c r="K972" s="3" t="n">
        <v>0</v>
      </c>
      <c r="L972" s="3" t="n">
        <v>0</v>
      </c>
      <c r="M972" s="3" t="s">
        <v>485</v>
      </c>
      <c r="N972" s="3" t="n">
        <v>24</v>
      </c>
      <c r="O972" s="3" t="n">
        <v>0.729</v>
      </c>
      <c r="P972" s="3" t="n">
        <v>119.931</v>
      </c>
      <c r="Q972" s="3" t="s">
        <v>574</v>
      </c>
      <c r="R972" s="3"/>
      <c r="S972" s="3" t="s">
        <v>68</v>
      </c>
    </row>
    <row r="973" customFormat="false" ht="13.8" hidden="false" customHeight="false" outlineLevel="0" collapsed="false">
      <c r="A973" s="3" t="s">
        <v>2504</v>
      </c>
      <c r="B973" s="3" t="n">
        <v>7.1</v>
      </c>
      <c r="C973" s="3" t="s">
        <v>2505</v>
      </c>
      <c r="D973" s="3" t="n">
        <v>0</v>
      </c>
      <c r="E973" s="3" t="n">
        <v>6</v>
      </c>
      <c r="F973" s="3"/>
      <c r="G973" s="3" t="n">
        <v>0</v>
      </c>
      <c r="H973" s="3" t="n">
        <v>776</v>
      </c>
      <c r="I973" s="3" t="s">
        <v>22</v>
      </c>
      <c r="J973" s="3" t="n">
        <v>0</v>
      </c>
      <c r="K973" s="3" t="n">
        <v>0</v>
      </c>
      <c r="L973" s="3" t="n">
        <v>0</v>
      </c>
      <c r="M973" s="3" t="s">
        <v>485</v>
      </c>
      <c r="N973" s="3" t="n">
        <v>141.9</v>
      </c>
      <c r="O973" s="3" t="n">
        <v>-6.903</v>
      </c>
      <c r="P973" s="3" t="n">
        <v>129.151</v>
      </c>
      <c r="Q973" s="3" t="s">
        <v>248</v>
      </c>
      <c r="R973" s="3"/>
      <c r="S973" s="3" t="s">
        <v>68</v>
      </c>
    </row>
    <row r="974" customFormat="false" ht="13.8" hidden="false" customHeight="false" outlineLevel="0" collapsed="false">
      <c r="A974" s="3" t="s">
        <v>2506</v>
      </c>
      <c r="B974" s="3" t="n">
        <v>6.5</v>
      </c>
      <c r="C974" s="3" t="s">
        <v>2507</v>
      </c>
      <c r="D974" s="3" t="n">
        <v>0</v>
      </c>
      <c r="E974" s="3" t="n">
        <v>6</v>
      </c>
      <c r="F974" s="3"/>
      <c r="G974" s="3" t="n">
        <v>0</v>
      </c>
      <c r="H974" s="3" t="n">
        <v>650</v>
      </c>
      <c r="I974" s="3" t="s">
        <v>22</v>
      </c>
      <c r="J974" s="3" t="n">
        <v>0</v>
      </c>
      <c r="K974" s="3" t="n">
        <v>0</v>
      </c>
      <c r="L974" s="3" t="n">
        <v>0</v>
      </c>
      <c r="M974" s="3" t="s">
        <v>154</v>
      </c>
      <c r="N974" s="3" t="n">
        <v>63.4</v>
      </c>
      <c r="O974" s="3" t="n">
        <v>-3.703</v>
      </c>
      <c r="P974" s="3" t="n">
        <v>140.233</v>
      </c>
      <c r="Q974" s="3" t="s">
        <v>926</v>
      </c>
      <c r="R974" s="3"/>
      <c r="S974" s="3" t="s">
        <v>68</v>
      </c>
    </row>
    <row r="975" customFormat="false" ht="13.8" hidden="false" customHeight="false" outlineLevel="0" collapsed="false">
      <c r="A975" s="3" t="s">
        <v>2508</v>
      </c>
      <c r="B975" s="3" t="n">
        <v>7.9</v>
      </c>
      <c r="C975" s="3" t="s">
        <v>2509</v>
      </c>
      <c r="D975" s="3" t="n">
        <v>0</v>
      </c>
      <c r="E975" s="3" t="n">
        <v>6</v>
      </c>
      <c r="F975" s="3"/>
      <c r="G975" s="3" t="n">
        <v>0</v>
      </c>
      <c r="H975" s="3" t="n">
        <v>960</v>
      </c>
      <c r="I975" s="3" t="s">
        <v>22</v>
      </c>
      <c r="J975" s="3" t="n">
        <v>0</v>
      </c>
      <c r="K975" s="3" t="n">
        <v>0</v>
      </c>
      <c r="L975" s="3" t="n">
        <v>0</v>
      </c>
      <c r="M975" s="3" t="s">
        <v>485</v>
      </c>
      <c r="N975" s="3" t="n">
        <v>33</v>
      </c>
      <c r="O975" s="3" t="n">
        <v>44.663</v>
      </c>
      <c r="P975" s="3" t="n">
        <v>149.3</v>
      </c>
      <c r="Q975" s="3" t="s">
        <v>427</v>
      </c>
      <c r="R975" s="3"/>
      <c r="S975" s="3"/>
    </row>
    <row r="976" customFormat="false" ht="13.8" hidden="false" customHeight="false" outlineLevel="0" collapsed="false">
      <c r="A976" s="3" t="s">
        <v>2510</v>
      </c>
      <c r="B976" s="3" t="n">
        <v>7.2</v>
      </c>
      <c r="C976" s="3" t="s">
        <v>2511</v>
      </c>
      <c r="D976" s="3" t="n">
        <v>0</v>
      </c>
      <c r="E976" s="3" t="n">
        <v>9</v>
      </c>
      <c r="F976" s="3"/>
      <c r="G976" s="3" t="n">
        <v>0</v>
      </c>
      <c r="H976" s="3" t="n">
        <v>798</v>
      </c>
      <c r="I976" s="3" t="s">
        <v>22</v>
      </c>
      <c r="J976" s="3" t="n">
        <v>0</v>
      </c>
      <c r="K976" s="3" t="n">
        <v>0</v>
      </c>
      <c r="L976" s="3" t="n">
        <v>0</v>
      </c>
      <c r="M976" s="3" t="s">
        <v>485</v>
      </c>
      <c r="N976" s="3" t="n">
        <v>10</v>
      </c>
      <c r="O976" s="3" t="n">
        <v>28.826</v>
      </c>
      <c r="P976" s="3" t="n">
        <v>34.799</v>
      </c>
      <c r="Q976" s="3" t="s">
        <v>2512</v>
      </c>
      <c r="R976" s="3" t="s">
        <v>80</v>
      </c>
      <c r="S976" s="3" t="s">
        <v>2513</v>
      </c>
    </row>
    <row r="977" customFormat="false" ht="13.8" hidden="false" customHeight="false" outlineLevel="0" collapsed="false">
      <c r="A977" s="3" t="s">
        <v>2514</v>
      </c>
      <c r="B977" s="3" t="n">
        <v>6.7</v>
      </c>
      <c r="C977" s="3" t="s">
        <v>2515</v>
      </c>
      <c r="D977" s="3" t="n">
        <v>0</v>
      </c>
      <c r="E977" s="3" t="n">
        <v>7</v>
      </c>
      <c r="F977" s="3"/>
      <c r="G977" s="3" t="n">
        <v>0</v>
      </c>
      <c r="H977" s="3" t="n">
        <v>691</v>
      </c>
      <c r="I977" s="3" t="s">
        <v>22</v>
      </c>
      <c r="J977" s="3" t="n">
        <v>0</v>
      </c>
      <c r="K977" s="3" t="n">
        <v>0</v>
      </c>
      <c r="L977" s="3" t="n">
        <v>0</v>
      </c>
      <c r="M977" s="3" t="s">
        <v>485</v>
      </c>
      <c r="N977" s="3" t="n">
        <v>19.9</v>
      </c>
      <c r="O977" s="3" t="n">
        <v>-28.906</v>
      </c>
      <c r="P977" s="3" t="n">
        <v>-71.417</v>
      </c>
      <c r="Q977" s="3" t="s">
        <v>370</v>
      </c>
      <c r="R977" s="3"/>
      <c r="S977" s="3" t="s">
        <v>373</v>
      </c>
    </row>
    <row r="978" customFormat="false" ht="13.8" hidden="false" customHeight="false" outlineLevel="0" collapsed="false">
      <c r="A978" s="3" t="s">
        <v>2516</v>
      </c>
      <c r="B978" s="3" t="n">
        <v>7.2</v>
      </c>
      <c r="C978" s="3" t="s">
        <v>2517</v>
      </c>
      <c r="D978" s="3" t="n">
        <v>0</v>
      </c>
      <c r="E978" s="3" t="n">
        <v>6</v>
      </c>
      <c r="F978" s="3"/>
      <c r="G978" s="3" t="n">
        <v>0</v>
      </c>
      <c r="H978" s="3" t="n">
        <v>798</v>
      </c>
      <c r="I978" s="3" t="s">
        <v>22</v>
      </c>
      <c r="J978" s="3" t="n">
        <v>0</v>
      </c>
      <c r="K978" s="3" t="n">
        <v>0</v>
      </c>
      <c r="L978" s="3" t="n">
        <v>0</v>
      </c>
      <c r="M978" s="3" t="s">
        <v>485</v>
      </c>
      <c r="N978" s="3" t="n">
        <v>159.3</v>
      </c>
      <c r="O978" s="3" t="n">
        <v>16.84</v>
      </c>
      <c r="P978" s="3" t="n">
        <v>-93.469</v>
      </c>
      <c r="Q978" s="3" t="s">
        <v>2518</v>
      </c>
      <c r="R978" s="3"/>
      <c r="S978" s="3" t="s">
        <v>165</v>
      </c>
    </row>
    <row r="979" customFormat="false" ht="13.8" hidden="false" customHeight="false" outlineLevel="0" collapsed="false">
      <c r="A979" s="3" t="s">
        <v>2519</v>
      </c>
      <c r="B979" s="3" t="n">
        <v>6.8</v>
      </c>
      <c r="C979" s="3" t="s">
        <v>2520</v>
      </c>
      <c r="D979" s="3" t="n">
        <v>0</v>
      </c>
      <c r="E979" s="3" t="n">
        <v>6</v>
      </c>
      <c r="F979" s="3"/>
      <c r="G979" s="3" t="n">
        <v>0</v>
      </c>
      <c r="H979" s="3" t="n">
        <v>711</v>
      </c>
      <c r="I979" s="3" t="s">
        <v>22</v>
      </c>
      <c r="J979" s="3" t="n">
        <v>0</v>
      </c>
      <c r="K979" s="3" t="n">
        <v>0</v>
      </c>
      <c r="L979" s="3" t="n">
        <v>0</v>
      </c>
      <c r="M979" s="3" t="s">
        <v>485</v>
      </c>
      <c r="N979" s="3" t="n">
        <v>19.7</v>
      </c>
      <c r="O979" s="3" t="n">
        <v>28.094</v>
      </c>
      <c r="P979" s="3" t="n">
        <v>130.148</v>
      </c>
      <c r="Q979" s="3" t="s">
        <v>401</v>
      </c>
      <c r="R979" s="3"/>
      <c r="S979" s="3"/>
    </row>
    <row r="980" customFormat="false" ht="13.8" hidden="false" customHeight="false" outlineLevel="0" collapsed="false">
      <c r="A980" s="3" t="s">
        <v>2521</v>
      </c>
      <c r="B980" s="3" t="n">
        <v>7.1</v>
      </c>
      <c r="C980" s="3" t="s">
        <v>2522</v>
      </c>
      <c r="D980" s="3" t="n">
        <v>0</v>
      </c>
      <c r="E980" s="3" t="n">
        <v>6</v>
      </c>
      <c r="F980" s="3"/>
      <c r="G980" s="3" t="n">
        <v>0</v>
      </c>
      <c r="H980" s="3" t="n">
        <v>776</v>
      </c>
      <c r="I980" s="3" t="s">
        <v>22</v>
      </c>
      <c r="J980" s="3" t="n">
        <v>0</v>
      </c>
      <c r="K980" s="3" t="n">
        <v>0</v>
      </c>
      <c r="L980" s="3" t="n">
        <v>0</v>
      </c>
      <c r="M980" s="3" t="s">
        <v>485</v>
      </c>
      <c r="N980" s="3" t="n">
        <v>28.4</v>
      </c>
      <c r="O980" s="3" t="n">
        <v>27.929</v>
      </c>
      <c r="P980" s="3" t="n">
        <v>130.175</v>
      </c>
      <c r="Q980" s="3" t="s">
        <v>401</v>
      </c>
      <c r="R980" s="3"/>
      <c r="S980" s="3"/>
    </row>
    <row r="981" customFormat="false" ht="13.8" hidden="false" customHeight="false" outlineLevel="0" collapsed="false">
      <c r="A981" s="3" t="s">
        <v>2523</v>
      </c>
      <c r="B981" s="3" t="n">
        <v>8</v>
      </c>
      <c r="C981" s="3" t="s">
        <v>2524</v>
      </c>
      <c r="D981" s="3" t="n">
        <v>0</v>
      </c>
      <c r="E981" s="3" t="n">
        <v>8</v>
      </c>
      <c r="F981" s="3"/>
      <c r="G981" s="3" t="n">
        <v>0</v>
      </c>
      <c r="H981" s="3" t="n">
        <v>985</v>
      </c>
      <c r="I981" s="3" t="s">
        <v>22</v>
      </c>
      <c r="J981" s="3" t="n">
        <v>0</v>
      </c>
      <c r="K981" s="3" t="n">
        <v>0</v>
      </c>
      <c r="L981" s="3" t="n">
        <v>0</v>
      </c>
      <c r="M981" s="3" t="s">
        <v>485</v>
      </c>
      <c r="N981" s="3" t="n">
        <v>33</v>
      </c>
      <c r="O981" s="3" t="n">
        <v>19.055</v>
      </c>
      <c r="P981" s="3" t="n">
        <v>-104.205</v>
      </c>
      <c r="Q981" s="3" t="s">
        <v>2525</v>
      </c>
      <c r="R981" s="3" t="s">
        <v>164</v>
      </c>
      <c r="S981" s="3" t="s">
        <v>165</v>
      </c>
    </row>
    <row r="982" customFormat="false" ht="13.8" hidden="false" customHeight="false" outlineLevel="0" collapsed="false">
      <c r="A982" s="3" t="s">
        <v>2526</v>
      </c>
      <c r="B982" s="3" t="n">
        <v>6.8</v>
      </c>
      <c r="C982" s="3" t="s">
        <v>2527</v>
      </c>
      <c r="D982" s="3" t="n">
        <v>0</v>
      </c>
      <c r="E982" s="3" t="n">
        <v>7</v>
      </c>
      <c r="F982" s="3"/>
      <c r="G982" s="3" t="n">
        <v>0</v>
      </c>
      <c r="H982" s="3" t="n">
        <v>711</v>
      </c>
      <c r="I982" s="3" t="s">
        <v>22</v>
      </c>
      <c r="J982" s="3" t="n">
        <v>0</v>
      </c>
      <c r="K982" s="3" t="n">
        <v>0</v>
      </c>
      <c r="L982" s="3" t="n">
        <v>0</v>
      </c>
      <c r="M982" s="3" t="s">
        <v>485</v>
      </c>
      <c r="N982" s="3" t="n">
        <v>33</v>
      </c>
      <c r="O982" s="3" t="n">
        <v>-2.045</v>
      </c>
      <c r="P982" s="3" t="n">
        <v>101.436</v>
      </c>
      <c r="Q982" s="3" t="s">
        <v>809</v>
      </c>
      <c r="R982" s="3"/>
      <c r="S982" s="3" t="s">
        <v>68</v>
      </c>
    </row>
    <row r="983" customFormat="false" ht="13.8" hidden="false" customHeight="false" outlineLevel="0" collapsed="false">
      <c r="A983" s="3" t="s">
        <v>2528</v>
      </c>
      <c r="B983" s="3" t="n">
        <v>6.5</v>
      </c>
      <c r="C983" s="3" t="s">
        <v>2529</v>
      </c>
      <c r="D983" s="3" t="n">
        <v>0</v>
      </c>
      <c r="E983" s="3" t="n">
        <v>7</v>
      </c>
      <c r="F983" s="3"/>
      <c r="G983" s="3" t="n">
        <v>0</v>
      </c>
      <c r="H983" s="3" t="n">
        <v>650</v>
      </c>
      <c r="I983" s="3" t="s">
        <v>22</v>
      </c>
      <c r="J983" s="3" t="n">
        <v>0</v>
      </c>
      <c r="K983" s="3" t="n">
        <v>0</v>
      </c>
      <c r="L983" s="3" t="n">
        <v>0</v>
      </c>
      <c r="M983" s="3" t="s">
        <v>485</v>
      </c>
      <c r="N983" s="3" t="n">
        <v>16.7</v>
      </c>
      <c r="O983" s="3" t="n">
        <v>-2.778</v>
      </c>
      <c r="P983" s="3" t="n">
        <v>-77.851</v>
      </c>
      <c r="Q983" s="3" t="s">
        <v>2530</v>
      </c>
      <c r="R983" s="3" t="s">
        <v>33</v>
      </c>
      <c r="S983" s="3" t="s">
        <v>96</v>
      </c>
    </row>
    <row r="984" customFormat="false" ht="13.8" hidden="false" customHeight="false" outlineLevel="0" collapsed="false">
      <c r="A984" s="3" t="s">
        <v>2531</v>
      </c>
      <c r="B984" s="3" t="n">
        <v>7</v>
      </c>
      <c r="C984" s="3" t="s">
        <v>2532</v>
      </c>
      <c r="D984" s="3" t="n">
        <v>0</v>
      </c>
      <c r="E984" s="3" t="n">
        <v>7</v>
      </c>
      <c r="F984" s="3"/>
      <c r="G984" s="3" t="n">
        <v>0</v>
      </c>
      <c r="H984" s="3" t="n">
        <v>754</v>
      </c>
      <c r="I984" s="3" t="s">
        <v>22</v>
      </c>
      <c r="J984" s="3" t="n">
        <v>0</v>
      </c>
      <c r="K984" s="3" t="n">
        <v>0</v>
      </c>
      <c r="L984" s="3" t="n">
        <v>0</v>
      </c>
      <c r="M984" s="3" t="s">
        <v>485</v>
      </c>
      <c r="N984" s="3" t="n">
        <v>24.4</v>
      </c>
      <c r="O984" s="3" t="n">
        <v>-2.75</v>
      </c>
      <c r="P984" s="3" t="n">
        <v>-77.881</v>
      </c>
      <c r="Q984" s="3" t="s">
        <v>2530</v>
      </c>
      <c r="R984" s="3" t="s">
        <v>33</v>
      </c>
      <c r="S984" s="3" t="s">
        <v>96</v>
      </c>
    </row>
    <row r="985" customFormat="false" ht="13.8" hidden="false" customHeight="false" outlineLevel="0" collapsed="false">
      <c r="A985" s="3" t="s">
        <v>2533</v>
      </c>
      <c r="B985" s="3" t="n">
        <v>6.5</v>
      </c>
      <c r="C985" s="3" t="s">
        <v>2534</v>
      </c>
      <c r="D985" s="3" t="n">
        <v>0</v>
      </c>
      <c r="E985" s="3" t="n">
        <v>5</v>
      </c>
      <c r="F985" s="3"/>
      <c r="G985" s="3" t="n">
        <v>0</v>
      </c>
      <c r="H985" s="3" t="n">
        <v>650</v>
      </c>
      <c r="I985" s="3" t="s">
        <v>22</v>
      </c>
      <c r="J985" s="3" t="n">
        <v>0</v>
      </c>
      <c r="K985" s="3" t="n">
        <v>0</v>
      </c>
      <c r="L985" s="3" t="n">
        <v>0</v>
      </c>
      <c r="M985" s="3" t="s">
        <v>154</v>
      </c>
      <c r="N985" s="3" t="n">
        <v>59.9</v>
      </c>
      <c r="O985" s="3" t="n">
        <v>-10.68</v>
      </c>
      <c r="P985" s="3" t="n">
        <v>-78.581</v>
      </c>
      <c r="Q985" s="3" t="s">
        <v>2535</v>
      </c>
      <c r="R985" s="3"/>
      <c r="S985" s="3" t="s">
        <v>199</v>
      </c>
    </row>
    <row r="986" customFormat="false" ht="13.8" hidden="false" customHeight="false" outlineLevel="0" collapsed="false">
      <c r="A986" s="3" t="s">
        <v>2536</v>
      </c>
      <c r="B986" s="3" t="n">
        <v>7.4</v>
      </c>
      <c r="C986" s="3" t="s">
        <v>2537</v>
      </c>
      <c r="D986" s="3" t="n">
        <v>0</v>
      </c>
      <c r="E986" s="3" t="n">
        <v>7</v>
      </c>
      <c r="F986" s="3"/>
      <c r="G986" s="3" t="n">
        <v>0</v>
      </c>
      <c r="H986" s="3" t="n">
        <v>842</v>
      </c>
      <c r="I986" s="3" t="s">
        <v>22</v>
      </c>
      <c r="J986" s="3" t="n">
        <v>0</v>
      </c>
      <c r="K986" s="3" t="n">
        <v>0</v>
      </c>
      <c r="L986" s="3" t="n">
        <v>0</v>
      </c>
      <c r="M986" s="3" t="s">
        <v>154</v>
      </c>
      <c r="N986" s="3" t="n">
        <v>23</v>
      </c>
      <c r="O986" s="3" t="n">
        <v>16.779</v>
      </c>
      <c r="P986" s="3" t="n">
        <v>-98.597</v>
      </c>
      <c r="Q986" s="3" t="s">
        <v>2538</v>
      </c>
      <c r="R986" s="3" t="s">
        <v>164</v>
      </c>
      <c r="S986" s="3" t="s">
        <v>165</v>
      </c>
    </row>
    <row r="987" customFormat="false" ht="13.8" hidden="false" customHeight="false" outlineLevel="0" collapsed="false">
      <c r="A987" s="3" t="s">
        <v>2539</v>
      </c>
      <c r="B987" s="3" t="n">
        <v>6.6</v>
      </c>
      <c r="C987" s="3" t="s">
        <v>2540</v>
      </c>
      <c r="D987" s="3" t="n">
        <v>0</v>
      </c>
      <c r="E987" s="3" t="n">
        <v>5</v>
      </c>
      <c r="F987" s="3"/>
      <c r="G987" s="3" t="n">
        <v>0</v>
      </c>
      <c r="H987" s="3" t="n">
        <v>670</v>
      </c>
      <c r="I987" s="3" t="s">
        <v>22</v>
      </c>
      <c r="J987" s="3" t="n">
        <v>0</v>
      </c>
      <c r="K987" s="3" t="n">
        <v>0</v>
      </c>
      <c r="L987" s="3" t="n">
        <v>0</v>
      </c>
      <c r="M987" s="3" t="s">
        <v>154</v>
      </c>
      <c r="N987" s="3" t="n">
        <v>12.2</v>
      </c>
      <c r="O987" s="3" t="n">
        <v>26.092</v>
      </c>
      <c r="P987" s="3" t="n">
        <v>-110.284</v>
      </c>
      <c r="Q987" s="3" t="s">
        <v>1118</v>
      </c>
      <c r="R987" s="3"/>
      <c r="S987" s="3"/>
    </row>
    <row r="988" customFormat="false" ht="13.8" hidden="false" customHeight="false" outlineLevel="0" collapsed="false">
      <c r="A988" s="3" t="s">
        <v>2541</v>
      </c>
      <c r="B988" s="3" t="n">
        <v>6.6</v>
      </c>
      <c r="C988" s="3" t="s">
        <v>2542</v>
      </c>
      <c r="D988" s="3" t="n">
        <v>0</v>
      </c>
      <c r="E988" s="3" t="n">
        <v>6</v>
      </c>
      <c r="F988" s="3"/>
      <c r="G988" s="3" t="n">
        <v>0</v>
      </c>
      <c r="H988" s="3" t="n">
        <v>670</v>
      </c>
      <c r="I988" s="3" t="s">
        <v>22</v>
      </c>
      <c r="J988" s="3" t="n">
        <v>0</v>
      </c>
      <c r="K988" s="3" t="n">
        <v>0</v>
      </c>
      <c r="L988" s="3" t="n">
        <v>0</v>
      </c>
      <c r="M988" s="3" t="s">
        <v>485</v>
      </c>
      <c r="N988" s="3" t="n">
        <v>119.6</v>
      </c>
      <c r="O988" s="3" t="n">
        <v>5.139</v>
      </c>
      <c r="P988" s="3" t="n">
        <v>-75.577</v>
      </c>
      <c r="Q988" s="3" t="s">
        <v>2543</v>
      </c>
      <c r="R988" s="3" t="s">
        <v>33</v>
      </c>
      <c r="S988" s="3" t="s">
        <v>54</v>
      </c>
    </row>
    <row r="989" customFormat="false" ht="13.8" hidden="false" customHeight="false" outlineLevel="0" collapsed="false">
      <c r="A989" s="3" t="s">
        <v>2544</v>
      </c>
      <c r="B989" s="3" t="n">
        <v>7.2</v>
      </c>
      <c r="C989" s="3" t="s">
        <v>2545</v>
      </c>
      <c r="D989" s="3" t="n">
        <v>0</v>
      </c>
      <c r="E989" s="3" t="n">
        <v>6</v>
      </c>
      <c r="F989" s="3"/>
      <c r="G989" s="3" t="n">
        <v>0</v>
      </c>
      <c r="H989" s="3" t="n">
        <v>798</v>
      </c>
      <c r="I989" s="3" t="s">
        <v>22</v>
      </c>
      <c r="J989" s="3" t="n">
        <v>0</v>
      </c>
      <c r="K989" s="3" t="n">
        <v>0</v>
      </c>
      <c r="L989" s="3" t="n">
        <v>0</v>
      </c>
      <c r="M989" s="3" t="s">
        <v>485</v>
      </c>
      <c r="N989" s="3" t="n">
        <v>33</v>
      </c>
      <c r="O989" s="3" t="n">
        <v>-5.771</v>
      </c>
      <c r="P989" s="3" t="n">
        <v>154.347</v>
      </c>
      <c r="Q989" s="3" t="s">
        <v>736</v>
      </c>
      <c r="R989" s="3"/>
      <c r="S989" s="3"/>
    </row>
    <row r="990" customFormat="false" ht="13.8" hidden="false" customHeight="false" outlineLevel="0" collapsed="false">
      <c r="A990" s="3" t="s">
        <v>2546</v>
      </c>
      <c r="B990" s="3" t="n">
        <v>6.6</v>
      </c>
      <c r="C990" s="3" t="s">
        <v>2547</v>
      </c>
      <c r="D990" s="3" t="n">
        <v>0</v>
      </c>
      <c r="E990" s="3" t="n">
        <v>4</v>
      </c>
      <c r="F990" s="3"/>
      <c r="G990" s="3" t="n">
        <v>0</v>
      </c>
      <c r="H990" s="3" t="n">
        <v>670</v>
      </c>
      <c r="I990" s="3" t="s">
        <v>22</v>
      </c>
      <c r="J990" s="3" t="n">
        <v>0</v>
      </c>
      <c r="K990" s="3" t="n">
        <v>0</v>
      </c>
      <c r="L990" s="3" t="n">
        <v>0</v>
      </c>
      <c r="M990" s="3" t="s">
        <v>485</v>
      </c>
      <c r="N990" s="3" t="n">
        <v>18.7</v>
      </c>
      <c r="O990" s="3" t="n">
        <v>-5.429</v>
      </c>
      <c r="P990" s="3" t="n">
        <v>153.773</v>
      </c>
      <c r="Q990" s="3" t="s">
        <v>625</v>
      </c>
      <c r="R990" s="3"/>
      <c r="S990" s="3"/>
    </row>
    <row r="991" customFormat="false" ht="13.8" hidden="false" customHeight="false" outlineLevel="0" collapsed="false">
      <c r="A991" s="3" t="s">
        <v>2548</v>
      </c>
      <c r="B991" s="3" t="n">
        <v>7.7</v>
      </c>
      <c r="C991" s="3" t="s">
        <v>2549</v>
      </c>
      <c r="D991" s="3" t="n">
        <v>0</v>
      </c>
      <c r="E991" s="3" t="n">
        <v>6</v>
      </c>
      <c r="F991" s="3"/>
      <c r="G991" s="3" t="n">
        <v>0</v>
      </c>
      <c r="H991" s="3" t="n">
        <v>912</v>
      </c>
      <c r="I991" s="3" t="s">
        <v>22</v>
      </c>
      <c r="J991" s="3" t="n">
        <v>0</v>
      </c>
      <c r="K991" s="3" t="n">
        <v>0</v>
      </c>
      <c r="L991" s="3" t="n">
        <v>0</v>
      </c>
      <c r="M991" s="3" t="s">
        <v>485</v>
      </c>
      <c r="N991" s="3" t="n">
        <v>30.1</v>
      </c>
      <c r="O991" s="3" t="n">
        <v>-5.799</v>
      </c>
      <c r="P991" s="3" t="n">
        <v>154.178</v>
      </c>
      <c r="Q991" s="3" t="s">
        <v>736</v>
      </c>
      <c r="R991" s="3"/>
      <c r="S991" s="3"/>
    </row>
    <row r="992" customFormat="false" ht="13.8" hidden="false" customHeight="false" outlineLevel="0" collapsed="false">
      <c r="A992" s="3" t="s">
        <v>2550</v>
      </c>
      <c r="B992" s="3" t="n">
        <v>6.7</v>
      </c>
      <c r="C992" s="3" t="s">
        <v>2551</v>
      </c>
      <c r="D992" s="3" t="n">
        <v>0</v>
      </c>
      <c r="E992" s="3" t="n">
        <v>6</v>
      </c>
      <c r="F992" s="3"/>
      <c r="G992" s="3" t="n">
        <v>0</v>
      </c>
      <c r="H992" s="3" t="n">
        <v>691</v>
      </c>
      <c r="I992" s="3" t="s">
        <v>22</v>
      </c>
      <c r="J992" s="3" t="n">
        <v>0</v>
      </c>
      <c r="K992" s="3" t="n">
        <v>0</v>
      </c>
      <c r="L992" s="3" t="n">
        <v>0</v>
      </c>
      <c r="M992" s="3" t="s">
        <v>485</v>
      </c>
      <c r="N992" s="3" t="n">
        <v>127.9</v>
      </c>
      <c r="O992" s="3" t="n">
        <v>-4.836</v>
      </c>
      <c r="P992" s="3" t="n">
        <v>151.515</v>
      </c>
      <c r="Q992" s="3" t="s">
        <v>625</v>
      </c>
      <c r="R992" s="3"/>
      <c r="S992" s="3" t="s">
        <v>85</v>
      </c>
    </row>
    <row r="993" customFormat="false" ht="13.8" hidden="false" customHeight="false" outlineLevel="0" collapsed="false">
      <c r="A993" s="3" t="s">
        <v>2552</v>
      </c>
      <c r="B993" s="3" t="n">
        <v>8</v>
      </c>
      <c r="C993" s="3" t="s">
        <v>2553</v>
      </c>
      <c r="D993" s="3" t="n">
        <v>0</v>
      </c>
      <c r="E993" s="3" t="n">
        <v>8</v>
      </c>
      <c r="F993" s="3"/>
      <c r="G993" s="3" t="n">
        <v>0</v>
      </c>
      <c r="H993" s="3" t="n">
        <v>985</v>
      </c>
      <c r="I993" s="3" t="s">
        <v>22</v>
      </c>
      <c r="J993" s="3" t="n">
        <v>0</v>
      </c>
      <c r="K993" s="3" t="n">
        <v>0</v>
      </c>
      <c r="L993" s="3" t="n">
        <v>0</v>
      </c>
      <c r="M993" s="3" t="s">
        <v>485</v>
      </c>
      <c r="N993" s="3" t="n">
        <v>45.6</v>
      </c>
      <c r="O993" s="3" t="n">
        <v>-23.34</v>
      </c>
      <c r="P993" s="3" t="n">
        <v>-70.294</v>
      </c>
      <c r="Q993" s="3" t="s">
        <v>1630</v>
      </c>
      <c r="R993" s="3" t="s">
        <v>33</v>
      </c>
      <c r="S993" s="3" t="s">
        <v>373</v>
      </c>
    </row>
    <row r="994" customFormat="false" ht="13.8" hidden="false" customHeight="false" outlineLevel="0" collapsed="false">
      <c r="A994" s="3" t="s">
        <v>2554</v>
      </c>
      <c r="B994" s="3" t="n">
        <v>6.8</v>
      </c>
      <c r="C994" s="3" t="s">
        <v>2555</v>
      </c>
      <c r="D994" s="3" t="n">
        <v>0</v>
      </c>
      <c r="E994" s="3" t="n">
        <v>8</v>
      </c>
      <c r="F994" s="3"/>
      <c r="G994" s="3" t="n">
        <v>0</v>
      </c>
      <c r="H994" s="3" t="n">
        <v>711</v>
      </c>
      <c r="I994" s="3" t="s">
        <v>22</v>
      </c>
      <c r="J994" s="3" t="n">
        <v>0</v>
      </c>
      <c r="K994" s="3" t="n">
        <v>0</v>
      </c>
      <c r="L994" s="3" t="n">
        <v>0</v>
      </c>
      <c r="M994" s="3" t="s">
        <v>485</v>
      </c>
      <c r="N994" s="3" t="n">
        <v>12.5</v>
      </c>
      <c r="O994" s="3" t="n">
        <v>21.966</v>
      </c>
      <c r="P994" s="3" t="n">
        <v>99.196</v>
      </c>
      <c r="Q994" s="3" t="s">
        <v>2556</v>
      </c>
      <c r="R994" s="3" t="s">
        <v>80</v>
      </c>
      <c r="S994" s="3" t="s">
        <v>801</v>
      </c>
    </row>
    <row r="995" customFormat="false" ht="13.8" hidden="false" customHeight="false" outlineLevel="0" collapsed="false">
      <c r="A995" s="3" t="s">
        <v>2557</v>
      </c>
      <c r="B995" s="3" t="n">
        <v>6.6</v>
      </c>
      <c r="C995" s="3" t="s">
        <v>2558</v>
      </c>
      <c r="D995" s="3" t="n">
        <v>0</v>
      </c>
      <c r="E995" s="3" t="n">
        <v>5</v>
      </c>
      <c r="F995" s="3"/>
      <c r="G995" s="3" t="n">
        <v>0</v>
      </c>
      <c r="H995" s="3" t="n">
        <v>670</v>
      </c>
      <c r="I995" s="3" t="s">
        <v>22</v>
      </c>
      <c r="J995" s="3" t="n">
        <v>0</v>
      </c>
      <c r="K995" s="3" t="n">
        <v>0</v>
      </c>
      <c r="L995" s="3" t="n">
        <v>0</v>
      </c>
      <c r="M995" s="3" t="s">
        <v>485</v>
      </c>
      <c r="N995" s="3" t="n">
        <v>139.4</v>
      </c>
      <c r="O995" s="3" t="n">
        <v>-19.544</v>
      </c>
      <c r="P995" s="3" t="n">
        <v>169.287</v>
      </c>
      <c r="Q995" s="3" t="s">
        <v>177</v>
      </c>
      <c r="R995" s="3"/>
      <c r="S995" s="3" t="s">
        <v>25</v>
      </c>
    </row>
    <row r="996" customFormat="false" ht="13.8" hidden="false" customHeight="false" outlineLevel="0" collapsed="false">
      <c r="A996" s="3" t="s">
        <v>2559</v>
      </c>
      <c r="B996" s="3" t="n">
        <v>6.5</v>
      </c>
      <c r="C996" s="3" t="s">
        <v>2560</v>
      </c>
      <c r="D996" s="3" t="n">
        <v>0</v>
      </c>
      <c r="E996" s="3" t="n">
        <v>7</v>
      </c>
      <c r="F996" s="3"/>
      <c r="G996" s="3" t="n">
        <v>0</v>
      </c>
      <c r="H996" s="3" t="n">
        <v>650</v>
      </c>
      <c r="I996" s="3" t="s">
        <v>22</v>
      </c>
      <c r="J996" s="3" t="n">
        <v>0</v>
      </c>
      <c r="K996" s="3" t="n">
        <v>0</v>
      </c>
      <c r="L996" s="3" t="n">
        <v>0</v>
      </c>
      <c r="M996" s="3" t="s">
        <v>485</v>
      </c>
      <c r="N996" s="3" t="n">
        <v>14.2</v>
      </c>
      <c r="O996" s="3" t="n">
        <v>38.401</v>
      </c>
      <c r="P996" s="3" t="n">
        <v>22.283</v>
      </c>
      <c r="Q996" s="3" t="s">
        <v>2561</v>
      </c>
      <c r="R996" s="3" t="s">
        <v>361</v>
      </c>
      <c r="S996" s="3" t="s">
        <v>362</v>
      </c>
    </row>
    <row r="997" customFormat="false" ht="13.8" hidden="false" customHeight="false" outlineLevel="0" collapsed="false">
      <c r="A997" s="3" t="s">
        <v>2562</v>
      </c>
      <c r="B997" s="3" t="n">
        <v>7.1</v>
      </c>
      <c r="C997" s="3" t="s">
        <v>2563</v>
      </c>
      <c r="D997" s="3" t="n">
        <v>0</v>
      </c>
      <c r="E997" s="3" t="n">
        <v>9</v>
      </c>
      <c r="F997" s="3"/>
      <c r="G997" s="3" t="n">
        <v>0</v>
      </c>
      <c r="H997" s="3" t="n">
        <v>776</v>
      </c>
      <c r="I997" s="3" t="s">
        <v>22</v>
      </c>
      <c r="J997" s="3" t="n">
        <v>0</v>
      </c>
      <c r="K997" s="3" t="n">
        <v>0</v>
      </c>
      <c r="L997" s="3" t="n">
        <v>0</v>
      </c>
      <c r="M997" s="3" t="s">
        <v>154</v>
      </c>
      <c r="N997" s="3" t="n">
        <v>11</v>
      </c>
      <c r="O997" s="3" t="n">
        <v>52.629</v>
      </c>
      <c r="P997" s="3" t="n">
        <v>142.827</v>
      </c>
      <c r="Q997" s="3" t="s">
        <v>2564</v>
      </c>
      <c r="R997" s="3" t="s">
        <v>80</v>
      </c>
      <c r="S997" s="3" t="s">
        <v>428</v>
      </c>
    </row>
    <row r="998" customFormat="false" ht="13.8" hidden="false" customHeight="false" outlineLevel="0" collapsed="false">
      <c r="A998" s="3" t="s">
        <v>2565</v>
      </c>
      <c r="B998" s="3" t="n">
        <v>7.7</v>
      </c>
      <c r="C998" s="3" t="s">
        <v>2566</v>
      </c>
      <c r="D998" s="3" t="n">
        <v>0</v>
      </c>
      <c r="E998" s="3" t="n">
        <v>4</v>
      </c>
      <c r="F998" s="3"/>
      <c r="G998" s="3" t="n">
        <v>0</v>
      </c>
      <c r="H998" s="3" t="n">
        <v>912</v>
      </c>
      <c r="I998" s="3" t="s">
        <v>22</v>
      </c>
      <c r="J998" s="3" t="n">
        <v>0</v>
      </c>
      <c r="K998" s="3" t="n">
        <v>0</v>
      </c>
      <c r="L998" s="3" t="n">
        <v>0</v>
      </c>
      <c r="M998" s="3" t="s">
        <v>485</v>
      </c>
      <c r="N998" s="3" t="n">
        <v>20.2</v>
      </c>
      <c r="O998" s="3" t="n">
        <v>-23.008</v>
      </c>
      <c r="P998" s="3" t="n">
        <v>169.9</v>
      </c>
      <c r="Q998" s="3" t="s">
        <v>2567</v>
      </c>
      <c r="R998" s="3"/>
      <c r="S998" s="3"/>
    </row>
    <row r="999" customFormat="false" ht="13.8" hidden="false" customHeight="false" outlineLevel="0" collapsed="false">
      <c r="A999" s="3" t="s">
        <v>2568</v>
      </c>
      <c r="B999" s="3" t="n">
        <v>6.9</v>
      </c>
      <c r="C999" s="3" t="s">
        <v>2569</v>
      </c>
      <c r="D999" s="3" t="n">
        <v>0</v>
      </c>
      <c r="E999" s="3" t="n">
        <v>6</v>
      </c>
      <c r="F999" s="3"/>
      <c r="G999" s="3" t="n">
        <v>0</v>
      </c>
      <c r="H999" s="3" t="n">
        <v>732</v>
      </c>
      <c r="I999" s="3" t="s">
        <v>22</v>
      </c>
      <c r="J999" s="3" t="n">
        <v>0</v>
      </c>
      <c r="K999" s="3" t="n">
        <v>0</v>
      </c>
      <c r="L999" s="3" t="n">
        <v>0</v>
      </c>
      <c r="M999" s="3" t="s">
        <v>485</v>
      </c>
      <c r="N999" s="3" t="n">
        <v>11.2</v>
      </c>
      <c r="O999" s="3" t="n">
        <v>-8.378</v>
      </c>
      <c r="P999" s="3" t="n">
        <v>125.127</v>
      </c>
      <c r="Q999" s="3" t="s">
        <v>896</v>
      </c>
      <c r="R999" s="3"/>
      <c r="S999" s="3" t="s">
        <v>68</v>
      </c>
    </row>
    <row r="1000" customFormat="false" ht="13.8" hidden="false" customHeight="false" outlineLevel="0" collapsed="false">
      <c r="A1000" s="3" t="s">
        <v>2570</v>
      </c>
      <c r="B1000" s="3" t="n">
        <v>6.6</v>
      </c>
      <c r="C1000" s="3" t="s">
        <v>2571</v>
      </c>
      <c r="D1000" s="3" t="n">
        <v>0</v>
      </c>
      <c r="E1000" s="3" t="n">
        <v>9</v>
      </c>
      <c r="F1000" s="3"/>
      <c r="G1000" s="3" t="n">
        <v>0</v>
      </c>
      <c r="H1000" s="3" t="n">
        <v>670</v>
      </c>
      <c r="I1000" s="3" t="s">
        <v>22</v>
      </c>
      <c r="J1000" s="3" t="n">
        <v>0</v>
      </c>
      <c r="K1000" s="3" t="n">
        <v>0</v>
      </c>
      <c r="L1000" s="3" t="n">
        <v>0</v>
      </c>
      <c r="M1000" s="3" t="s">
        <v>485</v>
      </c>
      <c r="N1000" s="3" t="n">
        <v>14</v>
      </c>
      <c r="O1000" s="3" t="n">
        <v>40.149</v>
      </c>
      <c r="P1000" s="3" t="n">
        <v>21.695</v>
      </c>
      <c r="Q1000" s="3" t="s">
        <v>2572</v>
      </c>
      <c r="R1000" s="3" t="s">
        <v>361</v>
      </c>
      <c r="S1000" s="3" t="s">
        <v>362</v>
      </c>
    </row>
    <row r="1001" customFormat="false" ht="13.8" hidden="false" customHeight="false" outlineLevel="0" collapsed="false">
      <c r="A1001" s="3" t="s">
        <v>2573</v>
      </c>
      <c r="B1001" s="3" t="n">
        <v>7.1</v>
      </c>
      <c r="C1001" s="3" t="s">
        <v>2574</v>
      </c>
      <c r="D1001" s="3" t="n">
        <v>0</v>
      </c>
      <c r="E1001" s="3" t="n">
        <v>7</v>
      </c>
      <c r="F1001" s="3"/>
      <c r="G1001" s="3" t="n">
        <v>0</v>
      </c>
      <c r="H1001" s="3" t="n">
        <v>776</v>
      </c>
      <c r="I1001" s="3" t="s">
        <v>22</v>
      </c>
      <c r="J1001" s="3" t="n">
        <v>0</v>
      </c>
      <c r="K1001" s="3" t="n">
        <v>0</v>
      </c>
      <c r="L1001" s="3" t="n">
        <v>0</v>
      </c>
      <c r="M1001" s="3" t="s">
        <v>485</v>
      </c>
      <c r="N1001" s="3" t="n">
        <v>16</v>
      </c>
      <c r="O1001" s="3" t="n">
        <v>12.626</v>
      </c>
      <c r="P1001" s="3" t="n">
        <v>125.297</v>
      </c>
      <c r="Q1001" s="3" t="s">
        <v>2575</v>
      </c>
      <c r="R1001" s="3"/>
      <c r="S1001" s="3" t="s">
        <v>191</v>
      </c>
    </row>
  </sheetData>
  <sheetProtection sheet="true" objects="true" scenarios="true"/>
  <autoFilter ref="A1:S1001"/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19" min="4" style="1" width="16"/>
    <col collapsed="false" customWidth="true" hidden="false" outlineLevel="0" max="20" min="20" style="1" width="22"/>
    <col collapsed="false" customWidth="true" hidden="false" outlineLevel="0" max="21" min="21" style="1" width="28"/>
    <col collapsed="false" customWidth="true" hidden="false" outlineLevel="0" max="26" min="22" style="1" width="16"/>
  </cols>
  <sheetData>
    <row r="1" customFormat="false" ht="28.3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2576</v>
      </c>
      <c r="U1" s="4" t="s">
        <v>2577</v>
      </c>
      <c r="V1" s="4" t="s">
        <v>2578</v>
      </c>
      <c r="W1" s="4" t="s">
        <v>2579</v>
      </c>
      <c r="X1" s="4" t="s">
        <v>2580</v>
      </c>
      <c r="Y1" s="4" t="s">
        <v>2581</v>
      </c>
      <c r="Z1" s="4" t="s">
        <v>2582</v>
      </c>
    </row>
    <row r="2" customFormat="false" ht="13.8" hidden="false" customHeight="false" outlineLevel="0" collapsed="false">
      <c r="A2" s="3" t="s">
        <v>19</v>
      </c>
      <c r="B2" s="3" t="n">
        <v>6.5</v>
      </c>
      <c r="C2" s="3" t="s">
        <v>20</v>
      </c>
      <c r="D2" s="3" t="n">
        <v>7</v>
      </c>
      <c r="E2" s="3" t="n">
        <v>4</v>
      </c>
      <c r="F2" s="3" t="s">
        <v>21</v>
      </c>
      <c r="G2" s="3" t="n">
        <v>0</v>
      </c>
      <c r="H2" s="3" t="n">
        <v>657</v>
      </c>
      <c r="I2" s="3" t="s">
        <v>22</v>
      </c>
      <c r="J2" s="3" t="n">
        <v>114</v>
      </c>
      <c r="K2" s="3" t="n">
        <v>7.177</v>
      </c>
      <c r="L2" s="3" t="n">
        <v>25</v>
      </c>
      <c r="M2" s="3" t="s">
        <v>23</v>
      </c>
      <c r="N2" s="3" t="n">
        <v>192.955</v>
      </c>
      <c r="O2" s="3" t="n">
        <v>-13.8814</v>
      </c>
      <c r="P2" s="3" t="n">
        <v>167.158</v>
      </c>
      <c r="Q2" s="3" t="s">
        <v>24</v>
      </c>
      <c r="R2" s="3"/>
      <c r="S2" s="3" t="s">
        <v>25</v>
      </c>
      <c r="T2" s="5" t="n">
        <f aca="false">IF(C2="","",DATE(VALUE(MID(C2,7,4)),VALUE(MID(C2,4,2)),VALUE(MID(C2,1,2)))+TIME(VALUE(MID(C2,12,2)),VALUE(MID(C2,15,2)),0))</f>
        <v>45154.5326388889</v>
      </c>
      <c r="U2" s="3" t="str">
        <f aca="false">IFERROR(IF(ISNUMBER(VALUE(TRIM(MID(A2,FIND("-",A2)+1,FIND("km",A2)-FIND("-",A2)-1)))),"Distance + direction + city","Named-region"),"Named-region")</f>
        <v>Distance + direction + city</v>
      </c>
      <c r="V2" s="3" t="str">
        <f aca="false">LOWER(M2)</f>
        <v>mww</v>
      </c>
      <c r="W2" s="3" t="n">
        <f aca="false">COUNTIFS($A$2:$A$1001,A2,$C$2:$C$1001,C2)</f>
        <v>1</v>
      </c>
      <c r="X2" s="3" t="str">
        <f aca="false">IF(W2&gt;1,"Duplicate","Unique")</f>
        <v>Unique</v>
      </c>
      <c r="Y2" s="3" t="str">
        <f aca="false">IF(B2&lt;6.5,"&lt;6.5",IF(B2&lt;7,"6.5–6.9",IF(B2&lt;7.5,"7.0–7.4",IF(B2&lt;8,"7.5–7.9","8.0+"))))</f>
        <v>6.5–6.9</v>
      </c>
      <c r="Z2" s="3" t="n">
        <f aca="false">IF(T2="","",YEAR(T2))</f>
        <v>2023</v>
      </c>
    </row>
    <row r="3" customFormat="false" ht="13.8" hidden="false" customHeight="false" outlineLevel="0" collapsed="false">
      <c r="A3" s="3" t="s">
        <v>26</v>
      </c>
      <c r="B3" s="3" t="n">
        <v>6.5</v>
      </c>
      <c r="C3" s="3" t="s">
        <v>27</v>
      </c>
      <c r="D3" s="3" t="n">
        <v>8</v>
      </c>
      <c r="E3" s="3" t="n">
        <v>6</v>
      </c>
      <c r="F3" s="3" t="s">
        <v>28</v>
      </c>
      <c r="G3" s="3" t="n">
        <v>0</v>
      </c>
      <c r="H3" s="3" t="n">
        <v>775</v>
      </c>
      <c r="I3" s="3" t="s">
        <v>22</v>
      </c>
      <c r="J3" s="3" t="n">
        <v>92</v>
      </c>
      <c r="K3" s="3" t="n">
        <v>0.679</v>
      </c>
      <c r="L3" s="3" t="n">
        <v>40</v>
      </c>
      <c r="M3" s="3" t="s">
        <v>23</v>
      </c>
      <c r="N3" s="3" t="n">
        <v>69.727</v>
      </c>
      <c r="O3" s="3" t="n">
        <v>12.814</v>
      </c>
      <c r="P3" s="3" t="n">
        <v>-88.1265</v>
      </c>
      <c r="Q3" s="3" t="s">
        <v>29</v>
      </c>
      <c r="R3" s="3"/>
      <c r="S3" s="3"/>
      <c r="T3" s="5" t="n">
        <f aca="false">IF(C3="","",DATE(VALUE(MID(C3,7,4)),VALUE(MID(C3,4,2)),VALUE(MID(C3,1,2)))+TIME(VALUE(MID(C3,12,2)),VALUE(MID(C3,15,2)),0))</f>
        <v>45126.0152777778</v>
      </c>
      <c r="U3" s="3" t="str">
        <f aca="false">IFERROR(IF(ISNUMBER(VALUE(TRIM(MID(A3,FIND("-",A3)+1,FIND("km",A3)-FIND("-",A3)-1)))),"Distance + direction + city","Named-region"),"Named-region")</f>
        <v>Distance + direction + city</v>
      </c>
      <c r="V3" s="3" t="str">
        <f aca="false">LOWER(M3)</f>
        <v>mww</v>
      </c>
      <c r="W3" s="3" t="n">
        <f aca="false">COUNTIFS($A$2:$A$1001,A3,$C$2:$C$1001,C3)</f>
        <v>1</v>
      </c>
      <c r="X3" s="3" t="str">
        <f aca="false">IF(W3&gt;1,"Duplicate","Unique")</f>
        <v>Unique</v>
      </c>
      <c r="Y3" s="3" t="str">
        <f aca="false">IF(B3&lt;6.5,"&lt;6.5",IF(B3&lt;7,"6.5–6.9",IF(B3&lt;7.5,"7.0–7.4",IF(B3&lt;8,"7.5–7.9","8.0+"))))</f>
        <v>6.5–6.9</v>
      </c>
      <c r="Z3" s="3" t="n">
        <f aca="false">IF(T3="","",YEAR(T3))</f>
        <v>2023</v>
      </c>
    </row>
    <row r="4" customFormat="false" ht="13.8" hidden="false" customHeight="false" outlineLevel="0" collapsed="false">
      <c r="A4" s="3" t="s">
        <v>30</v>
      </c>
      <c r="B4" s="3" t="n">
        <v>6.6</v>
      </c>
      <c r="C4" s="3" t="s">
        <v>31</v>
      </c>
      <c r="D4" s="3" t="n">
        <v>7</v>
      </c>
      <c r="E4" s="3" t="n">
        <v>5</v>
      </c>
      <c r="F4" s="3" t="s">
        <v>21</v>
      </c>
      <c r="G4" s="3" t="n">
        <v>0</v>
      </c>
      <c r="H4" s="3" t="n">
        <v>899</v>
      </c>
      <c r="I4" s="3" t="s">
        <v>22</v>
      </c>
      <c r="J4" s="3" t="n">
        <v>70</v>
      </c>
      <c r="K4" s="3" t="n">
        <v>1.634</v>
      </c>
      <c r="L4" s="3" t="n">
        <v>28</v>
      </c>
      <c r="M4" s="3" t="s">
        <v>23</v>
      </c>
      <c r="N4" s="3" t="n">
        <v>171.371</v>
      </c>
      <c r="O4" s="3" t="n">
        <v>-38.1911</v>
      </c>
      <c r="P4" s="3" t="n">
        <v>-70.3731</v>
      </c>
      <c r="Q4" s="3" t="s">
        <v>32</v>
      </c>
      <c r="R4" s="3" t="s">
        <v>33</v>
      </c>
      <c r="S4" s="3" t="s">
        <v>34</v>
      </c>
      <c r="T4" s="5" t="n">
        <f aca="false">IF(C4="","",DATE(VALUE(MID(C4,7,4)),VALUE(MID(C4,4,2)),VALUE(MID(C4,1,2)))+TIME(VALUE(MID(C4,12,2)),VALUE(MID(C4,15,2)),0))</f>
        <v>45124.1284722222</v>
      </c>
      <c r="U4" s="3" t="str">
        <f aca="false">IFERROR(IF(ISNUMBER(VALUE(TRIM(MID(A4,FIND("-",A4)+1,FIND("km",A4)-FIND("-",A4)-1)))),"Distance + direction + city","Named-region"),"Named-region")</f>
        <v>Distance + direction + city</v>
      </c>
      <c r="V4" s="3" t="str">
        <f aca="false">LOWER(M4)</f>
        <v>mww</v>
      </c>
      <c r="W4" s="3" t="n">
        <f aca="false">COUNTIFS($A$2:$A$1001,A4,$C$2:$C$1001,C4)</f>
        <v>1</v>
      </c>
      <c r="X4" s="3" t="str">
        <f aca="false">IF(W4&gt;1,"Duplicate","Unique")</f>
        <v>Unique</v>
      </c>
      <c r="Y4" s="3" t="str">
        <f aca="false">IF(B4&lt;6.5,"&lt;6.5",IF(B4&lt;7,"6.5–6.9",IF(B4&lt;7.5,"7.0–7.4",IF(B4&lt;8,"7.5–7.9","8.0+"))))</f>
        <v>6.5–6.9</v>
      </c>
      <c r="Z4" s="3" t="n">
        <f aca="false">IF(T4="","",YEAR(T4))</f>
        <v>2023</v>
      </c>
    </row>
    <row r="5" customFormat="false" ht="13.8" hidden="false" customHeight="false" outlineLevel="0" collapsed="false">
      <c r="A5" s="3" t="s">
        <v>35</v>
      </c>
      <c r="B5" s="3" t="n">
        <v>7.2</v>
      </c>
      <c r="C5" s="3" t="s">
        <v>36</v>
      </c>
      <c r="D5" s="3" t="n">
        <v>6</v>
      </c>
      <c r="E5" s="3" t="n">
        <v>6</v>
      </c>
      <c r="F5" s="3" t="s">
        <v>21</v>
      </c>
      <c r="G5" s="3" t="n">
        <v>1</v>
      </c>
      <c r="H5" s="3" t="n">
        <v>860</v>
      </c>
      <c r="I5" s="3" t="s">
        <v>22</v>
      </c>
      <c r="J5" s="3" t="n">
        <v>173</v>
      </c>
      <c r="K5" s="3" t="n">
        <v>0.907</v>
      </c>
      <c r="L5" s="3" t="n">
        <v>36</v>
      </c>
      <c r="M5" s="3" t="s">
        <v>23</v>
      </c>
      <c r="N5" s="3" t="n">
        <v>32.571</v>
      </c>
      <c r="O5" s="3" t="n">
        <v>54.3844</v>
      </c>
      <c r="P5" s="3" t="n">
        <v>-160.699</v>
      </c>
      <c r="Q5" s="3" t="s">
        <v>37</v>
      </c>
      <c r="R5" s="3"/>
      <c r="S5" s="3"/>
      <c r="T5" s="5" t="n">
        <f aca="false">IF(C5="","",DATE(VALUE(MID(C5,7,4)),VALUE(MID(C5,4,2)),VALUE(MID(C5,1,2)))+TIME(VALUE(MID(C5,12,2)),VALUE(MID(C5,15,2)),0))</f>
        <v>45123.2833333333</v>
      </c>
      <c r="U5" s="3" t="str">
        <f aca="false">IFERROR(IF(ISNUMBER(VALUE(TRIM(MID(A5,FIND("-",A5)+1,FIND("km",A5)-FIND("-",A5)-1)))),"Distance + direction + city","Named-region"),"Named-region")</f>
        <v>Distance + direction + city</v>
      </c>
      <c r="V5" s="3" t="str">
        <f aca="false">LOWER(M5)</f>
        <v>mww</v>
      </c>
      <c r="W5" s="3" t="n">
        <f aca="false">COUNTIFS($A$2:$A$1001,A5,$C$2:$C$1001,C5)</f>
        <v>1</v>
      </c>
      <c r="X5" s="3" t="str">
        <f aca="false">IF(W5&gt;1,"Duplicate","Unique")</f>
        <v>Unique</v>
      </c>
      <c r="Y5" s="3" t="str">
        <f aca="false">IF(B5&lt;6.5,"&lt;6.5",IF(B5&lt;7,"6.5–6.9",IF(B5&lt;7.5,"7.0–7.4",IF(B5&lt;8,"7.5–7.9","8.0+"))))</f>
        <v>7.0–7.4</v>
      </c>
      <c r="Z5" s="3" t="n">
        <f aca="false">IF(T5="","",YEAR(T5))</f>
        <v>2023</v>
      </c>
    </row>
    <row r="6" customFormat="false" ht="13.8" hidden="false" customHeight="false" outlineLevel="0" collapsed="false">
      <c r="A6" s="3" t="s">
        <v>38</v>
      </c>
      <c r="B6" s="3" t="n">
        <v>7.3</v>
      </c>
      <c r="C6" s="3" t="s">
        <v>36</v>
      </c>
      <c r="D6" s="3" t="n">
        <v>0</v>
      </c>
      <c r="E6" s="3" t="n">
        <v>5</v>
      </c>
      <c r="F6" s="3"/>
      <c r="G6" s="3" t="n">
        <v>1</v>
      </c>
      <c r="H6" s="3" t="n">
        <v>820</v>
      </c>
      <c r="I6" s="3" t="s">
        <v>39</v>
      </c>
      <c r="J6" s="3" t="n">
        <v>79</v>
      </c>
      <c r="K6" s="3" t="n">
        <v>0.879451</v>
      </c>
      <c r="L6" s="3" t="n">
        <v>172.8</v>
      </c>
      <c r="M6" s="3" t="s">
        <v>40</v>
      </c>
      <c r="N6" s="3" t="n">
        <v>21</v>
      </c>
      <c r="O6" s="3" t="n">
        <v>54.49</v>
      </c>
      <c r="P6" s="3" t="n">
        <v>-160.796</v>
      </c>
      <c r="Q6" s="3" t="s">
        <v>41</v>
      </c>
      <c r="R6" s="3"/>
      <c r="S6" s="3"/>
      <c r="T6" s="5" t="n">
        <f aca="false">IF(C6="","",DATE(VALUE(MID(C6,7,4)),VALUE(MID(C6,4,2)),VALUE(MID(C6,1,2)))+TIME(VALUE(MID(C6,12,2)),VALUE(MID(C6,15,2)),0))</f>
        <v>45123.2833333333</v>
      </c>
      <c r="U6" s="3" t="str">
        <f aca="false">IFERROR(IF(ISNUMBER(VALUE(TRIM(MID(A6,FIND("-",A6)+1,FIND("km",A6)-FIND("-",A6)-1)))),"Distance + direction + city","Named-region"),"Named-region")</f>
        <v>Named-region</v>
      </c>
      <c r="V6" s="3" t="str">
        <f aca="false">LOWER(M6)</f>
        <v>mi</v>
      </c>
      <c r="W6" s="3" t="n">
        <f aca="false">COUNTIFS($A$2:$A$1001,A6,$C$2:$C$1001,C6)</f>
        <v>1</v>
      </c>
      <c r="X6" s="3" t="str">
        <f aca="false">IF(W6&gt;1,"Duplicate","Unique")</f>
        <v>Unique</v>
      </c>
      <c r="Y6" s="3" t="str">
        <f aca="false">IF(B6&lt;6.5,"&lt;6.5",IF(B6&lt;7,"6.5–6.9",IF(B6&lt;7.5,"7.0–7.4",IF(B6&lt;8,"7.5–7.9","8.0+"))))</f>
        <v>7.0–7.4</v>
      </c>
      <c r="Z6" s="3" t="n">
        <f aca="false">IF(T6="","",YEAR(T6))</f>
        <v>2023</v>
      </c>
    </row>
    <row r="7" customFormat="false" ht="13.8" hidden="false" customHeight="false" outlineLevel="0" collapsed="false">
      <c r="A7" s="3" t="s">
        <v>42</v>
      </c>
      <c r="B7" s="3" t="n">
        <v>6.6</v>
      </c>
      <c r="C7" s="6" t="s">
        <v>43</v>
      </c>
      <c r="D7" s="3" t="n">
        <v>5</v>
      </c>
      <c r="E7" s="3" t="n">
        <v>4</v>
      </c>
      <c r="F7" s="3" t="s">
        <v>21</v>
      </c>
      <c r="G7" s="3" t="n">
        <v>1</v>
      </c>
      <c r="H7" s="3" t="n">
        <v>802</v>
      </c>
      <c r="I7" s="3" t="s">
        <v>22</v>
      </c>
      <c r="J7" s="3" t="n">
        <v>95</v>
      </c>
      <c r="K7" s="3" t="n">
        <v>2.454</v>
      </c>
      <c r="L7" s="3" t="n">
        <v>37</v>
      </c>
      <c r="M7" s="3" t="s">
        <v>23</v>
      </c>
      <c r="N7" s="3" t="n">
        <v>10</v>
      </c>
      <c r="O7" s="3" t="n">
        <v>20.0196</v>
      </c>
      <c r="P7" s="3" t="n">
        <v>-61.0955</v>
      </c>
      <c r="Q7" s="3" t="s">
        <v>44</v>
      </c>
      <c r="R7" s="3"/>
      <c r="S7" s="3"/>
      <c r="T7" s="5" t="n">
        <f aca="false">IF(C7="","",DATE(VALUE(MID(C7,7,4)),VALUE(MID(C7,4,2)),VALUE(MID(C7,1,2)))+TIME(VALUE(MID(C7,12,2)),VALUE(MID(C7,15,2)),0))</f>
        <v>45117.8527777778</v>
      </c>
      <c r="U7" s="3" t="str">
        <f aca="false">IFERROR(IF(ISNUMBER(VALUE(TRIM(MID(A7,FIND("-",A7)+1,FIND("km",A7)-FIND("-",A7)-1)))),"Distance + direction + city","Named-region"),"Named-region")</f>
        <v>Distance + direction + city</v>
      </c>
      <c r="V7" s="3" t="str">
        <f aca="false">LOWER(M7)</f>
        <v>mww</v>
      </c>
      <c r="W7" s="3" t="n">
        <f aca="false">COUNTIFS($A$2:$A$1001,A7,$C$2:$C$1001,C7)</f>
        <v>1</v>
      </c>
      <c r="X7" s="3" t="str">
        <f aca="false">IF(W7&gt;1,"Duplicate","Unique")</f>
        <v>Unique</v>
      </c>
      <c r="Y7" s="3" t="str">
        <f aca="false">IF(B7&lt;6.5,"&lt;6.5",IF(B7&lt;7,"6.5–6.9",IF(B7&lt;7.5,"7.0–7.4",IF(B7&lt;8,"7.5–7.9","8.0+"))))</f>
        <v>6.5–6.9</v>
      </c>
      <c r="Z7" s="3" t="n">
        <f aca="false">IF(T7="","",YEAR(T7))</f>
        <v>2023</v>
      </c>
    </row>
    <row r="8" customFormat="false" ht="13.8" hidden="false" customHeight="false" outlineLevel="0" collapsed="false">
      <c r="A8" s="3" t="s">
        <v>45</v>
      </c>
      <c r="B8" s="3" t="n">
        <v>6.9</v>
      </c>
      <c r="C8" s="6" t="s">
        <v>46</v>
      </c>
      <c r="D8" s="3" t="n">
        <v>4</v>
      </c>
      <c r="E8" s="3" t="n">
        <v>4</v>
      </c>
      <c r="F8" s="3" t="s">
        <v>21</v>
      </c>
      <c r="G8" s="3" t="n">
        <v>1</v>
      </c>
      <c r="H8" s="3" t="n">
        <v>741</v>
      </c>
      <c r="I8" s="3" t="s">
        <v>22</v>
      </c>
      <c r="J8" s="3" t="n">
        <v>136</v>
      </c>
      <c r="K8" s="3" t="n">
        <v>1.179</v>
      </c>
      <c r="L8" s="3" t="n">
        <v>23</v>
      </c>
      <c r="M8" s="3" t="s">
        <v>23</v>
      </c>
      <c r="N8" s="3" t="n">
        <v>229</v>
      </c>
      <c r="O8" s="3" t="n">
        <v>-17.853</v>
      </c>
      <c r="P8" s="3" t="n">
        <v>-174.937</v>
      </c>
      <c r="Q8" s="3" t="s">
        <v>47</v>
      </c>
      <c r="R8" s="3"/>
      <c r="S8" s="3"/>
      <c r="T8" s="5" t="n">
        <f aca="false">IF(C8="","",DATE(VALUE(MID(C8,7,4)),VALUE(MID(C8,4,2)),VALUE(MID(C8,1,2)))+TIME(VALUE(MID(C8,12,2)),VALUE(MID(C8,15,2)),0))</f>
        <v>45109.4354166667</v>
      </c>
      <c r="U8" s="3" t="str">
        <f aca="false">IFERROR(IF(ISNUMBER(VALUE(TRIM(MID(A8,FIND("-",A8)+1,FIND("km",A8)-FIND("-",A8)-1)))),"Distance + direction + city","Named-region"),"Named-region")</f>
        <v>Named-region</v>
      </c>
      <c r="V8" s="3" t="str">
        <f aca="false">LOWER(M8)</f>
        <v>mww</v>
      </c>
      <c r="W8" s="3" t="n">
        <f aca="false">COUNTIFS($A$2:$A$1001,A8,$C$2:$C$1001,C8)</f>
        <v>1</v>
      </c>
      <c r="X8" s="3" t="str">
        <f aca="false">IF(W8&gt;1,"Duplicate","Unique")</f>
        <v>Unique</v>
      </c>
      <c r="Y8" s="3" t="str">
        <f aca="false">IF(B8&lt;6.5,"&lt;6.5",IF(B8&lt;7,"6.5–6.9",IF(B8&lt;7.5,"7.0–7.4",IF(B8&lt;8,"7.5–7.9","8.0+"))))</f>
        <v>6.5–6.9</v>
      </c>
      <c r="Z8" s="3" t="n">
        <f aca="false">IF(T8="","",YEAR(T8))</f>
        <v>2023</v>
      </c>
    </row>
    <row r="9" customFormat="false" ht="13.8" hidden="false" customHeight="false" outlineLevel="0" collapsed="false">
      <c r="A9" s="3" t="s">
        <v>48</v>
      </c>
      <c r="B9" s="3" t="n">
        <v>7.2</v>
      </c>
      <c r="C9" s="3" t="s">
        <v>49</v>
      </c>
      <c r="D9" s="3" t="n">
        <v>8</v>
      </c>
      <c r="E9" s="3" t="n">
        <v>6</v>
      </c>
      <c r="F9" s="3" t="s">
        <v>21</v>
      </c>
      <c r="G9" s="3" t="n">
        <v>1</v>
      </c>
      <c r="H9" s="3" t="n">
        <v>804</v>
      </c>
      <c r="I9" s="3" t="s">
        <v>22</v>
      </c>
      <c r="J9" s="3" t="n">
        <v>85</v>
      </c>
      <c r="K9" s="3" t="n">
        <v>2.59</v>
      </c>
      <c r="L9" s="3" t="n">
        <v>24</v>
      </c>
      <c r="M9" s="3" t="s">
        <v>23</v>
      </c>
      <c r="N9" s="3" t="n">
        <v>167.404</v>
      </c>
      <c r="O9" s="3" t="n">
        <v>-22.9824</v>
      </c>
      <c r="P9" s="3" t="n">
        <v>-177.208</v>
      </c>
      <c r="Q9" s="3" t="s">
        <v>50</v>
      </c>
      <c r="R9" s="3"/>
      <c r="S9" s="3"/>
      <c r="T9" s="5" t="n">
        <f aca="false">IF(C9="","",DATE(VALUE(MID(C9,7,4)),VALUE(MID(C9,4,2)),VALUE(MID(C9,1,2)))+TIME(VALUE(MID(C9,12,2)),VALUE(MID(C9,15,2)),0))</f>
        <v>45092.7541666667</v>
      </c>
      <c r="U9" s="3" t="str">
        <f aca="false">IFERROR(IF(ISNUMBER(VALUE(TRIM(MID(A9,FIND("-",A9)+1,FIND("km",A9)-FIND("-",A9)-1)))),"Distance + direction + city","Named-region"),"Named-region")</f>
        <v>Named-region</v>
      </c>
      <c r="V9" s="3" t="str">
        <f aca="false">LOWER(M9)</f>
        <v>mww</v>
      </c>
      <c r="W9" s="3" t="n">
        <f aca="false">COUNTIFS($A$2:$A$1001,A9,$C$2:$C$1001,C9)</f>
        <v>1</v>
      </c>
      <c r="X9" s="3" t="str">
        <f aca="false">IF(W9&gt;1,"Duplicate","Unique")</f>
        <v>Unique</v>
      </c>
      <c r="Y9" s="3" t="str">
        <f aca="false">IF(B9&lt;6.5,"&lt;6.5",IF(B9&lt;7,"6.5–6.9",IF(B9&lt;7.5,"7.0–7.4",IF(B9&lt;8,"7.5–7.9","8.0+"))))</f>
        <v>7.0–7.4</v>
      </c>
      <c r="Z9" s="3" t="n">
        <f aca="false">IF(T9="","",YEAR(T9))</f>
        <v>2023</v>
      </c>
    </row>
    <row r="10" customFormat="false" ht="13.8" hidden="false" customHeight="false" outlineLevel="0" collapsed="false">
      <c r="A10" s="3" t="s">
        <v>51</v>
      </c>
      <c r="B10" s="3" t="n">
        <v>6.6</v>
      </c>
      <c r="C10" s="3" t="s">
        <v>52</v>
      </c>
      <c r="D10" s="3" t="n">
        <v>6</v>
      </c>
      <c r="E10" s="3" t="n">
        <v>6</v>
      </c>
      <c r="F10" s="3" t="s">
        <v>21</v>
      </c>
      <c r="G10" s="3" t="n">
        <v>1</v>
      </c>
      <c r="H10" s="3" t="n">
        <v>733</v>
      </c>
      <c r="I10" s="3" t="s">
        <v>22</v>
      </c>
      <c r="J10" s="3" t="n">
        <v>50</v>
      </c>
      <c r="K10" s="3" t="n">
        <v>2.163</v>
      </c>
      <c r="L10" s="3" t="n">
        <v>129</v>
      </c>
      <c r="M10" s="3" t="s">
        <v>23</v>
      </c>
      <c r="N10" s="3" t="n">
        <v>10</v>
      </c>
      <c r="O10" s="3" t="n">
        <v>8.8894</v>
      </c>
      <c r="P10" s="3" t="n">
        <v>-77.1231</v>
      </c>
      <c r="Q10" s="3" t="s">
        <v>53</v>
      </c>
      <c r="R10" s="3"/>
      <c r="S10" s="3" t="s">
        <v>54</v>
      </c>
      <c r="T10" s="5" t="n">
        <f aca="false">IF(C10="","",DATE(VALUE(MID(C10,7,4)),VALUE(MID(C10,4,2)),VALUE(MID(C10,1,2)))+TIME(VALUE(MID(C10,12,2)),VALUE(MID(C10,15,2)),0))</f>
        <v>45071.1284722222</v>
      </c>
      <c r="U10" s="3" t="str">
        <f aca="false">IFERROR(IF(ISNUMBER(VALUE(TRIM(MID(A10,FIND("-",A10)+1,FIND("km",A10)-FIND("-",A10)-1)))),"Distance + direction + city","Named-region"),"Named-region")</f>
        <v>Named-region</v>
      </c>
      <c r="V10" s="3" t="str">
        <f aca="false">LOWER(M10)</f>
        <v>mww</v>
      </c>
      <c r="W10" s="3" t="n">
        <f aca="false">COUNTIFS($A$2:$A$1001,A10,$C$2:$C$1001,C10)</f>
        <v>1</v>
      </c>
      <c r="X10" s="3" t="str">
        <f aca="false">IF(W10&gt;1,"Duplicate","Unique")</f>
        <v>Unique</v>
      </c>
      <c r="Y10" s="3" t="str">
        <f aca="false">IF(B10&lt;6.5,"&lt;6.5",IF(B10&lt;7,"6.5–6.9",IF(B10&lt;7.5,"7.0–7.4",IF(B10&lt;8,"7.5–7.9","8.0+"))))</f>
        <v>6.5–6.9</v>
      </c>
      <c r="Z10" s="3" t="n">
        <f aca="false">IF(T10="","",YEAR(T10))</f>
        <v>2023</v>
      </c>
    </row>
    <row r="11" customFormat="false" ht="13.8" hidden="false" customHeight="false" outlineLevel="0" collapsed="false">
      <c r="A11" s="3" t="s">
        <v>55</v>
      </c>
      <c r="B11" s="3" t="n">
        <v>7.1</v>
      </c>
      <c r="C11" s="3" t="s">
        <v>56</v>
      </c>
      <c r="D11" s="3" t="n">
        <v>3</v>
      </c>
      <c r="E11" s="3" t="n">
        <v>4</v>
      </c>
      <c r="F11" s="3" t="s">
        <v>21</v>
      </c>
      <c r="G11" s="3" t="n">
        <v>1</v>
      </c>
      <c r="H11" s="3" t="n">
        <v>777</v>
      </c>
      <c r="I11" s="3" t="s">
        <v>22</v>
      </c>
      <c r="J11" s="3" t="n">
        <v>98</v>
      </c>
      <c r="K11" s="3" t="n">
        <v>2.812</v>
      </c>
      <c r="L11" s="3" t="n">
        <v>56</v>
      </c>
      <c r="M11" s="3" t="s">
        <v>23</v>
      </c>
      <c r="N11" s="3" t="n">
        <v>35.981</v>
      </c>
      <c r="O11" s="3" t="n">
        <v>-23.0622</v>
      </c>
      <c r="P11" s="3" t="n">
        <v>170.456</v>
      </c>
      <c r="Q11" s="3" t="s">
        <v>57</v>
      </c>
      <c r="R11" s="3"/>
      <c r="S11" s="3"/>
      <c r="T11" s="5" t="n">
        <f aca="false">IF(C11="","",DATE(VALUE(MID(C11,7,4)),VALUE(MID(C11,4,2)),VALUE(MID(C11,1,2)))+TIME(VALUE(MID(C11,12,2)),VALUE(MID(C11,15,2)),0))</f>
        <v>45066.0770833333</v>
      </c>
      <c r="U11" s="3" t="str">
        <f aca="false">IFERROR(IF(ISNUMBER(VALUE(TRIM(MID(A11,FIND("-",A11)+1,FIND("km",A11)-FIND("-",A11)-1)))),"Distance + direction + city","Named-region"),"Named-region")</f>
        <v>Named-region</v>
      </c>
      <c r="V11" s="3" t="str">
        <f aca="false">LOWER(M11)</f>
        <v>mww</v>
      </c>
      <c r="W11" s="3" t="n">
        <f aca="false">COUNTIFS($A$2:$A$1001,A11,$C$2:$C$1001,C11)</f>
        <v>1</v>
      </c>
      <c r="X11" s="3" t="str">
        <f aca="false">IF(W11&gt;1,"Duplicate","Unique")</f>
        <v>Unique</v>
      </c>
      <c r="Y11" s="3" t="str">
        <f aca="false">IF(B11&lt;6.5,"&lt;6.5",IF(B11&lt;7,"6.5–6.9",IF(B11&lt;7.5,"7.0–7.4",IF(B11&lt;8,"7.5–7.9","8.0+"))))</f>
        <v>7.0–7.4</v>
      </c>
      <c r="Z11" s="3" t="n">
        <f aca="false">IF(T11="","",YEAR(T11))</f>
        <v>2023</v>
      </c>
    </row>
    <row r="12" customFormat="false" ht="13.8" hidden="false" customHeight="false" outlineLevel="0" collapsed="false">
      <c r="A12" s="3" t="s">
        <v>58</v>
      </c>
      <c r="B12" s="3" t="n">
        <v>7.7</v>
      </c>
      <c r="C12" s="3" t="s">
        <v>59</v>
      </c>
      <c r="D12" s="3" t="n">
        <v>5</v>
      </c>
      <c r="E12" s="3" t="n">
        <v>4</v>
      </c>
      <c r="F12" s="3" t="s">
        <v>21</v>
      </c>
      <c r="G12" s="3" t="n">
        <v>1</v>
      </c>
      <c r="H12" s="3" t="n">
        <v>927</v>
      </c>
      <c r="I12" s="3" t="s">
        <v>22</v>
      </c>
      <c r="J12" s="3" t="n">
        <v>277</v>
      </c>
      <c r="K12" s="3" t="n">
        <v>3.111</v>
      </c>
      <c r="L12" s="3" t="n">
        <v>15</v>
      </c>
      <c r="M12" s="3" t="s">
        <v>23</v>
      </c>
      <c r="N12" s="3" t="n">
        <v>18.027</v>
      </c>
      <c r="O12" s="3" t="n">
        <v>-23.2286</v>
      </c>
      <c r="P12" s="3" t="n">
        <v>170.694</v>
      </c>
      <c r="Q12" s="3" t="s">
        <v>57</v>
      </c>
      <c r="R12" s="3"/>
      <c r="S12" s="3"/>
      <c r="T12" s="5" t="n">
        <f aca="false">IF(C12="","",DATE(VALUE(MID(C12,7,4)),VALUE(MID(C12,4,2)),VALUE(MID(C12,1,2)))+TIME(VALUE(MID(C12,12,2)),VALUE(MID(C12,15,2)),0))</f>
        <v>45065.1229166667</v>
      </c>
      <c r="U12" s="3" t="str">
        <f aca="false">IFERROR(IF(ISNUMBER(VALUE(TRIM(MID(A12,FIND("-",A12)+1,FIND("km",A12)-FIND("-",A12)-1)))),"Distance + direction + city","Named-region"),"Named-region")</f>
        <v>Named-region</v>
      </c>
      <c r="V12" s="3" t="str">
        <f aca="false">LOWER(M12)</f>
        <v>mww</v>
      </c>
      <c r="W12" s="3" t="n">
        <f aca="false">COUNTIFS($A$2:$A$1001,A12,$C$2:$C$1001,C12)</f>
        <v>1</v>
      </c>
      <c r="X12" s="3" t="str">
        <f aca="false">IF(W12&gt;1,"Duplicate","Unique")</f>
        <v>Unique</v>
      </c>
      <c r="Y12" s="3" t="str">
        <f aca="false">IF(B12&lt;6.5,"&lt;6.5",IF(B12&lt;7,"6.5–6.9",IF(B12&lt;7.5,"7.0–7.4",IF(B12&lt;8,"7.5–7.9","8.0+"))))</f>
        <v>7.5–7.9</v>
      </c>
      <c r="Z12" s="3" t="n">
        <f aca="false">IF(T12="","",YEAR(T12))</f>
        <v>2023</v>
      </c>
    </row>
    <row r="13" customFormat="false" ht="13.8" hidden="false" customHeight="false" outlineLevel="0" collapsed="false">
      <c r="A13" s="3" t="s">
        <v>60</v>
      </c>
      <c r="B13" s="3" t="n">
        <v>7.6</v>
      </c>
      <c r="C13" s="6" t="s">
        <v>61</v>
      </c>
      <c r="D13" s="3" t="n">
        <v>8</v>
      </c>
      <c r="E13" s="3" t="n">
        <v>6</v>
      </c>
      <c r="F13" s="3" t="s">
        <v>21</v>
      </c>
      <c r="G13" s="3" t="n">
        <v>1</v>
      </c>
      <c r="H13" s="3" t="n">
        <v>907</v>
      </c>
      <c r="I13" s="3" t="s">
        <v>22</v>
      </c>
      <c r="J13" s="3" t="n">
        <v>111</v>
      </c>
      <c r="K13" s="3" t="n">
        <v>3.631</v>
      </c>
      <c r="L13" s="3" t="n">
        <v>17</v>
      </c>
      <c r="M13" s="3" t="s">
        <v>23</v>
      </c>
      <c r="N13" s="3" t="n">
        <v>210.097</v>
      </c>
      <c r="O13" s="3" t="n">
        <v>-15.6002</v>
      </c>
      <c r="P13" s="3" t="n">
        <v>-174.608</v>
      </c>
      <c r="Q13" s="3" t="s">
        <v>62</v>
      </c>
      <c r="R13" s="3"/>
      <c r="S13" s="3"/>
      <c r="T13" s="5" t="n">
        <f aca="false">IF(C13="","",DATE(VALUE(MID(C13,7,4)),VALUE(MID(C13,4,2)),VALUE(MID(C13,1,2)))+TIME(VALUE(MID(C13,12,2)),VALUE(MID(C13,15,2)),0))</f>
        <v>45056.6680555556</v>
      </c>
      <c r="U13" s="3" t="str">
        <f aca="false">IFERROR(IF(ISNUMBER(VALUE(TRIM(MID(A13,FIND("-",A13)+1,FIND("km",A13)-FIND("-",A13)-1)))),"Distance + direction + city","Named-region"),"Named-region")</f>
        <v>Distance + direction + city</v>
      </c>
      <c r="V13" s="3" t="str">
        <f aca="false">LOWER(M13)</f>
        <v>mww</v>
      </c>
      <c r="W13" s="3" t="n">
        <f aca="false">COUNTIFS($A$2:$A$1001,A13,$C$2:$C$1001,C13)</f>
        <v>1</v>
      </c>
      <c r="X13" s="3" t="str">
        <f aca="false">IF(W13&gt;1,"Duplicate","Unique")</f>
        <v>Unique</v>
      </c>
      <c r="Y13" s="3" t="str">
        <f aca="false">IF(B13&lt;6.5,"&lt;6.5",IF(B13&lt;7,"6.5–6.9",IF(B13&lt;7.5,"7.0–7.4",IF(B13&lt;8,"7.5–7.9","8.0+"))))</f>
        <v>7.5–7.9</v>
      </c>
      <c r="Z13" s="3" t="n">
        <f aca="false">IF(T13="","",YEAR(T13))</f>
        <v>2023</v>
      </c>
    </row>
    <row r="14" customFormat="false" ht="13.8" hidden="false" customHeight="false" outlineLevel="0" collapsed="false">
      <c r="A14" s="3" t="s">
        <v>63</v>
      </c>
      <c r="B14" s="3" t="n">
        <v>6.6</v>
      </c>
      <c r="C14" s="3" t="s">
        <v>64</v>
      </c>
      <c r="D14" s="3" t="n">
        <v>0</v>
      </c>
      <c r="E14" s="3" t="n">
        <v>2</v>
      </c>
      <c r="F14" s="3" t="s">
        <v>21</v>
      </c>
      <c r="G14" s="3" t="n">
        <v>0</v>
      </c>
      <c r="H14" s="3" t="n">
        <v>670</v>
      </c>
      <c r="I14" s="3" t="s">
        <v>22</v>
      </c>
      <c r="J14" s="3" t="n">
        <v>52</v>
      </c>
      <c r="K14" s="3" t="n">
        <v>5.123</v>
      </c>
      <c r="L14" s="3" t="n">
        <v>50</v>
      </c>
      <c r="M14" s="3" t="s">
        <v>23</v>
      </c>
      <c r="N14" s="3" t="n">
        <v>598.467</v>
      </c>
      <c r="O14" s="3" t="n">
        <v>-25.2657</v>
      </c>
      <c r="P14" s="3" t="n">
        <v>178.424</v>
      </c>
      <c r="Q14" s="3" t="s">
        <v>50</v>
      </c>
      <c r="R14" s="3"/>
      <c r="S14" s="3"/>
      <c r="T14" s="5" t="n">
        <f aca="false">IF(C14="","",DATE(VALUE(MID(C14,7,4)),VALUE(MID(C14,4,2)),VALUE(MID(C14,1,2)))+TIME(VALUE(MID(C14,12,2)),VALUE(MID(C14,15,2)),0))</f>
        <v>45044.1340277778</v>
      </c>
      <c r="U14" s="3" t="str">
        <f aca="false">IFERROR(IF(ISNUMBER(VALUE(TRIM(MID(A14,FIND("-",A14)+1,FIND("km",A14)-FIND("-",A14)-1)))),"Distance + direction + city","Named-region"),"Named-region")</f>
        <v>Named-region</v>
      </c>
      <c r="V14" s="3" t="str">
        <f aca="false">LOWER(M14)</f>
        <v>mww</v>
      </c>
      <c r="W14" s="3" t="n">
        <f aca="false">COUNTIFS($A$2:$A$1001,A14,$C$2:$C$1001,C14)</f>
        <v>1</v>
      </c>
      <c r="X14" s="3" t="str">
        <f aca="false">IF(W14&gt;1,"Duplicate","Unique")</f>
        <v>Unique</v>
      </c>
      <c r="Y14" s="3" t="str">
        <f aca="false">IF(B14&lt;6.5,"&lt;6.5",IF(B14&lt;7,"6.5–6.9",IF(B14&lt;7.5,"7.0–7.4",IF(B14&lt;8,"7.5–7.9","8.0+"))))</f>
        <v>6.5–6.9</v>
      </c>
      <c r="Z14" s="3" t="n">
        <f aca="false">IF(T14="","",YEAR(T14))</f>
        <v>2023</v>
      </c>
    </row>
    <row r="15" customFormat="false" ht="13.8" hidden="false" customHeight="false" outlineLevel="0" collapsed="false">
      <c r="A15" s="3" t="s">
        <v>65</v>
      </c>
      <c r="B15" s="3" t="n">
        <v>7.1</v>
      </c>
      <c r="C15" s="3" t="s">
        <v>66</v>
      </c>
      <c r="D15" s="3" t="n">
        <v>9</v>
      </c>
      <c r="E15" s="3" t="n">
        <v>7</v>
      </c>
      <c r="F15" s="3" t="s">
        <v>21</v>
      </c>
      <c r="G15" s="3" t="n">
        <v>0</v>
      </c>
      <c r="H15" s="3" t="n">
        <v>838</v>
      </c>
      <c r="I15" s="3" t="s">
        <v>22</v>
      </c>
      <c r="J15" s="3" t="n">
        <v>70</v>
      </c>
      <c r="K15" s="3" t="n">
        <v>2.282</v>
      </c>
      <c r="L15" s="3" t="n">
        <v>58</v>
      </c>
      <c r="M15" s="3" t="s">
        <v>23</v>
      </c>
      <c r="N15" s="3" t="n">
        <v>15.462</v>
      </c>
      <c r="O15" s="3" t="n">
        <v>-0.781</v>
      </c>
      <c r="P15" s="3" t="n">
        <v>98.5339</v>
      </c>
      <c r="Q15" s="3" t="s">
        <v>67</v>
      </c>
      <c r="R15" s="3"/>
      <c r="S15" s="3" t="s">
        <v>68</v>
      </c>
      <c r="T15" s="5" t="n">
        <f aca="false">IF(C15="","",DATE(VALUE(MID(C15,7,4)),VALUE(MID(C15,4,2)),VALUE(MID(C15,1,2)))+TIME(VALUE(MID(C15,12,2)),VALUE(MID(C15,15,2)),0))</f>
        <v>45040.8333333333</v>
      </c>
      <c r="U15" s="3" t="str">
        <f aca="false">IFERROR(IF(ISNUMBER(VALUE(TRIM(MID(A15,FIND("-",A15)+1,FIND("km",A15)-FIND("-",A15)-1)))),"Distance + direction + city","Named-region"),"Named-region")</f>
        <v>Distance + direction + city</v>
      </c>
      <c r="V15" s="3" t="str">
        <f aca="false">LOWER(M15)</f>
        <v>mww</v>
      </c>
      <c r="W15" s="3" t="n">
        <f aca="false">COUNTIFS($A$2:$A$1001,A15,$C$2:$C$1001,C15)</f>
        <v>1</v>
      </c>
      <c r="X15" s="3" t="str">
        <f aca="false">IF(W15&gt;1,"Duplicate","Unique")</f>
        <v>Unique</v>
      </c>
      <c r="Y15" s="3" t="str">
        <f aca="false">IF(B15&lt;6.5,"&lt;6.5",IF(B15&lt;7,"6.5–6.9",IF(B15&lt;7.5,"7.0–7.4",IF(B15&lt;8,"7.5–7.9","8.0+"))))</f>
        <v>7.0–7.4</v>
      </c>
      <c r="Z15" s="3" t="n">
        <f aca="false">IF(T15="","",YEAR(T15))</f>
        <v>2023</v>
      </c>
    </row>
    <row r="16" customFormat="false" ht="13.8" hidden="false" customHeight="false" outlineLevel="0" collapsed="false">
      <c r="A16" s="3" t="s">
        <v>69</v>
      </c>
      <c r="B16" s="3" t="n">
        <v>7.1</v>
      </c>
      <c r="C16" s="3" t="s">
        <v>70</v>
      </c>
      <c r="D16" s="3" t="n">
        <v>8</v>
      </c>
      <c r="E16" s="3" t="n">
        <v>7</v>
      </c>
      <c r="F16" s="3" t="s">
        <v>21</v>
      </c>
      <c r="G16" s="3" t="n">
        <v>1</v>
      </c>
      <c r="H16" s="3" t="n">
        <v>777</v>
      </c>
      <c r="I16" s="3" t="s">
        <v>22</v>
      </c>
      <c r="J16" s="3" t="n">
        <v>126</v>
      </c>
      <c r="K16" s="3" t="n">
        <v>0.708</v>
      </c>
      <c r="L16" s="3" t="n">
        <v>23</v>
      </c>
      <c r="M16" s="3" t="s">
        <v>23</v>
      </c>
      <c r="N16" s="3" t="n">
        <v>43.063</v>
      </c>
      <c r="O16" s="3" t="n">
        <v>-30.0249</v>
      </c>
      <c r="P16" s="3" t="n">
        <v>-177.897</v>
      </c>
      <c r="Q16" s="3" t="s">
        <v>71</v>
      </c>
      <c r="R16" s="3"/>
      <c r="S16" s="3"/>
      <c r="T16" s="5" t="n">
        <f aca="false">IF(C16="","",DATE(VALUE(MID(C16,7,4)),VALUE(MID(C16,4,2)),VALUE(MID(C16,1,2)))+TIME(VALUE(MID(C16,12,2)),VALUE(MID(C16,15,2)),0))</f>
        <v>45040.0284722222</v>
      </c>
      <c r="U16" s="3" t="str">
        <f aca="false">IFERROR(IF(ISNUMBER(VALUE(TRIM(MID(A16,FIND("-",A16)+1,FIND("km",A16)-FIND("-",A16)-1)))),"Distance + direction + city","Named-region"),"Named-region")</f>
        <v>Named-region</v>
      </c>
      <c r="V16" s="3" t="str">
        <f aca="false">LOWER(M16)</f>
        <v>mww</v>
      </c>
      <c r="W16" s="3" t="n">
        <f aca="false">COUNTIFS($A$2:$A$1001,A16,$C$2:$C$1001,C16)</f>
        <v>1</v>
      </c>
      <c r="X16" s="3" t="str">
        <f aca="false">IF(W16&gt;1,"Duplicate","Unique")</f>
        <v>Unique</v>
      </c>
      <c r="Y16" s="3" t="str">
        <f aca="false">IF(B16&lt;6.5,"&lt;6.5",IF(B16&lt;7,"6.5–6.9",IF(B16&lt;7.5,"7.0–7.4",IF(B16&lt;8,"7.5–7.9","8.0+"))))</f>
        <v>7.0–7.4</v>
      </c>
      <c r="Z16" s="3" t="n">
        <f aca="false">IF(T16="","",YEAR(T16))</f>
        <v>2023</v>
      </c>
    </row>
    <row r="17" customFormat="false" ht="13.8" hidden="false" customHeight="false" outlineLevel="0" collapsed="false">
      <c r="A17" s="3" t="s">
        <v>72</v>
      </c>
      <c r="B17" s="3" t="n">
        <v>6.7</v>
      </c>
      <c r="C17" s="3" t="s">
        <v>73</v>
      </c>
      <c r="D17" s="3" t="n">
        <v>0</v>
      </c>
      <c r="E17" s="3" t="n">
        <v>3</v>
      </c>
      <c r="F17" s="3" t="s">
        <v>21</v>
      </c>
      <c r="G17" s="3" t="n">
        <v>1</v>
      </c>
      <c r="H17" s="3" t="n">
        <v>691</v>
      </c>
      <c r="I17" s="3" t="s">
        <v>22</v>
      </c>
      <c r="J17" s="3" t="n">
        <v>166</v>
      </c>
      <c r="K17" s="3" t="n">
        <v>4.719</v>
      </c>
      <c r="L17" s="3" t="n">
        <v>10</v>
      </c>
      <c r="M17" s="3" t="s">
        <v>23</v>
      </c>
      <c r="N17" s="3" t="n">
        <v>595.854</v>
      </c>
      <c r="O17" s="3" t="n">
        <v>-22.2844</v>
      </c>
      <c r="P17" s="3" t="n">
        <v>179.391</v>
      </c>
      <c r="Q17" s="3" t="s">
        <v>50</v>
      </c>
      <c r="R17" s="3"/>
      <c r="S17" s="3"/>
      <c r="T17" s="5" t="n">
        <f aca="false">IF(C17="","",DATE(VALUE(MID(C17,7,4)),VALUE(MID(C17,4,2)),VALUE(MID(C17,1,2)))+TIME(VALUE(MID(C17,12,2)),VALUE(MID(C17,15,2)),0))</f>
        <v>45034.1881944445</v>
      </c>
      <c r="U17" s="3" t="str">
        <f aca="false">IFERROR(IF(ISNUMBER(VALUE(TRIM(MID(A17,FIND("-",A17)+1,FIND("km",A17)-FIND("-",A17)-1)))),"Distance + direction + city","Named-region"),"Named-region")</f>
        <v>Named-region</v>
      </c>
      <c r="V17" s="3" t="str">
        <f aca="false">LOWER(M17)</f>
        <v>mww</v>
      </c>
      <c r="W17" s="3" t="n">
        <f aca="false">COUNTIFS($A$2:$A$1001,A17,$C$2:$C$1001,C17)</f>
        <v>1</v>
      </c>
      <c r="X17" s="3" t="str">
        <f aca="false">IF(W17&gt;1,"Duplicate","Unique")</f>
        <v>Unique</v>
      </c>
      <c r="Y17" s="3" t="str">
        <f aca="false">IF(B17&lt;6.5,"&lt;6.5",IF(B17&lt;7,"6.5–6.9",IF(B17&lt;7.5,"7.0–7.4",IF(B17&lt;8,"7.5–7.9","8.0+"))))</f>
        <v>6.5–6.9</v>
      </c>
      <c r="Z17" s="3" t="n">
        <f aca="false">IF(T17="","",YEAR(T17))</f>
        <v>2023</v>
      </c>
    </row>
    <row r="18" customFormat="false" ht="13.8" hidden="false" customHeight="false" outlineLevel="0" collapsed="false">
      <c r="A18" s="3" t="s">
        <v>74</v>
      </c>
      <c r="B18" s="3" t="n">
        <v>7</v>
      </c>
      <c r="C18" s="3" t="s">
        <v>75</v>
      </c>
      <c r="D18" s="3" t="n">
        <v>5</v>
      </c>
      <c r="E18" s="3" t="n">
        <v>3</v>
      </c>
      <c r="F18" s="3" t="s">
        <v>21</v>
      </c>
      <c r="G18" s="3" t="n">
        <v>0</v>
      </c>
      <c r="H18" s="3" t="n">
        <v>818</v>
      </c>
      <c r="I18" s="3" t="s">
        <v>22</v>
      </c>
      <c r="J18" s="3" t="n">
        <v>131</v>
      </c>
      <c r="K18" s="3" t="n">
        <v>1.881</v>
      </c>
      <c r="L18" s="3" t="n">
        <v>31</v>
      </c>
      <c r="M18" s="3" t="s">
        <v>23</v>
      </c>
      <c r="N18" s="3" t="n">
        <v>594.028</v>
      </c>
      <c r="O18" s="3" t="n">
        <v>-6.0255</v>
      </c>
      <c r="P18" s="3" t="n">
        <v>112.033</v>
      </c>
      <c r="Q18" s="3" t="s">
        <v>76</v>
      </c>
      <c r="R18" s="3"/>
      <c r="S18" s="3" t="s">
        <v>68</v>
      </c>
      <c r="T18" s="5" t="n">
        <f aca="false">IF(C18="","",DATE(VALUE(MID(C18,7,4)),VALUE(MID(C18,4,2)),VALUE(MID(C18,1,2)))+TIME(VALUE(MID(C18,12,2)),VALUE(MID(C18,15,2)),0))</f>
        <v>45030.4131944444</v>
      </c>
      <c r="U18" s="3" t="str">
        <f aca="false">IFERROR(IF(ISNUMBER(VALUE(TRIM(MID(A18,FIND("-",A18)+1,FIND("km",A18)-FIND("-",A18)-1)))),"Distance + direction + city","Named-region"),"Named-region")</f>
        <v>Distance + direction + city</v>
      </c>
      <c r="V18" s="3" t="str">
        <f aca="false">LOWER(M18)</f>
        <v>mww</v>
      </c>
      <c r="W18" s="3" t="n">
        <f aca="false">COUNTIFS($A$2:$A$1001,A18,$C$2:$C$1001,C18)</f>
        <v>1</v>
      </c>
      <c r="X18" s="3" t="str">
        <f aca="false">IF(W18&gt;1,"Duplicate","Unique")</f>
        <v>Unique</v>
      </c>
      <c r="Y18" s="3" t="str">
        <f aca="false">IF(B18&lt;6.5,"&lt;6.5",IF(B18&lt;7,"6.5–6.9",IF(B18&lt;7.5,"7.0–7.4",IF(B18&lt;8,"7.5–7.9","8.0+"))))</f>
        <v>7.0–7.4</v>
      </c>
      <c r="Z18" s="3" t="n">
        <f aca="false">IF(T18="","",YEAR(T18))</f>
        <v>2023</v>
      </c>
    </row>
    <row r="19" customFormat="false" ht="13.8" hidden="false" customHeight="false" outlineLevel="0" collapsed="false">
      <c r="A19" s="3" t="s">
        <v>77</v>
      </c>
      <c r="B19" s="3" t="n">
        <v>6.5</v>
      </c>
      <c r="C19" s="6" t="s">
        <v>78</v>
      </c>
      <c r="D19" s="3" t="n">
        <v>7</v>
      </c>
      <c r="E19" s="3" t="n">
        <v>6</v>
      </c>
      <c r="F19" s="3" t="s">
        <v>28</v>
      </c>
      <c r="G19" s="3" t="n">
        <v>1</v>
      </c>
      <c r="H19" s="3" t="n">
        <v>655</v>
      </c>
      <c r="I19" s="3" t="s">
        <v>22</v>
      </c>
      <c r="J19" s="3" t="n">
        <v>104</v>
      </c>
      <c r="K19" s="3" t="n">
        <v>0.266</v>
      </c>
      <c r="L19" s="3" t="n">
        <v>30</v>
      </c>
      <c r="M19" s="3" t="s">
        <v>23</v>
      </c>
      <c r="N19" s="3" t="n">
        <v>105.631</v>
      </c>
      <c r="O19" s="3" t="n">
        <v>52.7772</v>
      </c>
      <c r="P19" s="3" t="n">
        <v>158.484</v>
      </c>
      <c r="Q19" s="3" t="s">
        <v>79</v>
      </c>
      <c r="R19" s="3" t="s">
        <v>80</v>
      </c>
      <c r="S19" s="3" t="s">
        <v>81</v>
      </c>
      <c r="T19" s="5" t="n">
        <f aca="false">IF(C19="","",DATE(VALUE(MID(C19,7,4)),VALUE(MID(C19,4,2)),VALUE(MID(C19,1,2)))+TIME(VALUE(MID(C19,12,2)),VALUE(MID(C19,15,2)),0))</f>
        <v>45019.1291666667</v>
      </c>
      <c r="U19" s="3" t="str">
        <f aca="false">IFERROR(IF(ISNUMBER(VALUE(TRIM(MID(A19,FIND("-",A19)+1,FIND("km",A19)-FIND("-",A19)-1)))),"Distance + direction + city","Named-region"),"Named-region")</f>
        <v>Named-region</v>
      </c>
      <c r="V19" s="3" t="str">
        <f aca="false">LOWER(M19)</f>
        <v>mww</v>
      </c>
      <c r="W19" s="3" t="n">
        <f aca="false">COUNTIFS($A$2:$A$1001,A19,$C$2:$C$1001,C19)</f>
        <v>1</v>
      </c>
      <c r="X19" s="3" t="str">
        <f aca="false">IF(W19&gt;1,"Duplicate","Unique")</f>
        <v>Unique</v>
      </c>
      <c r="Y19" s="3" t="str">
        <f aca="false">IF(B19&lt;6.5,"&lt;6.5",IF(B19&lt;7,"6.5–6.9",IF(B19&lt;7.5,"7.0–7.4",IF(B19&lt;8,"7.5–7.9","8.0+"))))</f>
        <v>6.5–6.9</v>
      </c>
      <c r="Z19" s="3" t="n">
        <f aca="false">IF(T19="","",YEAR(T19))</f>
        <v>2023</v>
      </c>
    </row>
    <row r="20" customFormat="false" ht="13.8" hidden="false" customHeight="false" outlineLevel="0" collapsed="false">
      <c r="A20" s="3" t="s">
        <v>82</v>
      </c>
      <c r="B20" s="3" t="n">
        <v>7</v>
      </c>
      <c r="C20" s="6" t="s">
        <v>83</v>
      </c>
      <c r="D20" s="3" t="n">
        <v>7</v>
      </c>
      <c r="E20" s="3" t="n">
        <v>7</v>
      </c>
      <c r="F20" s="3" t="s">
        <v>21</v>
      </c>
      <c r="G20" s="3" t="n">
        <v>1</v>
      </c>
      <c r="H20" s="3" t="n">
        <v>781</v>
      </c>
      <c r="I20" s="3" t="s">
        <v>22</v>
      </c>
      <c r="J20" s="3" t="n">
        <v>105</v>
      </c>
      <c r="K20" s="3" t="n">
        <v>6.45</v>
      </c>
      <c r="L20" s="3" t="n">
        <v>31</v>
      </c>
      <c r="M20" s="3" t="s">
        <v>23</v>
      </c>
      <c r="N20" s="3" t="n">
        <v>62.603</v>
      </c>
      <c r="O20" s="3" t="n">
        <v>-4.2924</v>
      </c>
      <c r="P20" s="3" t="n">
        <v>143.155</v>
      </c>
      <c r="Q20" s="3" t="s">
        <v>84</v>
      </c>
      <c r="R20" s="3" t="s">
        <v>80</v>
      </c>
      <c r="S20" s="3" t="s">
        <v>85</v>
      </c>
      <c r="T20" s="5" t="n">
        <f aca="false">IF(C20="","",DATE(VALUE(MID(C20,7,4)),VALUE(MID(C20,4,2)),VALUE(MID(C20,1,2)))+TIME(VALUE(MID(C20,12,2)),VALUE(MID(C20,15,2)),0))</f>
        <v>45018.7527777778</v>
      </c>
      <c r="U20" s="3" t="str">
        <f aca="false">IFERROR(IF(ISNUMBER(VALUE(TRIM(MID(A20,FIND("-",A20)+1,FIND("km",A20)-FIND("-",A20)-1)))),"Distance + direction + city","Named-region"),"Named-region")</f>
        <v>Named-region</v>
      </c>
      <c r="V20" s="3" t="str">
        <f aca="false">LOWER(M20)</f>
        <v>mww</v>
      </c>
      <c r="W20" s="3" t="n">
        <f aca="false">COUNTIFS($A$2:$A$1001,A20,$C$2:$C$1001,C20)</f>
        <v>1</v>
      </c>
      <c r="X20" s="3" t="str">
        <f aca="false">IF(W20&gt;1,"Duplicate","Unique")</f>
        <v>Unique</v>
      </c>
      <c r="Y20" s="3" t="str">
        <f aca="false">IF(B20&lt;6.5,"&lt;6.5",IF(B20&lt;7,"6.5–6.9",IF(B20&lt;7.5,"7.0–7.4",IF(B20&lt;8,"7.5–7.9","8.0+"))))</f>
        <v>7.0–7.4</v>
      </c>
      <c r="Z20" s="3" t="n">
        <f aca="false">IF(T20="","",YEAR(T20))</f>
        <v>2023</v>
      </c>
    </row>
    <row r="21" customFormat="false" ht="13.8" hidden="false" customHeight="false" outlineLevel="0" collapsed="false">
      <c r="A21" s="3" t="s">
        <v>86</v>
      </c>
      <c r="B21" s="3" t="n">
        <v>6.5</v>
      </c>
      <c r="C21" s="3" t="s">
        <v>87</v>
      </c>
      <c r="D21" s="3" t="n">
        <v>4</v>
      </c>
      <c r="E21" s="3" t="n">
        <v>4</v>
      </c>
      <c r="F21" s="3" t="s">
        <v>21</v>
      </c>
      <c r="G21" s="3" t="n">
        <v>0</v>
      </c>
      <c r="H21" s="3" t="n">
        <v>656</v>
      </c>
      <c r="I21" s="3" t="s">
        <v>22</v>
      </c>
      <c r="J21" s="3" t="n">
        <v>97</v>
      </c>
      <c r="K21" s="3" t="n">
        <v>1.622</v>
      </c>
      <c r="L21" s="3" t="n">
        <v>33</v>
      </c>
      <c r="M21" s="3" t="s">
        <v>23</v>
      </c>
      <c r="N21" s="3" t="n">
        <v>209.976</v>
      </c>
      <c r="O21" s="3" t="n">
        <v>-23.4797</v>
      </c>
      <c r="P21" s="3" t="n">
        <v>-66.5108</v>
      </c>
      <c r="Q21" s="3" t="s">
        <v>88</v>
      </c>
      <c r="R21" s="3" t="s">
        <v>33</v>
      </c>
      <c r="S21" s="3" t="s">
        <v>34</v>
      </c>
      <c r="T21" s="5" t="n">
        <f aca="false">IF(C21="","",DATE(VALUE(MID(C21,7,4)),VALUE(MID(C21,4,2)),VALUE(MID(C21,1,2)))+TIME(VALUE(MID(C21,12,2)),VALUE(MID(C21,15,2)),0))</f>
        <v>45007.6666666667</v>
      </c>
      <c r="U21" s="3" t="str">
        <f aca="false">IFERROR(IF(ISNUMBER(VALUE(TRIM(MID(A21,FIND("-",A21)+1,FIND("km",A21)-FIND("-",A21)-1)))),"Distance + direction + city","Named-region"),"Named-region")</f>
        <v>Distance + direction + city</v>
      </c>
      <c r="V21" s="3" t="str">
        <f aca="false">LOWER(M21)</f>
        <v>mww</v>
      </c>
      <c r="W21" s="3" t="n">
        <f aca="false">COUNTIFS($A$2:$A$1001,A21,$C$2:$C$1001,C21)</f>
        <v>1</v>
      </c>
      <c r="X21" s="3" t="str">
        <f aca="false">IF(W21&gt;1,"Duplicate","Unique")</f>
        <v>Unique</v>
      </c>
      <c r="Y21" s="3" t="str">
        <f aca="false">IF(B21&lt;6.5,"&lt;6.5",IF(B21&lt;7,"6.5–6.9",IF(B21&lt;7.5,"7.0–7.4",IF(B21&lt;8,"7.5–7.9","8.0+"))))</f>
        <v>6.5–6.9</v>
      </c>
      <c r="Z21" s="3" t="n">
        <f aca="false">IF(T21="","",YEAR(T21))</f>
        <v>2023</v>
      </c>
    </row>
    <row r="22" customFormat="false" ht="13.8" hidden="false" customHeight="false" outlineLevel="0" collapsed="false">
      <c r="A22" s="3" t="s">
        <v>89</v>
      </c>
      <c r="B22" s="3" t="n">
        <v>6.5</v>
      </c>
      <c r="C22" s="3" t="s">
        <v>90</v>
      </c>
      <c r="D22" s="3" t="n">
        <v>7</v>
      </c>
      <c r="E22" s="3" t="n">
        <v>5</v>
      </c>
      <c r="F22" s="3" t="s">
        <v>21</v>
      </c>
      <c r="G22" s="3" t="n">
        <v>0</v>
      </c>
      <c r="H22" s="3" t="n">
        <v>1350</v>
      </c>
      <c r="I22" s="3" t="s">
        <v>22</v>
      </c>
      <c r="J22" s="3" t="n">
        <v>134</v>
      </c>
      <c r="K22" s="3" t="n">
        <v>2.53</v>
      </c>
      <c r="L22" s="3" t="n">
        <v>13</v>
      </c>
      <c r="M22" s="3" t="s">
        <v>23</v>
      </c>
      <c r="N22" s="3" t="n">
        <v>187.589</v>
      </c>
      <c r="O22" s="3" t="n">
        <v>36.5227</v>
      </c>
      <c r="P22" s="3" t="n">
        <v>70.9787</v>
      </c>
      <c r="Q22" s="3" t="s">
        <v>91</v>
      </c>
      <c r="R22" s="3" t="s">
        <v>80</v>
      </c>
      <c r="S22" s="3" t="s">
        <v>92</v>
      </c>
      <c r="T22" s="5" t="n">
        <f aca="false">IF(C22="","",DATE(VALUE(MID(C22,7,4)),VALUE(MID(C22,4,2)),VALUE(MID(C22,1,2)))+TIME(VALUE(MID(C22,12,2)),VALUE(MID(C22,15,2)),0))</f>
        <v>45006.6993055556</v>
      </c>
      <c r="U22" s="3" t="str">
        <f aca="false">IFERROR(IF(ISNUMBER(VALUE(TRIM(MID(A22,FIND("-",A22)+1,FIND("km",A22)-FIND("-",A22)-1)))),"Distance + direction + city","Named-region"),"Named-region")</f>
        <v>Distance + direction + city</v>
      </c>
      <c r="V22" s="3" t="str">
        <f aca="false">LOWER(M22)</f>
        <v>mww</v>
      </c>
      <c r="W22" s="3" t="n">
        <f aca="false">COUNTIFS($A$2:$A$1001,A22,$C$2:$C$1001,C22)</f>
        <v>1</v>
      </c>
      <c r="X22" s="3" t="str">
        <f aca="false">IF(W22&gt;1,"Duplicate","Unique")</f>
        <v>Unique</v>
      </c>
      <c r="Y22" s="3" t="str">
        <f aca="false">IF(B22&lt;6.5,"&lt;6.5",IF(B22&lt;7,"6.5–6.9",IF(B22&lt;7.5,"7.0–7.4",IF(B22&lt;8,"7.5–7.9","8.0+"))))</f>
        <v>6.5–6.9</v>
      </c>
      <c r="Z22" s="3" t="n">
        <f aca="false">IF(T22="","",YEAR(T22))</f>
        <v>2023</v>
      </c>
    </row>
    <row r="23" customFormat="false" ht="13.8" hidden="false" customHeight="false" outlineLevel="0" collapsed="false">
      <c r="A23" s="3" t="s">
        <v>93</v>
      </c>
      <c r="B23" s="3" t="n">
        <v>6.8</v>
      </c>
      <c r="C23" s="3" t="s">
        <v>94</v>
      </c>
      <c r="D23" s="3" t="n">
        <v>9</v>
      </c>
      <c r="E23" s="3" t="n">
        <v>7</v>
      </c>
      <c r="F23" s="3" t="s">
        <v>95</v>
      </c>
      <c r="G23" s="3" t="n">
        <v>1</v>
      </c>
      <c r="H23" s="3" t="n">
        <v>1159</v>
      </c>
      <c r="I23" s="3" t="s">
        <v>22</v>
      </c>
      <c r="J23" s="3" t="n">
        <v>152</v>
      </c>
      <c r="K23" s="3" t="n">
        <v>0.709</v>
      </c>
      <c r="L23" s="3" t="n">
        <v>28</v>
      </c>
      <c r="M23" s="3" t="s">
        <v>23</v>
      </c>
      <c r="N23" s="3" t="n">
        <v>65.842</v>
      </c>
      <c r="O23" s="3" t="n">
        <v>-2.851</v>
      </c>
      <c r="P23" s="3" t="n">
        <v>-79.8001</v>
      </c>
      <c r="Q23" s="3" t="s">
        <v>96</v>
      </c>
      <c r="R23" s="3" t="s">
        <v>33</v>
      </c>
      <c r="S23" s="3" t="s">
        <v>96</v>
      </c>
      <c r="T23" s="5" t="n">
        <f aca="false">IF(C23="","",DATE(VALUE(MID(C23,7,4)),VALUE(MID(C23,4,2)),VALUE(MID(C23,1,2)))+TIME(VALUE(MID(C23,12,2)),VALUE(MID(C23,15,2)),0))</f>
        <v>45003.7166666667</v>
      </c>
      <c r="U23" s="3" t="str">
        <f aca="false">IFERROR(IF(ISNUMBER(VALUE(TRIM(MID(A23,FIND("-",A23)+1,FIND("km",A23)-FIND("-",A23)-1)))),"Distance + direction + city","Named-region"),"Named-region")</f>
        <v>Named-region</v>
      </c>
      <c r="V23" s="3" t="str">
        <f aca="false">LOWER(M23)</f>
        <v>mww</v>
      </c>
      <c r="W23" s="3" t="n">
        <f aca="false">COUNTIFS($A$2:$A$1001,A23,$C$2:$C$1001,C23)</f>
        <v>1</v>
      </c>
      <c r="X23" s="3" t="str">
        <f aca="false">IF(W23&gt;1,"Duplicate","Unique")</f>
        <v>Unique</v>
      </c>
      <c r="Y23" s="3" t="str">
        <f aca="false">IF(B23&lt;6.5,"&lt;6.5",IF(B23&lt;7,"6.5–6.9",IF(B23&lt;7.5,"7.0–7.4",IF(B23&lt;8,"7.5–7.9","8.0+"))))</f>
        <v>6.5–6.9</v>
      </c>
      <c r="Z23" s="3" t="n">
        <f aca="false">IF(T23="","",YEAR(T23))</f>
        <v>2023</v>
      </c>
    </row>
    <row r="24" customFormat="false" ht="13.8" hidden="false" customHeight="false" outlineLevel="0" collapsed="false">
      <c r="A24" s="3" t="s">
        <v>97</v>
      </c>
      <c r="B24" s="3" t="n">
        <v>7</v>
      </c>
      <c r="C24" s="3" t="s">
        <v>98</v>
      </c>
      <c r="D24" s="3" t="n">
        <v>8</v>
      </c>
      <c r="E24" s="3" t="n">
        <v>5</v>
      </c>
      <c r="F24" s="3" t="s">
        <v>21</v>
      </c>
      <c r="G24" s="3" t="n">
        <v>1</v>
      </c>
      <c r="H24" s="3" t="n">
        <v>756</v>
      </c>
      <c r="I24" s="3" t="s">
        <v>22</v>
      </c>
      <c r="J24" s="3" t="n">
        <v>116</v>
      </c>
      <c r="K24" s="3" t="n">
        <v>1.789</v>
      </c>
      <c r="L24" s="3" t="n">
        <v>22</v>
      </c>
      <c r="M24" s="3" t="s">
        <v>23</v>
      </c>
      <c r="N24" s="3" t="n">
        <v>22.065</v>
      </c>
      <c r="O24" s="3" t="n">
        <v>-30.1147</v>
      </c>
      <c r="P24" s="3" t="n">
        <v>-176.112</v>
      </c>
      <c r="Q24" s="3" t="s">
        <v>99</v>
      </c>
      <c r="R24" s="3"/>
      <c r="S24" s="3"/>
      <c r="T24" s="5" t="n">
        <f aca="false">IF(C24="","",DATE(VALUE(MID(C24,7,4)),VALUE(MID(C24,4,2)),VALUE(MID(C24,1,2)))+TIME(VALUE(MID(C24,12,2)),VALUE(MID(C24,15,2)),0))</f>
        <v>45001.0388888889</v>
      </c>
      <c r="U24" s="3" t="str">
        <f aca="false">IFERROR(IF(ISNUMBER(VALUE(TRIM(MID(A24,FIND("-",A24)+1,FIND("km",A24)-FIND("-",A24)-1)))),"Distance + direction + city","Named-region"),"Named-region")</f>
        <v>Named-region</v>
      </c>
      <c r="V24" s="3" t="str">
        <f aca="false">LOWER(M24)</f>
        <v>mww</v>
      </c>
      <c r="W24" s="3" t="n">
        <f aca="false">COUNTIFS($A$2:$A$1001,A24,$C$2:$C$1001,C24)</f>
        <v>1</v>
      </c>
      <c r="X24" s="3" t="str">
        <f aca="false">IF(W24&gt;1,"Duplicate","Unique")</f>
        <v>Unique</v>
      </c>
      <c r="Y24" s="3" t="str">
        <f aca="false">IF(B24&lt;6.5,"&lt;6.5",IF(B24&lt;7,"6.5–6.9",IF(B24&lt;7.5,"7.0–7.4",IF(B24&lt;8,"7.5–7.9","8.0+"))))</f>
        <v>7.0–7.4</v>
      </c>
      <c r="Z24" s="3" t="n">
        <f aca="false">IF(T24="","",YEAR(T24))</f>
        <v>2023</v>
      </c>
    </row>
    <row r="25" customFormat="false" ht="13.8" hidden="false" customHeight="false" outlineLevel="0" collapsed="false">
      <c r="A25" s="3" t="s">
        <v>100</v>
      </c>
      <c r="B25" s="3" t="n">
        <v>6.9</v>
      </c>
      <c r="C25" s="6" t="s">
        <v>101</v>
      </c>
      <c r="D25" s="3" t="n">
        <v>5</v>
      </c>
      <c r="E25" s="3" t="n">
        <v>5</v>
      </c>
      <c r="F25" s="3" t="s">
        <v>21</v>
      </c>
      <c r="G25" s="3" t="n">
        <v>1</v>
      </c>
      <c r="H25" s="3" t="n">
        <v>735</v>
      </c>
      <c r="I25" s="3" t="s">
        <v>22</v>
      </c>
      <c r="J25" s="3" t="n">
        <v>108</v>
      </c>
      <c r="K25" s="3" t="n">
        <v>0.784</v>
      </c>
      <c r="L25" s="3" t="n">
        <v>18</v>
      </c>
      <c r="M25" s="3" t="s">
        <v>23</v>
      </c>
      <c r="N25" s="3" t="n">
        <v>205.681</v>
      </c>
      <c r="O25" s="3" t="n">
        <v>-29.4748</v>
      </c>
      <c r="P25" s="3" t="n">
        <v>-178.787</v>
      </c>
      <c r="Q25" s="3" t="s">
        <v>71</v>
      </c>
      <c r="R25" s="3"/>
      <c r="S25" s="3"/>
      <c r="T25" s="5" t="n">
        <f aca="false">IF(C25="","",DATE(VALUE(MID(C25,7,4)),VALUE(MID(C25,4,2)),VALUE(MID(C25,1,2)))+TIME(VALUE(MID(C25,12,2)),VALUE(MID(C25,15,2)),0))</f>
        <v>44989.2784722222</v>
      </c>
      <c r="U25" s="3" t="str">
        <f aca="false">IFERROR(IF(ISNUMBER(VALUE(TRIM(MID(A25,FIND("-",A25)+1,FIND("km",A25)-FIND("-",A25)-1)))),"Distance + direction + city","Named-region"),"Named-region")</f>
        <v>Named-region</v>
      </c>
      <c r="V25" s="3" t="str">
        <f aca="false">LOWER(M25)</f>
        <v>mww</v>
      </c>
      <c r="W25" s="3" t="n">
        <f aca="false">COUNTIFS($A$2:$A$1001,A25,$C$2:$C$1001,C25)</f>
        <v>1</v>
      </c>
      <c r="X25" s="3" t="str">
        <f aca="false">IF(W25&gt;1,"Duplicate","Unique")</f>
        <v>Unique</v>
      </c>
      <c r="Y25" s="3" t="str">
        <f aca="false">IF(B25&lt;6.5,"&lt;6.5",IF(B25&lt;7,"6.5–6.9",IF(B25&lt;7.5,"7.0–7.4",IF(B25&lt;8,"7.5–7.9","8.0+"))))</f>
        <v>6.5–6.9</v>
      </c>
      <c r="Z25" s="3" t="n">
        <f aca="false">IF(T25="","",YEAR(T25))</f>
        <v>2023</v>
      </c>
    </row>
    <row r="26" customFormat="false" ht="13.8" hidden="false" customHeight="false" outlineLevel="0" collapsed="false">
      <c r="A26" s="3" t="s">
        <v>102</v>
      </c>
      <c r="B26" s="3" t="n">
        <v>6.5</v>
      </c>
      <c r="C26" s="6" t="s">
        <v>103</v>
      </c>
      <c r="D26" s="3" t="n">
        <v>7</v>
      </c>
      <c r="E26" s="3" t="n">
        <v>6</v>
      </c>
      <c r="F26" s="3" t="s">
        <v>21</v>
      </c>
      <c r="G26" s="3" t="n">
        <v>1</v>
      </c>
      <c r="H26" s="3" t="n">
        <v>653</v>
      </c>
      <c r="I26" s="3" t="s">
        <v>22</v>
      </c>
      <c r="J26" s="3" t="n">
        <v>66</v>
      </c>
      <c r="K26" s="3" t="n">
        <v>5.483</v>
      </c>
      <c r="L26" s="3" t="n">
        <v>45</v>
      </c>
      <c r="M26" s="3" t="s">
        <v>23</v>
      </c>
      <c r="N26" s="3" t="n">
        <v>10</v>
      </c>
      <c r="O26" s="3" t="n">
        <v>-15.3597</v>
      </c>
      <c r="P26" s="3" t="n">
        <v>166.385</v>
      </c>
      <c r="Q26" s="3" t="s">
        <v>104</v>
      </c>
      <c r="R26" s="3"/>
      <c r="S26" s="3"/>
      <c r="T26" s="5" t="n">
        <f aca="false">IF(C26="","",DATE(VALUE(MID(C26,7,4)),VALUE(MID(C26,4,2)),VALUE(MID(C26,1,2)))+TIME(VALUE(MID(C26,12,2)),VALUE(MID(C26,15,2)),0))</f>
        <v>44987.7527777778</v>
      </c>
      <c r="U26" s="3" t="str">
        <f aca="false">IFERROR(IF(ISNUMBER(VALUE(TRIM(MID(A26,FIND("-",A26)+1,FIND("km",A26)-FIND("-",A26)-1)))),"Distance + direction + city","Named-region"),"Named-region")</f>
        <v>Distance + direction + city</v>
      </c>
      <c r="V26" s="3" t="str">
        <f aca="false">LOWER(M26)</f>
        <v>mww</v>
      </c>
      <c r="W26" s="3" t="n">
        <f aca="false">COUNTIFS($A$2:$A$1001,A26,$C$2:$C$1001,C26)</f>
        <v>1</v>
      </c>
      <c r="X26" s="3" t="str">
        <f aca="false">IF(W26&gt;1,"Duplicate","Unique")</f>
        <v>Unique</v>
      </c>
      <c r="Y26" s="3" t="str">
        <f aca="false">IF(B26&lt;6.5,"&lt;6.5",IF(B26&lt;7,"6.5–6.9",IF(B26&lt;7.5,"7.0–7.4",IF(B26&lt;8,"7.5–7.9","8.0+"))))</f>
        <v>6.5–6.9</v>
      </c>
      <c r="Z26" s="3" t="n">
        <f aca="false">IF(T26="","",YEAR(T26))</f>
        <v>2023</v>
      </c>
    </row>
    <row r="27" customFormat="false" ht="13.8" hidden="false" customHeight="false" outlineLevel="0" collapsed="false">
      <c r="A27" s="3" t="s">
        <v>105</v>
      </c>
      <c r="B27" s="3" t="n">
        <v>6.5</v>
      </c>
      <c r="C27" s="6" t="s">
        <v>106</v>
      </c>
      <c r="D27" s="3" t="n">
        <v>4</v>
      </c>
      <c r="E27" s="3" t="n">
        <v>2</v>
      </c>
      <c r="F27" s="3" t="s">
        <v>21</v>
      </c>
      <c r="G27" s="3" t="n">
        <v>1</v>
      </c>
      <c r="H27" s="3" t="n">
        <v>652</v>
      </c>
      <c r="I27" s="3" t="s">
        <v>22</v>
      </c>
      <c r="J27" s="3" t="n">
        <v>115</v>
      </c>
      <c r="K27" s="3" t="n">
        <v>2.739</v>
      </c>
      <c r="L27" s="3" t="n">
        <v>20</v>
      </c>
      <c r="M27" s="3" t="s">
        <v>23</v>
      </c>
      <c r="N27" s="3" t="n">
        <v>598.925</v>
      </c>
      <c r="O27" s="3" t="n">
        <v>-4.8138</v>
      </c>
      <c r="P27" s="3" t="n">
        <v>149.487</v>
      </c>
      <c r="Q27" s="3" t="s">
        <v>107</v>
      </c>
      <c r="R27" s="3"/>
      <c r="S27" s="3" t="s">
        <v>85</v>
      </c>
      <c r="T27" s="5" t="n">
        <f aca="false">IF(C27="","",DATE(VALUE(MID(C27,7,4)),VALUE(MID(C27,4,2)),VALUE(MID(C27,1,2)))+TIME(VALUE(MID(C27,12,2)),VALUE(MID(C27,15,2)),0))</f>
        <v>44986.2333333333</v>
      </c>
      <c r="U27" s="3" t="str">
        <f aca="false">IFERROR(IF(ISNUMBER(VALUE(TRIM(MID(A27,FIND("-",A27)+1,FIND("km",A27)-FIND("-",A27)-1)))),"Distance + direction + city","Named-region"),"Named-region")</f>
        <v>Distance + direction + city</v>
      </c>
      <c r="V27" s="3" t="str">
        <f aca="false">LOWER(M27)</f>
        <v>mww</v>
      </c>
      <c r="W27" s="3" t="n">
        <f aca="false">COUNTIFS($A$2:$A$1001,A27,$C$2:$C$1001,C27)</f>
        <v>1</v>
      </c>
      <c r="X27" s="3" t="str">
        <f aca="false">IF(W27&gt;1,"Duplicate","Unique")</f>
        <v>Unique</v>
      </c>
      <c r="Y27" s="3" t="str">
        <f aca="false">IF(B27&lt;6.5,"&lt;6.5",IF(B27&lt;7,"6.5–6.9",IF(B27&lt;7.5,"7.0–7.4",IF(B27&lt;8,"7.5–7.9","8.0+"))))</f>
        <v>6.5–6.9</v>
      </c>
      <c r="Z27" s="3" t="n">
        <f aca="false">IF(T27="","",YEAR(T27))</f>
        <v>2023</v>
      </c>
    </row>
    <row r="28" customFormat="false" ht="13.8" hidden="false" customHeight="false" outlineLevel="0" collapsed="false">
      <c r="A28" s="3" t="s">
        <v>108</v>
      </c>
      <c r="B28" s="3" t="n">
        <v>6.8</v>
      </c>
      <c r="C28" s="3" t="s">
        <v>109</v>
      </c>
      <c r="D28" s="3" t="n">
        <v>9</v>
      </c>
      <c r="E28" s="3" t="n">
        <v>7</v>
      </c>
      <c r="F28" s="3" t="s">
        <v>21</v>
      </c>
      <c r="G28" s="3" t="n">
        <v>0</v>
      </c>
      <c r="H28" s="3" t="n">
        <v>737</v>
      </c>
      <c r="I28" s="3" t="s">
        <v>22</v>
      </c>
      <c r="J28" s="3" t="n">
        <v>128</v>
      </c>
      <c r="K28" s="3" t="n">
        <v>1.783</v>
      </c>
      <c r="L28" s="3" t="n">
        <v>20</v>
      </c>
      <c r="M28" s="3" t="s">
        <v>23</v>
      </c>
      <c r="N28" s="3" t="n">
        <v>20.522</v>
      </c>
      <c r="O28" s="3" t="n">
        <v>38.0726</v>
      </c>
      <c r="P28" s="3" t="n">
        <v>73.2077</v>
      </c>
      <c r="Q28" s="3" t="s">
        <v>110</v>
      </c>
      <c r="R28" s="3" t="s">
        <v>80</v>
      </c>
      <c r="S28" s="3" t="s">
        <v>111</v>
      </c>
      <c r="T28" s="5" t="n">
        <f aca="false">IF(C28="","",DATE(VALUE(MID(C28,7,4)),VALUE(MID(C28,4,2)),VALUE(MID(C28,1,2)))+TIME(VALUE(MID(C28,12,2)),VALUE(MID(C28,15,2)),0))</f>
        <v>44980.0256944444</v>
      </c>
      <c r="U28" s="3" t="str">
        <f aca="false">IFERROR(IF(ISNUMBER(VALUE(TRIM(MID(A28,FIND("-",A28)+1,FIND("km",A28)-FIND("-",A28)-1)))),"Distance + direction + city","Named-region"),"Named-region")</f>
        <v>Distance + direction + city</v>
      </c>
      <c r="V28" s="3" t="str">
        <f aca="false">LOWER(M28)</f>
        <v>mww</v>
      </c>
      <c r="W28" s="3" t="n">
        <f aca="false">COUNTIFS($A$2:$A$1001,A28,$C$2:$C$1001,C28)</f>
        <v>1</v>
      </c>
      <c r="X28" s="3" t="str">
        <f aca="false">IF(W28&gt;1,"Duplicate","Unique")</f>
        <v>Unique</v>
      </c>
      <c r="Y28" s="3" t="str">
        <f aca="false">IF(B28&lt;6.5,"&lt;6.5",IF(B28&lt;7,"6.5–6.9",IF(B28&lt;7.5,"7.0–7.4",IF(B28&lt;8,"7.5–7.9","8.0+"))))</f>
        <v>6.5–6.9</v>
      </c>
      <c r="Z28" s="3" t="n">
        <f aca="false">IF(T28="","",YEAR(T28))</f>
        <v>2023</v>
      </c>
    </row>
    <row r="29" customFormat="false" ht="13.8" hidden="false" customHeight="false" outlineLevel="0" collapsed="false">
      <c r="A29" s="3" t="s">
        <v>112</v>
      </c>
      <c r="B29" s="3" t="n">
        <v>7.5</v>
      </c>
      <c r="C29" s="6" t="s">
        <v>113</v>
      </c>
      <c r="D29" s="3" t="n">
        <v>9</v>
      </c>
      <c r="E29" s="3" t="n">
        <v>9</v>
      </c>
      <c r="F29" s="3" t="s">
        <v>95</v>
      </c>
      <c r="G29" s="3" t="n">
        <v>0</v>
      </c>
      <c r="H29" s="3" t="n">
        <v>1411</v>
      </c>
      <c r="I29" s="3" t="s">
        <v>22</v>
      </c>
      <c r="J29" s="3" t="n">
        <v>135</v>
      </c>
      <c r="K29" s="3" t="n">
        <v>0.85</v>
      </c>
      <c r="L29" s="3" t="n">
        <v>17</v>
      </c>
      <c r="M29" s="3" t="s">
        <v>23</v>
      </c>
      <c r="N29" s="3" t="n">
        <v>10</v>
      </c>
      <c r="O29" s="3" t="n">
        <v>38.0235</v>
      </c>
      <c r="P29" s="3" t="n">
        <v>37.203</v>
      </c>
      <c r="Q29" s="3" t="s">
        <v>114</v>
      </c>
      <c r="R29" s="3" t="s">
        <v>80</v>
      </c>
      <c r="S29" s="3" t="s">
        <v>115</v>
      </c>
      <c r="T29" s="5" t="n">
        <f aca="false">IF(C29="","",DATE(VALUE(MID(C29,7,4)),VALUE(MID(C29,4,2)),VALUE(MID(C29,1,2)))+TIME(VALUE(MID(C29,12,2)),VALUE(MID(C29,15,2)),0))</f>
        <v>44963.4333333333</v>
      </c>
      <c r="U29" s="3" t="str">
        <f aca="false">IFERROR(IF(ISNUMBER(VALUE(TRIM(MID(A29,FIND("-",A29)+1,FIND("km",A29)-FIND("-",A29)-1)))),"Distance + direction + city","Named-region"),"Named-region")</f>
        <v>Distance + direction + city</v>
      </c>
      <c r="V29" s="3" t="str">
        <f aca="false">LOWER(M29)</f>
        <v>mww</v>
      </c>
      <c r="W29" s="3" t="n">
        <f aca="false">COUNTIFS($A$2:$A$1001,A29,$C$2:$C$1001,C29)</f>
        <v>1</v>
      </c>
      <c r="X29" s="3" t="str">
        <f aca="false">IF(W29&gt;1,"Duplicate","Unique")</f>
        <v>Unique</v>
      </c>
      <c r="Y29" s="3" t="str">
        <f aca="false">IF(B29&lt;6.5,"&lt;6.5",IF(B29&lt;7,"6.5–6.9",IF(B29&lt;7.5,"7.0–7.4",IF(B29&lt;8,"7.5–7.9","8.0+"))))</f>
        <v>7.5–7.9</v>
      </c>
      <c r="Z29" s="3" t="n">
        <f aca="false">IF(T29="","",YEAR(T29))</f>
        <v>2023</v>
      </c>
    </row>
    <row r="30" customFormat="false" ht="13.8" hidden="false" customHeight="false" outlineLevel="0" collapsed="false">
      <c r="A30" s="3" t="s">
        <v>116</v>
      </c>
      <c r="B30" s="3" t="n">
        <v>6.7</v>
      </c>
      <c r="C30" s="6" t="s">
        <v>117</v>
      </c>
      <c r="D30" s="3" t="n">
        <v>9</v>
      </c>
      <c r="E30" s="3" t="n">
        <v>8</v>
      </c>
      <c r="F30" s="3" t="s">
        <v>28</v>
      </c>
      <c r="G30" s="3" t="n">
        <v>0</v>
      </c>
      <c r="H30" s="3" t="n">
        <v>800</v>
      </c>
      <c r="I30" s="3" t="s">
        <v>22</v>
      </c>
      <c r="J30" s="3" t="n">
        <v>108</v>
      </c>
      <c r="K30" s="3" t="n">
        <v>0.218</v>
      </c>
      <c r="L30" s="3" t="n">
        <v>44</v>
      </c>
      <c r="M30" s="3" t="s">
        <v>23</v>
      </c>
      <c r="N30" s="3" t="n">
        <v>14.497</v>
      </c>
      <c r="O30" s="3" t="n">
        <v>37.4135</v>
      </c>
      <c r="P30" s="3" t="n">
        <v>36.8306</v>
      </c>
      <c r="Q30" s="3" t="s">
        <v>118</v>
      </c>
      <c r="R30" s="3" t="s">
        <v>80</v>
      </c>
      <c r="S30" s="3" t="s">
        <v>115</v>
      </c>
      <c r="T30" s="5" t="n">
        <f aca="false">IF(C30="","",DATE(VALUE(MID(C30,7,4)),VALUE(MID(C30,4,2)),VALUE(MID(C30,1,2)))+TIME(VALUE(MID(C30,12,2)),VALUE(MID(C30,15,2)),0))</f>
        <v>44963.0611111111</v>
      </c>
      <c r="U30" s="3" t="str">
        <f aca="false">IFERROR(IF(ISNUMBER(VALUE(TRIM(MID(A30,FIND("-",A30)+1,FIND("km",A30)-FIND("-",A30)-1)))),"Distance + direction + city","Named-region"),"Named-region")</f>
        <v>Distance + direction + city</v>
      </c>
      <c r="V30" s="3" t="str">
        <f aca="false">LOWER(M30)</f>
        <v>mww</v>
      </c>
      <c r="W30" s="3" t="n">
        <f aca="false">COUNTIFS($A$2:$A$1001,A30,$C$2:$C$1001,C30)</f>
        <v>1</v>
      </c>
      <c r="X30" s="3" t="str">
        <f aca="false">IF(W30&gt;1,"Duplicate","Unique")</f>
        <v>Unique</v>
      </c>
      <c r="Y30" s="3" t="str">
        <f aca="false">IF(B30&lt;6.5,"&lt;6.5",IF(B30&lt;7,"6.5–6.9",IF(B30&lt;7.5,"7.0–7.4",IF(B30&lt;8,"7.5–7.9","8.0+"))))</f>
        <v>6.5–6.9</v>
      </c>
      <c r="Z30" s="3" t="n">
        <f aca="false">IF(T30="","",YEAR(T30))</f>
        <v>2023</v>
      </c>
    </row>
    <row r="31" customFormat="false" ht="13.8" hidden="false" customHeight="false" outlineLevel="0" collapsed="false">
      <c r="A31" s="3" t="s">
        <v>119</v>
      </c>
      <c r="B31" s="3" t="n">
        <v>7.8</v>
      </c>
      <c r="C31" s="6" t="s">
        <v>120</v>
      </c>
      <c r="D31" s="3" t="n">
        <v>9</v>
      </c>
      <c r="E31" s="3" t="n">
        <v>9</v>
      </c>
      <c r="F31" s="3" t="s">
        <v>121</v>
      </c>
      <c r="G31" s="3" t="n">
        <v>0</v>
      </c>
      <c r="H31" s="3" t="n">
        <v>2910</v>
      </c>
      <c r="I31" s="3" t="s">
        <v>22</v>
      </c>
      <c r="J31" s="3" t="n">
        <v>118</v>
      </c>
      <c r="K31" s="3" t="n">
        <v>1.919</v>
      </c>
      <c r="L31" s="3" t="n">
        <v>32</v>
      </c>
      <c r="M31" s="3" t="s">
        <v>23</v>
      </c>
      <c r="N31" s="3" t="n">
        <v>17.925</v>
      </c>
      <c r="O31" s="3" t="n">
        <v>37.2012</v>
      </c>
      <c r="P31" s="3" t="n">
        <v>36.9997</v>
      </c>
      <c r="Q31" s="3" t="s">
        <v>122</v>
      </c>
      <c r="R31" s="3" t="s">
        <v>80</v>
      </c>
      <c r="S31" s="3" t="s">
        <v>115</v>
      </c>
      <c r="T31" s="5" t="n">
        <f aca="false">IF(C31="","",DATE(VALUE(MID(C31,7,4)),VALUE(MID(C31,4,2)),VALUE(MID(C31,1,2)))+TIME(VALUE(MID(C31,12,2)),VALUE(MID(C31,15,2)),0))</f>
        <v>44963.0534722222</v>
      </c>
      <c r="U31" s="3" t="str">
        <f aca="false">IFERROR(IF(ISNUMBER(VALUE(TRIM(MID(A31,FIND("-",A31)+1,FIND("km",A31)-FIND("-",A31)-1)))),"Distance + direction + city","Named-region"),"Named-region")</f>
        <v>Named-region</v>
      </c>
      <c r="V31" s="3" t="str">
        <f aca="false">LOWER(M31)</f>
        <v>mww</v>
      </c>
      <c r="W31" s="3" t="n">
        <f aca="false">COUNTIFS($A$2:$A$1001,A31,$C$2:$C$1001,C31)</f>
        <v>1</v>
      </c>
      <c r="X31" s="3" t="str">
        <f aca="false">IF(W31&gt;1,"Duplicate","Unique")</f>
        <v>Unique</v>
      </c>
      <c r="Y31" s="3" t="str">
        <f aca="false">IF(B31&lt;6.5,"&lt;6.5",IF(B31&lt;7,"6.5–6.9",IF(B31&lt;7.5,"7.0–7.4",IF(B31&lt;8,"7.5–7.9","8.0+"))))</f>
        <v>7.5–7.9</v>
      </c>
      <c r="Z31" s="3" t="n">
        <f aca="false">IF(T31="","",YEAR(T31))</f>
        <v>2023</v>
      </c>
    </row>
    <row r="32" customFormat="false" ht="13.8" hidden="false" customHeight="false" outlineLevel="0" collapsed="false">
      <c r="A32" s="3" t="s">
        <v>123</v>
      </c>
      <c r="B32" s="3" t="n">
        <v>6.8</v>
      </c>
      <c r="C32" s="3" t="s">
        <v>124</v>
      </c>
      <c r="D32" s="3" t="n">
        <v>4</v>
      </c>
      <c r="E32" s="3" t="n">
        <v>3</v>
      </c>
      <c r="F32" s="3" t="s">
        <v>21</v>
      </c>
      <c r="G32" s="3" t="n">
        <v>0</v>
      </c>
      <c r="H32" s="3" t="n">
        <v>718</v>
      </c>
      <c r="I32" s="3" t="s">
        <v>22</v>
      </c>
      <c r="J32" s="3" t="n">
        <v>60</v>
      </c>
      <c r="K32" s="3" t="n">
        <v>5.129</v>
      </c>
      <c r="L32" s="3" t="n">
        <v>61</v>
      </c>
      <c r="M32" s="3" t="s">
        <v>23</v>
      </c>
      <c r="N32" s="3" t="n">
        <v>610.671</v>
      </c>
      <c r="O32" s="3" t="n">
        <v>-26.7209</v>
      </c>
      <c r="P32" s="3" t="n">
        <v>-63.0394</v>
      </c>
      <c r="Q32" s="3"/>
      <c r="R32" s="3" t="s">
        <v>33</v>
      </c>
      <c r="S32" s="3" t="s">
        <v>34</v>
      </c>
      <c r="T32" s="5" t="n">
        <f aca="false">IF(C32="","",DATE(VALUE(MID(C32,7,4)),VALUE(MID(C32,4,2)),VALUE(MID(C32,1,2)))+TIME(VALUE(MID(C32,12,2)),VALUE(MID(C32,15,2)),0))</f>
        <v>44946.9229166667</v>
      </c>
      <c r="U32" s="3" t="str">
        <f aca="false">IFERROR(IF(ISNUMBER(VALUE(TRIM(MID(A32,FIND("-",A32)+1,FIND("km",A32)-FIND("-",A32)-1)))),"Distance + direction + city","Named-region"),"Named-region")</f>
        <v>Named-region</v>
      </c>
      <c r="V32" s="3" t="str">
        <f aca="false">LOWER(M32)</f>
        <v>mww</v>
      </c>
      <c r="W32" s="3" t="n">
        <f aca="false">COUNTIFS($A$2:$A$1001,A32,$C$2:$C$1001,C32)</f>
        <v>1</v>
      </c>
      <c r="X32" s="3" t="str">
        <f aca="false">IF(W32&gt;1,"Duplicate","Unique")</f>
        <v>Unique</v>
      </c>
      <c r="Y32" s="3" t="str">
        <f aca="false">IF(B32&lt;6.5,"&lt;6.5",IF(B32&lt;7,"6.5–6.9",IF(B32&lt;7.5,"7.0–7.4",IF(B32&lt;8,"7.5–7.9","8.0+"))))</f>
        <v>6.5–6.9</v>
      </c>
      <c r="Z32" s="3" t="n">
        <f aca="false">IF(T32="","",YEAR(T32))</f>
        <v>2023</v>
      </c>
    </row>
    <row r="33" customFormat="false" ht="13.8" hidden="false" customHeight="false" outlineLevel="0" collapsed="false">
      <c r="A33" s="3" t="s">
        <v>125</v>
      </c>
      <c r="B33" s="3" t="n">
        <v>7</v>
      </c>
      <c r="C33" s="3" t="s">
        <v>126</v>
      </c>
      <c r="D33" s="3" t="n">
        <v>3</v>
      </c>
      <c r="E33" s="3" t="n">
        <v>5</v>
      </c>
      <c r="F33" s="3" t="s">
        <v>21</v>
      </c>
      <c r="G33" s="3" t="n">
        <v>1</v>
      </c>
      <c r="H33" s="3" t="n">
        <v>756</v>
      </c>
      <c r="I33" s="3" t="s">
        <v>22</v>
      </c>
      <c r="J33" s="3" t="n">
        <v>130</v>
      </c>
      <c r="K33" s="3" t="n">
        <v>1.974</v>
      </c>
      <c r="L33" s="3" t="n">
        <v>17</v>
      </c>
      <c r="M33" s="3" t="s">
        <v>127</v>
      </c>
      <c r="N33" s="3" t="n">
        <v>28.566</v>
      </c>
      <c r="O33" s="3" t="n">
        <v>2.7401</v>
      </c>
      <c r="P33" s="3" t="n">
        <v>127.051</v>
      </c>
      <c r="Q33" s="3" t="s">
        <v>128</v>
      </c>
      <c r="R33" s="3"/>
      <c r="S33" s="3" t="s">
        <v>68</v>
      </c>
      <c r="T33" s="5" t="n">
        <f aca="false">IF(C33="","",DATE(VALUE(MID(C33,7,4)),VALUE(MID(C33,4,2)),VALUE(MID(C33,1,2)))+TIME(VALUE(MID(C33,12,2)),VALUE(MID(C33,15,2)),0))</f>
        <v>44944.2541666667</v>
      </c>
      <c r="U33" s="3" t="str">
        <f aca="false">IFERROR(IF(ISNUMBER(VALUE(TRIM(MID(A33,FIND("-",A33)+1,FIND("km",A33)-FIND("-",A33)-1)))),"Distance + direction + city","Named-region"),"Named-region")</f>
        <v>Distance + direction + city</v>
      </c>
      <c r="V33" s="3" t="str">
        <f aca="false">LOWER(M33)</f>
        <v>mwc</v>
      </c>
      <c r="W33" s="3" t="n">
        <f aca="false">COUNTIFS($A$2:$A$1001,A33,$C$2:$C$1001,C33)</f>
        <v>1</v>
      </c>
      <c r="X33" s="3" t="str">
        <f aca="false">IF(W33&gt;1,"Duplicate","Unique")</f>
        <v>Unique</v>
      </c>
      <c r="Y33" s="3" t="str">
        <f aca="false">IF(B33&lt;6.5,"&lt;6.5",IF(B33&lt;7,"6.5–6.9",IF(B33&lt;7.5,"7.0–7.4",IF(B33&lt;8,"7.5–7.9","8.0+"))))</f>
        <v>7.0–7.4</v>
      </c>
      <c r="Z33" s="3" t="n">
        <f aca="false">IF(T33="","",YEAR(T33))</f>
        <v>2023</v>
      </c>
    </row>
    <row r="34" customFormat="false" ht="13.8" hidden="false" customHeight="false" outlineLevel="0" collapsed="false">
      <c r="A34" s="3" t="s">
        <v>129</v>
      </c>
      <c r="B34" s="3" t="n">
        <v>7.6</v>
      </c>
      <c r="C34" s="6" t="s">
        <v>130</v>
      </c>
      <c r="D34" s="3" t="n">
        <v>5</v>
      </c>
      <c r="E34" s="3" t="n">
        <v>7</v>
      </c>
      <c r="F34" s="3" t="s">
        <v>21</v>
      </c>
      <c r="G34" s="3" t="n">
        <v>0</v>
      </c>
      <c r="H34" s="3" t="n">
        <v>957</v>
      </c>
      <c r="I34" s="3" t="s">
        <v>22</v>
      </c>
      <c r="J34" s="3" t="n">
        <v>114</v>
      </c>
      <c r="K34" s="3" t="n">
        <v>1.575</v>
      </c>
      <c r="L34" s="3" t="n">
        <v>21</v>
      </c>
      <c r="M34" s="3" t="s">
        <v>23</v>
      </c>
      <c r="N34" s="3" t="n">
        <v>105.249</v>
      </c>
      <c r="O34" s="3" t="n">
        <v>-7.0852</v>
      </c>
      <c r="P34" s="3" t="n">
        <v>130.039</v>
      </c>
      <c r="Q34" s="3" t="s">
        <v>131</v>
      </c>
      <c r="R34" s="3"/>
      <c r="S34" s="3" t="s">
        <v>68</v>
      </c>
      <c r="T34" s="5" t="n">
        <f aca="false">IF(C34="","",DATE(VALUE(MID(C34,7,4)),VALUE(MID(C34,4,2)),VALUE(MID(C34,1,2)))+TIME(VALUE(MID(C34,12,2)),VALUE(MID(C34,15,2)),0))</f>
        <v>44935.7409722222</v>
      </c>
      <c r="U34" s="3" t="str">
        <f aca="false">IFERROR(IF(ISNUMBER(VALUE(TRIM(MID(A34,FIND("-",A34)+1,FIND("km",A34)-FIND("-",A34)-1)))),"Distance + direction + city","Named-region"),"Named-region")</f>
        <v>Named-region</v>
      </c>
      <c r="V34" s="3" t="str">
        <f aca="false">LOWER(M34)</f>
        <v>mww</v>
      </c>
      <c r="W34" s="3" t="n">
        <f aca="false">COUNTIFS($A$2:$A$1001,A34,$C$2:$C$1001,C34)</f>
        <v>1</v>
      </c>
      <c r="X34" s="3" t="str">
        <f aca="false">IF(W34&gt;1,"Duplicate","Unique")</f>
        <v>Unique</v>
      </c>
      <c r="Y34" s="3" t="str">
        <f aca="false">IF(B34&lt;6.5,"&lt;6.5",IF(B34&lt;7,"6.5–6.9",IF(B34&lt;7.5,"7.0–7.4",IF(B34&lt;8,"7.5–7.9","8.0+"))))</f>
        <v>7.5–7.9</v>
      </c>
      <c r="Z34" s="3" t="n">
        <f aca="false">IF(T34="","",YEAR(T34))</f>
        <v>2023</v>
      </c>
    </row>
    <row r="35" customFormat="false" ht="13.8" hidden="false" customHeight="false" outlineLevel="0" collapsed="false">
      <c r="A35" s="3" t="s">
        <v>132</v>
      </c>
      <c r="B35" s="3" t="n">
        <v>7</v>
      </c>
      <c r="C35" s="6" t="s">
        <v>133</v>
      </c>
      <c r="D35" s="3" t="n">
        <v>8</v>
      </c>
      <c r="E35" s="3" t="n">
        <v>7</v>
      </c>
      <c r="F35" s="3" t="s">
        <v>21</v>
      </c>
      <c r="G35" s="3" t="n">
        <v>1</v>
      </c>
      <c r="H35" s="3" t="n">
        <v>768</v>
      </c>
      <c r="I35" s="3" t="s">
        <v>22</v>
      </c>
      <c r="J35" s="3" t="n">
        <v>116</v>
      </c>
      <c r="K35" s="3" t="n">
        <v>6.096</v>
      </c>
      <c r="L35" s="3" t="n">
        <v>36</v>
      </c>
      <c r="M35" s="3" t="s">
        <v>23</v>
      </c>
      <c r="N35" s="3" t="n">
        <v>29</v>
      </c>
      <c r="O35" s="3" t="n">
        <v>-14.9383</v>
      </c>
      <c r="P35" s="3" t="n">
        <v>166.878</v>
      </c>
      <c r="Q35" s="3" t="s">
        <v>25</v>
      </c>
      <c r="R35" s="3"/>
      <c r="S35" s="3" t="s">
        <v>25</v>
      </c>
      <c r="T35" s="5" t="n">
        <f aca="false">IF(C35="","",DATE(VALUE(MID(C35,7,4)),VALUE(MID(C35,4,2)),VALUE(MID(C35,1,2)))+TIME(VALUE(MID(C35,12,2)),VALUE(MID(C35,15,2)),0))</f>
        <v>44934.5222222222</v>
      </c>
      <c r="U35" s="3" t="str">
        <f aca="false">IFERROR(IF(ISNUMBER(VALUE(TRIM(MID(A35,FIND("-",A35)+1,FIND("km",A35)-FIND("-",A35)-1)))),"Distance + direction + city","Named-region"),"Named-region")</f>
        <v>Named-region</v>
      </c>
      <c r="V35" s="3" t="str">
        <f aca="false">LOWER(M35)</f>
        <v>mww</v>
      </c>
      <c r="W35" s="3" t="n">
        <f aca="false">COUNTIFS($A$2:$A$1001,A35,$C$2:$C$1001,C35)</f>
        <v>1</v>
      </c>
      <c r="X35" s="3" t="str">
        <f aca="false">IF(W35&gt;1,"Duplicate","Unique")</f>
        <v>Unique</v>
      </c>
      <c r="Y35" s="3" t="str">
        <f aca="false">IF(B35&lt;6.5,"&lt;6.5",IF(B35&lt;7,"6.5–6.9",IF(B35&lt;7.5,"7.0–7.4",IF(B35&lt;8,"7.5–7.9","8.0+"))))</f>
        <v>7.0–7.4</v>
      </c>
      <c r="Z35" s="3" t="n">
        <f aca="false">IF(T35="","",YEAR(T35))</f>
        <v>2023</v>
      </c>
    </row>
    <row r="36" customFormat="false" ht="13.8" hidden="false" customHeight="false" outlineLevel="0" collapsed="false">
      <c r="A36" s="3" t="s">
        <v>134</v>
      </c>
      <c r="B36" s="3" t="n">
        <v>6.8</v>
      </c>
      <c r="C36" s="6" t="s">
        <v>135</v>
      </c>
      <c r="D36" s="3" t="n">
        <v>5</v>
      </c>
      <c r="E36" s="3" t="n">
        <v>5</v>
      </c>
      <c r="F36" s="3" t="s">
        <v>21</v>
      </c>
      <c r="G36" s="3" t="n">
        <v>1</v>
      </c>
      <c r="H36" s="3" t="n">
        <v>720</v>
      </c>
      <c r="I36" s="3" t="s">
        <v>22</v>
      </c>
      <c r="J36" s="3" t="n">
        <v>152</v>
      </c>
      <c r="K36" s="3" t="n">
        <v>2.587</v>
      </c>
      <c r="L36" s="3" t="n">
        <v>26</v>
      </c>
      <c r="M36" s="3" t="s">
        <v>23</v>
      </c>
      <c r="N36" s="3" t="n">
        <v>38</v>
      </c>
      <c r="O36" s="3" t="n">
        <v>-15.3983</v>
      </c>
      <c r="P36" s="3" t="n">
        <v>-172.968</v>
      </c>
      <c r="Q36" s="3" t="s">
        <v>62</v>
      </c>
      <c r="R36" s="3"/>
      <c r="S36" s="3"/>
      <c r="T36" s="5" t="n">
        <f aca="false">IF(C36="","",DATE(VALUE(MID(C36,7,4)),VALUE(MID(C36,4,2)),VALUE(MID(C36,1,2)))+TIME(VALUE(MID(C36,12,2)),VALUE(MID(C36,15,2)),0))</f>
        <v>44899.8083333333</v>
      </c>
      <c r="U36" s="3" t="str">
        <f aca="false">IFERROR(IF(ISNUMBER(VALUE(TRIM(MID(A36,FIND("-",A36)+1,FIND("km",A36)-FIND("-",A36)-1)))),"Distance + direction + city","Named-region"),"Named-region")</f>
        <v>Distance + direction + city</v>
      </c>
      <c r="V36" s="3" t="str">
        <f aca="false">LOWER(M36)</f>
        <v>mww</v>
      </c>
      <c r="W36" s="3" t="n">
        <f aca="false">COUNTIFS($A$2:$A$1001,A36,$C$2:$C$1001,C36)</f>
        <v>1</v>
      </c>
      <c r="X36" s="3" t="str">
        <f aca="false">IF(W36&gt;1,"Duplicate","Unique")</f>
        <v>Unique</v>
      </c>
      <c r="Y36" s="3" t="str">
        <f aca="false">IF(B36&lt;6.5,"&lt;6.5",IF(B36&lt;7,"6.5–6.9",IF(B36&lt;7.5,"7.0–7.4",IF(B36&lt;8,"7.5–7.9","8.0+"))))</f>
        <v>6.5–6.9</v>
      </c>
      <c r="Z36" s="3" t="n">
        <f aca="false">IF(T36="","",YEAR(T36))</f>
        <v>2022</v>
      </c>
    </row>
    <row r="37" customFormat="false" ht="13.8" hidden="false" customHeight="false" outlineLevel="0" collapsed="false">
      <c r="A37" s="3" t="s">
        <v>136</v>
      </c>
      <c r="B37" s="3" t="n">
        <v>7</v>
      </c>
      <c r="C37" s="3" t="s">
        <v>137</v>
      </c>
      <c r="D37" s="3" t="n">
        <v>8</v>
      </c>
      <c r="E37" s="3" t="n">
        <v>7</v>
      </c>
      <c r="F37" s="3" t="s">
        <v>21</v>
      </c>
      <c r="G37" s="3" t="n">
        <v>1</v>
      </c>
      <c r="H37" s="3" t="n">
        <v>768</v>
      </c>
      <c r="I37" s="3" t="s">
        <v>22</v>
      </c>
      <c r="J37" s="3" t="n">
        <v>117</v>
      </c>
      <c r="K37" s="3" t="n">
        <v>0.509</v>
      </c>
      <c r="L37" s="3" t="n">
        <v>17</v>
      </c>
      <c r="M37" s="3" t="s">
        <v>23</v>
      </c>
      <c r="N37" s="3" t="n">
        <v>14</v>
      </c>
      <c r="O37" s="3" t="n">
        <v>-9.7963</v>
      </c>
      <c r="P37" s="3" t="n">
        <v>159.596</v>
      </c>
      <c r="Q37" s="3" t="s">
        <v>138</v>
      </c>
      <c r="R37" s="3" t="s">
        <v>139</v>
      </c>
      <c r="S37" s="3" t="s">
        <v>140</v>
      </c>
      <c r="T37" s="5" t="n">
        <f aca="false">IF(C37="","",DATE(VALUE(MID(C37,7,4)),VALUE(MID(C37,4,2)),VALUE(MID(C37,1,2)))+TIME(VALUE(MID(C37,12,2)),VALUE(MID(C37,15,2)),0))</f>
        <v>44887.0854166667</v>
      </c>
      <c r="U37" s="3" t="str">
        <f aca="false">IFERROR(IF(ISNUMBER(VALUE(TRIM(MID(A37,FIND("-",A37)+1,FIND("km",A37)-FIND("-",A37)-1)))),"Distance + direction + city","Named-region"),"Named-region")</f>
        <v>Distance + direction + city</v>
      </c>
      <c r="V37" s="3" t="str">
        <f aca="false">LOWER(M37)</f>
        <v>mww</v>
      </c>
      <c r="W37" s="3" t="n">
        <f aca="false">COUNTIFS($A$2:$A$1001,A37,$C$2:$C$1001,C37)</f>
        <v>1</v>
      </c>
      <c r="X37" s="3" t="str">
        <f aca="false">IF(W37&gt;1,"Duplicate","Unique")</f>
        <v>Unique</v>
      </c>
      <c r="Y37" s="3" t="str">
        <f aca="false">IF(B37&lt;6.5,"&lt;6.5",IF(B37&lt;7,"6.5–6.9",IF(B37&lt;7.5,"7.0–7.4",IF(B37&lt;8,"7.5–7.9","8.0+"))))</f>
        <v>7.0–7.4</v>
      </c>
      <c r="Z37" s="3" t="n">
        <f aca="false">IF(T37="","",YEAR(T37))</f>
        <v>2022</v>
      </c>
    </row>
    <row r="38" customFormat="false" ht="13.8" hidden="false" customHeight="false" outlineLevel="0" collapsed="false">
      <c r="A38" s="3" t="s">
        <v>141</v>
      </c>
      <c r="B38" s="3" t="n">
        <v>6.9</v>
      </c>
      <c r="C38" s="3" t="s">
        <v>142</v>
      </c>
      <c r="D38" s="3" t="n">
        <v>4</v>
      </c>
      <c r="E38" s="3" t="n">
        <v>4</v>
      </c>
      <c r="F38" s="3" t="s">
        <v>21</v>
      </c>
      <c r="G38" s="3" t="n">
        <v>0</v>
      </c>
      <c r="H38" s="3" t="n">
        <v>735</v>
      </c>
      <c r="I38" s="3" t="s">
        <v>22</v>
      </c>
      <c r="J38" s="3" t="n">
        <v>99</v>
      </c>
      <c r="K38" s="3" t="n">
        <v>2.229</v>
      </c>
      <c r="L38" s="3" t="n">
        <v>34</v>
      </c>
      <c r="M38" s="3" t="s">
        <v>23</v>
      </c>
      <c r="N38" s="3" t="n">
        <v>25</v>
      </c>
      <c r="O38" s="3" t="n">
        <v>-4.9559</v>
      </c>
      <c r="P38" s="3" t="n">
        <v>100.738</v>
      </c>
      <c r="Q38" s="3" t="s">
        <v>143</v>
      </c>
      <c r="R38" s="3"/>
      <c r="S38" s="3"/>
      <c r="T38" s="5" t="n">
        <f aca="false">IF(C38="","",DATE(VALUE(MID(C38,7,4)),VALUE(MID(C38,4,2)),VALUE(MID(C38,1,2)))+TIME(VALUE(MID(C38,12,2)),VALUE(MID(C38,15,2)),0))</f>
        <v>44883.5673611111</v>
      </c>
      <c r="U38" s="3" t="str">
        <f aca="false">IFERROR(IF(ISNUMBER(VALUE(TRIM(MID(A38,FIND("-",A38)+1,FIND("km",A38)-FIND("-",A38)-1)))),"Distance + direction + city","Named-region"),"Named-region")</f>
        <v>Distance + direction + city</v>
      </c>
      <c r="V38" s="3" t="str">
        <f aca="false">LOWER(M38)</f>
        <v>mww</v>
      </c>
      <c r="W38" s="3" t="n">
        <f aca="false">COUNTIFS($A$2:$A$1001,A38,$C$2:$C$1001,C38)</f>
        <v>1</v>
      </c>
      <c r="X38" s="3" t="str">
        <f aca="false">IF(W38&gt;1,"Duplicate","Unique")</f>
        <v>Unique</v>
      </c>
      <c r="Y38" s="3" t="str">
        <f aca="false">IF(B38&lt;6.5,"&lt;6.5",IF(B38&lt;7,"6.5–6.9",IF(B38&lt;7.5,"7.0–7.4",IF(B38&lt;8,"7.5–7.9","8.0+"))))</f>
        <v>6.5–6.9</v>
      </c>
      <c r="Z38" s="3" t="n">
        <f aca="false">IF(T38="","",YEAR(T38))</f>
        <v>2022</v>
      </c>
    </row>
    <row r="39" customFormat="false" ht="13.8" hidden="false" customHeight="false" outlineLevel="0" collapsed="false">
      <c r="A39" s="3" t="s">
        <v>144</v>
      </c>
      <c r="B39" s="3" t="n">
        <v>7</v>
      </c>
      <c r="C39" s="6" t="s">
        <v>145</v>
      </c>
      <c r="D39" s="3" t="n">
        <v>3</v>
      </c>
      <c r="E39" s="3" t="n">
        <v>3</v>
      </c>
      <c r="F39" s="3" t="s">
        <v>21</v>
      </c>
      <c r="G39" s="3" t="n">
        <v>1</v>
      </c>
      <c r="H39" s="3" t="n">
        <v>755</v>
      </c>
      <c r="I39" s="3" t="s">
        <v>22</v>
      </c>
      <c r="J39" s="3" t="n">
        <v>147</v>
      </c>
      <c r="K39" s="3" t="n">
        <v>3.125</v>
      </c>
      <c r="L39" s="3" t="n">
        <v>18</v>
      </c>
      <c r="M39" s="3" t="s">
        <v>23</v>
      </c>
      <c r="N39" s="3" t="n">
        <v>579</v>
      </c>
      <c r="O39" s="3" t="n">
        <v>-20.0508</v>
      </c>
      <c r="P39" s="3" t="n">
        <v>-178.346</v>
      </c>
      <c r="Q39" s="3"/>
      <c r="R39" s="3" t="s">
        <v>139</v>
      </c>
      <c r="S39" s="3" t="s">
        <v>146</v>
      </c>
      <c r="T39" s="5" t="n">
        <f aca="false">IF(C39="","",DATE(VALUE(MID(C39,7,4)),VALUE(MID(C39,4,2)),VALUE(MID(C39,1,2)))+TIME(VALUE(MID(C39,12,2)),VALUE(MID(C39,15,2)),0))</f>
        <v>44877.2979166667</v>
      </c>
      <c r="U39" s="3" t="str">
        <f aca="false">IFERROR(IF(ISNUMBER(VALUE(TRIM(MID(A39,FIND("-",A39)+1,FIND("km",A39)-FIND("-",A39)-1)))),"Distance + direction + city","Named-region"),"Named-region")</f>
        <v>Named-region</v>
      </c>
      <c r="V39" s="3" t="str">
        <f aca="false">LOWER(M39)</f>
        <v>mww</v>
      </c>
      <c r="W39" s="3" t="n">
        <f aca="false">COUNTIFS($A$2:$A$1001,A39,$C$2:$C$1001,C39)</f>
        <v>1</v>
      </c>
      <c r="X39" s="3" t="str">
        <f aca="false">IF(W39&gt;1,"Duplicate","Unique")</f>
        <v>Unique</v>
      </c>
      <c r="Y39" s="3" t="str">
        <f aca="false">IF(B39&lt;6.5,"&lt;6.5",IF(B39&lt;7,"6.5–6.9",IF(B39&lt;7.5,"7.0–7.4",IF(B39&lt;8,"7.5–7.9","8.0+"))))</f>
        <v>7.0–7.4</v>
      </c>
      <c r="Z39" s="3" t="n">
        <f aca="false">IF(T39="","",YEAR(T39))</f>
        <v>2022</v>
      </c>
    </row>
    <row r="40" customFormat="false" ht="13.8" hidden="false" customHeight="false" outlineLevel="0" collapsed="false">
      <c r="A40" s="3" t="s">
        <v>147</v>
      </c>
      <c r="B40" s="3" t="n">
        <v>7.3</v>
      </c>
      <c r="C40" s="6" t="s">
        <v>148</v>
      </c>
      <c r="D40" s="3" t="n">
        <v>5</v>
      </c>
      <c r="E40" s="3" t="n">
        <v>5</v>
      </c>
      <c r="F40" s="3" t="s">
        <v>21</v>
      </c>
      <c r="G40" s="3" t="n">
        <v>1</v>
      </c>
      <c r="H40" s="3" t="n">
        <v>833</v>
      </c>
      <c r="I40" s="3" t="s">
        <v>22</v>
      </c>
      <c r="J40" s="3" t="n">
        <v>149</v>
      </c>
      <c r="K40" s="3" t="n">
        <v>1.865</v>
      </c>
      <c r="L40" s="3" t="n">
        <v>21</v>
      </c>
      <c r="M40" s="3" t="s">
        <v>23</v>
      </c>
      <c r="N40" s="3" t="n">
        <v>37</v>
      </c>
      <c r="O40" s="3" t="n">
        <v>-19.2918</v>
      </c>
      <c r="P40" s="3" t="n">
        <v>-172.129</v>
      </c>
      <c r="Q40" s="3" t="s">
        <v>149</v>
      </c>
      <c r="R40" s="3"/>
      <c r="S40" s="3"/>
      <c r="T40" s="5" t="n">
        <f aca="false">IF(C40="","",DATE(VALUE(MID(C40,7,4)),VALUE(MID(C40,4,2)),VALUE(MID(C40,1,2)))+TIME(VALUE(MID(C40,12,2)),VALUE(MID(C40,15,2)),0))</f>
        <v>44876.45</v>
      </c>
      <c r="U40" s="3" t="str">
        <f aca="false">IFERROR(IF(ISNUMBER(VALUE(TRIM(MID(A40,FIND("-",A40)+1,FIND("km",A40)-FIND("-",A40)-1)))),"Distance + direction + city","Named-region"),"Named-region")</f>
        <v>Distance + direction + city</v>
      </c>
      <c r="V40" s="3" t="str">
        <f aca="false">LOWER(M40)</f>
        <v>mww</v>
      </c>
      <c r="W40" s="3" t="n">
        <f aca="false">COUNTIFS($A$2:$A$1001,A40,$C$2:$C$1001,C40)</f>
        <v>1</v>
      </c>
      <c r="X40" s="3" t="str">
        <f aca="false">IF(W40&gt;1,"Duplicate","Unique")</f>
        <v>Unique</v>
      </c>
      <c r="Y40" s="3" t="str">
        <f aca="false">IF(B40&lt;6.5,"&lt;6.5",IF(B40&lt;7,"6.5–6.9",IF(B40&lt;7.5,"7.0–7.4",IF(B40&lt;8,"7.5–7.9","8.0+"))))</f>
        <v>7.0–7.4</v>
      </c>
      <c r="Z40" s="3" t="n">
        <f aca="false">IF(T40="","",YEAR(T40))</f>
        <v>2022</v>
      </c>
    </row>
    <row r="41" customFormat="false" ht="13.8" hidden="false" customHeight="false" outlineLevel="0" collapsed="false">
      <c r="A41" s="3" t="s">
        <v>150</v>
      </c>
      <c r="B41" s="3" t="n">
        <v>6.6</v>
      </c>
      <c r="C41" s="6" t="s">
        <v>151</v>
      </c>
      <c r="D41" s="3" t="n">
        <v>0</v>
      </c>
      <c r="E41" s="3" t="n">
        <v>2</v>
      </c>
      <c r="F41" s="3" t="s">
        <v>21</v>
      </c>
      <c r="G41" s="3" t="n">
        <v>1</v>
      </c>
      <c r="H41" s="3" t="n">
        <v>670</v>
      </c>
      <c r="I41" s="3" t="s">
        <v>22</v>
      </c>
      <c r="J41" s="3" t="n">
        <v>131</v>
      </c>
      <c r="K41" s="3" t="n">
        <v>4.998</v>
      </c>
      <c r="L41" s="3" t="n">
        <v>27</v>
      </c>
      <c r="M41" s="3" t="s">
        <v>23</v>
      </c>
      <c r="N41" s="3" t="n">
        <v>624.464</v>
      </c>
      <c r="O41" s="3" t="n">
        <v>-25.5948</v>
      </c>
      <c r="P41" s="3" t="n">
        <v>178.278</v>
      </c>
      <c r="Q41" s="3"/>
      <c r="R41" s="3"/>
      <c r="S41" s="3"/>
      <c r="T41" s="5" t="n">
        <f aca="false">IF(C41="","",DATE(VALUE(MID(C41,7,4)),VALUE(MID(C41,4,2)),VALUE(MID(C41,1,2)))+TIME(VALUE(MID(C41,12,2)),VALUE(MID(C41,15,2)),0))</f>
        <v>44874.4263888889</v>
      </c>
      <c r="U41" s="3" t="str">
        <f aca="false">IFERROR(IF(ISNUMBER(VALUE(TRIM(MID(A41,FIND("-",A41)+1,FIND("km",A41)-FIND("-",A41)-1)))),"Distance + direction + city","Named-region"),"Named-region")</f>
        <v>Named-region</v>
      </c>
      <c r="V41" s="3" t="str">
        <f aca="false">LOWER(M41)</f>
        <v>mww</v>
      </c>
      <c r="W41" s="3" t="n">
        <f aca="false">COUNTIFS($A$2:$A$1001,A41,$C$2:$C$1001,C41)</f>
        <v>1</v>
      </c>
      <c r="X41" s="3" t="str">
        <f aca="false">IF(W41&gt;1,"Duplicate","Unique")</f>
        <v>Unique</v>
      </c>
      <c r="Y41" s="3" t="str">
        <f aca="false">IF(B41&lt;6.5,"&lt;6.5",IF(B41&lt;7,"6.5–6.9",IF(B41&lt;7.5,"7.0–7.4",IF(B41&lt;8,"7.5–7.9","8.0+"))))</f>
        <v>6.5–6.9</v>
      </c>
      <c r="Z41" s="3" t="n">
        <f aca="false">IF(T41="","",YEAR(T41))</f>
        <v>2022</v>
      </c>
    </row>
    <row r="42" customFormat="false" ht="13.8" hidden="false" customHeight="false" outlineLevel="0" collapsed="false">
      <c r="A42" s="3" t="s">
        <v>152</v>
      </c>
      <c r="B42" s="3" t="n">
        <v>7</v>
      </c>
      <c r="C42" s="6" t="s">
        <v>153</v>
      </c>
      <c r="D42" s="3" t="n">
        <v>4</v>
      </c>
      <c r="E42" s="3" t="n">
        <v>3</v>
      </c>
      <c r="F42" s="3" t="s">
        <v>21</v>
      </c>
      <c r="G42" s="3" t="n">
        <v>1</v>
      </c>
      <c r="H42" s="3" t="n">
        <v>755</v>
      </c>
      <c r="I42" s="3" t="s">
        <v>22</v>
      </c>
      <c r="J42" s="3" t="n">
        <v>142</v>
      </c>
      <c r="K42" s="3" t="n">
        <v>4.578</v>
      </c>
      <c r="L42" s="3" t="n">
        <v>26</v>
      </c>
      <c r="M42" s="3" t="s">
        <v>154</v>
      </c>
      <c r="N42" s="3" t="n">
        <v>660</v>
      </c>
      <c r="O42" s="3" t="n">
        <v>-26.0442</v>
      </c>
      <c r="P42" s="3" t="n">
        <v>178.381</v>
      </c>
      <c r="Q42" s="3" t="s">
        <v>50</v>
      </c>
      <c r="R42" s="3"/>
      <c r="S42" s="3"/>
      <c r="T42" s="5" t="n">
        <f aca="false">IF(C42="","",DATE(VALUE(MID(C42,7,4)),VALUE(MID(C42,4,2)),VALUE(MID(C42,1,2)))+TIME(VALUE(MID(C42,12,2)),VALUE(MID(C42,15,2)),0))</f>
        <v>44874.4104166667</v>
      </c>
      <c r="U42" s="3" t="str">
        <f aca="false">IFERROR(IF(ISNUMBER(VALUE(TRIM(MID(A42,FIND("-",A42)+1,FIND("km",A42)-FIND("-",A42)-1)))),"Distance + direction + city","Named-region"),"Named-region")</f>
        <v>Named-region</v>
      </c>
      <c r="V42" s="3" t="str">
        <f aca="false">LOWER(M42)</f>
        <v>mwb</v>
      </c>
      <c r="W42" s="3" t="n">
        <f aca="false">COUNTIFS($A$2:$A$1001,A42,$C$2:$C$1001,C42)</f>
        <v>1</v>
      </c>
      <c r="X42" s="3" t="str">
        <f aca="false">IF(W42&gt;1,"Duplicate","Unique")</f>
        <v>Unique</v>
      </c>
      <c r="Y42" s="3" t="str">
        <f aca="false">IF(B42&lt;6.5,"&lt;6.5",IF(B42&lt;7,"6.5–6.9",IF(B42&lt;7.5,"7.0–7.4",IF(B42&lt;8,"7.5–7.9","8.0+"))))</f>
        <v>7.0–7.4</v>
      </c>
      <c r="Z42" s="3" t="n">
        <f aca="false">IF(T42="","",YEAR(T42))</f>
        <v>2022</v>
      </c>
    </row>
    <row r="43" customFormat="false" ht="13.8" hidden="false" customHeight="false" outlineLevel="0" collapsed="false">
      <c r="A43" s="3" t="s">
        <v>155</v>
      </c>
      <c r="B43" s="3" t="n">
        <v>6.8</v>
      </c>
      <c r="C43" s="6" t="s">
        <v>156</v>
      </c>
      <c r="D43" s="3" t="n">
        <v>1</v>
      </c>
      <c r="E43" s="3" t="n">
        <v>3</v>
      </c>
      <c r="F43" s="3" t="s">
        <v>21</v>
      </c>
      <c r="G43" s="3" t="n">
        <v>1</v>
      </c>
      <c r="H43" s="3" t="n">
        <v>711</v>
      </c>
      <c r="I43" s="3" t="s">
        <v>22</v>
      </c>
      <c r="J43" s="3" t="n">
        <v>136</v>
      </c>
      <c r="K43" s="3" t="n">
        <v>4.678</v>
      </c>
      <c r="L43" s="3" t="n">
        <v>22</v>
      </c>
      <c r="M43" s="3" t="s">
        <v>23</v>
      </c>
      <c r="N43" s="3" t="n">
        <v>630.379</v>
      </c>
      <c r="O43" s="3" t="n">
        <v>-25.9678</v>
      </c>
      <c r="P43" s="3" t="n">
        <v>178.363</v>
      </c>
      <c r="Q43" s="3" t="s">
        <v>50</v>
      </c>
      <c r="R43" s="3"/>
      <c r="S43" s="3"/>
      <c r="T43" s="5" t="n">
        <f aca="false">IF(C43="","",DATE(VALUE(MID(C43,7,4)),VALUE(MID(C43,4,2)),VALUE(MID(C43,1,2)))+TIME(VALUE(MID(C43,12,2)),VALUE(MID(C43,15,2)),0))</f>
        <v>44874.4013888889</v>
      </c>
      <c r="U43" s="3" t="str">
        <f aca="false">IFERROR(IF(ISNUMBER(VALUE(TRIM(MID(A43,FIND("-",A43)+1,FIND("km",A43)-FIND("-",A43)-1)))),"Distance + direction + city","Named-region"),"Named-region")</f>
        <v>Named-region</v>
      </c>
      <c r="V43" s="3" t="str">
        <f aca="false">LOWER(M43)</f>
        <v>mww</v>
      </c>
      <c r="W43" s="3" t="n">
        <f aca="false">COUNTIFS($A$2:$A$1001,A43,$C$2:$C$1001,C43)</f>
        <v>1</v>
      </c>
      <c r="X43" s="3" t="str">
        <f aca="false">IF(W43&gt;1,"Duplicate","Unique")</f>
        <v>Unique</v>
      </c>
      <c r="Y43" s="3" t="str">
        <f aca="false">IF(B43&lt;6.5,"&lt;6.5",IF(B43&lt;7,"6.5–6.9",IF(B43&lt;7.5,"7.0–7.4",IF(B43&lt;8,"7.5–7.9","8.0+"))))</f>
        <v>6.5–6.9</v>
      </c>
      <c r="Z43" s="3" t="n">
        <f aca="false">IF(T43="","",YEAR(T43))</f>
        <v>2022</v>
      </c>
    </row>
    <row r="44" customFormat="false" ht="13.8" hidden="false" customHeight="false" outlineLevel="0" collapsed="false">
      <c r="A44" s="3" t="s">
        <v>157</v>
      </c>
      <c r="B44" s="3" t="n">
        <v>6.7</v>
      </c>
      <c r="C44" s="3" t="s">
        <v>158</v>
      </c>
      <c r="D44" s="3" t="n">
        <v>7</v>
      </c>
      <c r="E44" s="3" t="n">
        <v>6</v>
      </c>
      <c r="F44" s="3" t="s">
        <v>21</v>
      </c>
      <c r="G44" s="3" t="n">
        <v>1</v>
      </c>
      <c r="H44" s="3" t="n">
        <v>797</v>
      </c>
      <c r="I44" s="3" t="s">
        <v>22</v>
      </c>
      <c r="J44" s="3" t="n">
        <v>145</v>
      </c>
      <c r="K44" s="3" t="n">
        <v>1.151</v>
      </c>
      <c r="L44" s="3" t="n">
        <v>37</v>
      </c>
      <c r="M44" s="3" t="s">
        <v>23</v>
      </c>
      <c r="N44" s="3" t="n">
        <v>20</v>
      </c>
      <c r="O44" s="3" t="n">
        <v>7.6712</v>
      </c>
      <c r="P44" s="3" t="n">
        <v>-82.3396</v>
      </c>
      <c r="Q44" s="3" t="s">
        <v>159</v>
      </c>
      <c r="R44" s="3"/>
      <c r="S44" s="3" t="s">
        <v>160</v>
      </c>
      <c r="T44" s="5" t="n">
        <f aca="false">IF(C44="","",DATE(VALUE(MID(C44,7,4)),VALUE(MID(C44,4,2)),VALUE(MID(C44,1,2)))+TIME(VALUE(MID(C44,12,2)),VALUE(MID(C44,15,2)),0))</f>
        <v>44854.4979166667</v>
      </c>
      <c r="U44" s="3" t="str">
        <f aca="false">IFERROR(IF(ISNUMBER(VALUE(TRIM(MID(A44,FIND("-",A44)+1,FIND("km",A44)-FIND("-",A44)-1)))),"Distance + direction + city","Named-region"),"Named-region")</f>
        <v>Distance + direction + city</v>
      </c>
      <c r="V44" s="3" t="str">
        <f aca="false">LOWER(M44)</f>
        <v>mww</v>
      </c>
      <c r="W44" s="3" t="n">
        <f aca="false">COUNTIFS($A$2:$A$1001,A44,$C$2:$C$1001,C44)</f>
        <v>1</v>
      </c>
      <c r="X44" s="3" t="str">
        <f aca="false">IF(W44&gt;1,"Duplicate","Unique")</f>
        <v>Unique</v>
      </c>
      <c r="Y44" s="3" t="str">
        <f aca="false">IF(B44&lt;6.5,"&lt;6.5",IF(B44&lt;7,"6.5–6.9",IF(B44&lt;7.5,"7.0–7.4",IF(B44&lt;8,"7.5–7.9","8.0+"))))</f>
        <v>6.5–6.9</v>
      </c>
      <c r="Z44" s="3" t="n">
        <f aca="false">IF(T44="","",YEAR(T44))</f>
        <v>2022</v>
      </c>
    </row>
    <row r="45" customFormat="false" ht="13.8" hidden="false" customHeight="false" outlineLevel="0" collapsed="false">
      <c r="A45" s="3" t="s">
        <v>161</v>
      </c>
      <c r="B45" s="3" t="n">
        <v>6.8</v>
      </c>
      <c r="C45" s="3" t="s">
        <v>162</v>
      </c>
      <c r="D45" s="3" t="n">
        <v>8</v>
      </c>
      <c r="E45" s="3" t="n">
        <v>7</v>
      </c>
      <c r="F45" s="3" t="s">
        <v>28</v>
      </c>
      <c r="G45" s="3" t="n">
        <v>1</v>
      </c>
      <c r="H45" s="3" t="n">
        <v>1179</v>
      </c>
      <c r="I45" s="3" t="s">
        <v>22</v>
      </c>
      <c r="J45" s="3" t="n">
        <v>175</v>
      </c>
      <c r="K45" s="3" t="n">
        <v>2.137</v>
      </c>
      <c r="L45" s="3" t="n">
        <v>92</v>
      </c>
      <c r="M45" s="3" t="s">
        <v>23</v>
      </c>
      <c r="N45" s="3" t="n">
        <v>20</v>
      </c>
      <c r="O45" s="3" t="n">
        <v>18.33</v>
      </c>
      <c r="P45" s="3" t="n">
        <v>-102.913</v>
      </c>
      <c r="Q45" s="3" t="s">
        <v>163</v>
      </c>
      <c r="R45" s="3" t="s">
        <v>164</v>
      </c>
      <c r="S45" s="3" t="s">
        <v>165</v>
      </c>
      <c r="T45" s="5" t="n">
        <f aca="false">IF(C45="","",DATE(VALUE(MID(C45,7,4)),VALUE(MID(C45,4,2)),VALUE(MID(C45,1,2)))+TIME(VALUE(MID(C45,12,2)),VALUE(MID(C45,15,2)),0))</f>
        <v>44826.2611111111</v>
      </c>
      <c r="U45" s="3" t="str">
        <f aca="false">IFERROR(IF(ISNUMBER(VALUE(TRIM(MID(A45,FIND("-",A45)+1,FIND("km",A45)-FIND("-",A45)-1)))),"Distance + direction + city","Named-region"),"Named-region")</f>
        <v>Distance + direction + city</v>
      </c>
      <c r="V45" s="3" t="str">
        <f aca="false">LOWER(M45)</f>
        <v>mww</v>
      </c>
      <c r="W45" s="3" t="n">
        <f aca="false">COUNTIFS($A$2:$A$1001,A45,$C$2:$C$1001,C45)</f>
        <v>1</v>
      </c>
      <c r="X45" s="3" t="str">
        <f aca="false">IF(W45&gt;1,"Duplicate","Unique")</f>
        <v>Unique</v>
      </c>
      <c r="Y45" s="3" t="str">
        <f aca="false">IF(B45&lt;6.5,"&lt;6.5",IF(B45&lt;7,"6.5–6.9",IF(B45&lt;7.5,"7.0–7.4",IF(B45&lt;8,"7.5–7.9","8.0+"))))</f>
        <v>6.5–6.9</v>
      </c>
      <c r="Z45" s="3" t="n">
        <f aca="false">IF(T45="","",YEAR(T45))</f>
        <v>2022</v>
      </c>
    </row>
    <row r="46" customFormat="false" ht="13.8" hidden="false" customHeight="false" outlineLevel="0" collapsed="false">
      <c r="A46" s="3" t="s">
        <v>166</v>
      </c>
      <c r="B46" s="3" t="n">
        <v>7.6</v>
      </c>
      <c r="C46" s="3" t="s">
        <v>167</v>
      </c>
      <c r="D46" s="3" t="n">
        <v>9</v>
      </c>
      <c r="E46" s="3" t="n">
        <v>8</v>
      </c>
      <c r="F46" s="3" t="s">
        <v>28</v>
      </c>
      <c r="G46" s="3" t="n">
        <v>1</v>
      </c>
      <c r="H46" s="3" t="n">
        <v>1799</v>
      </c>
      <c r="I46" s="3" t="s">
        <v>22</v>
      </c>
      <c r="J46" s="3" t="n">
        <v>271</v>
      </c>
      <c r="K46" s="3" t="n">
        <v>1.153</v>
      </c>
      <c r="L46" s="3" t="n">
        <v>69</v>
      </c>
      <c r="M46" s="3" t="s">
        <v>23</v>
      </c>
      <c r="N46" s="3" t="n">
        <v>26.943</v>
      </c>
      <c r="O46" s="3" t="n">
        <v>18.3667</v>
      </c>
      <c r="P46" s="3" t="n">
        <v>-103.252</v>
      </c>
      <c r="Q46" s="3" t="s">
        <v>163</v>
      </c>
      <c r="R46" s="3" t="s">
        <v>164</v>
      </c>
      <c r="S46" s="3" t="s">
        <v>165</v>
      </c>
      <c r="T46" s="5" t="n">
        <f aca="false">IF(C46="","",DATE(VALUE(MID(C46,7,4)),VALUE(MID(C46,4,2)),VALUE(MID(C46,1,2)))+TIME(VALUE(MID(C46,12,2)),VALUE(MID(C46,15,2)),0))</f>
        <v>44823.7534722222</v>
      </c>
      <c r="U46" s="3" t="str">
        <f aca="false">IFERROR(IF(ISNUMBER(VALUE(TRIM(MID(A46,FIND("-",A46)+1,FIND("km",A46)-FIND("-",A46)-1)))),"Distance + direction + city","Named-region"),"Named-region")</f>
        <v>Distance + direction + city</v>
      </c>
      <c r="V46" s="3" t="str">
        <f aca="false">LOWER(M46)</f>
        <v>mww</v>
      </c>
      <c r="W46" s="3" t="n">
        <f aca="false">COUNTIFS($A$2:$A$1001,A46,$C$2:$C$1001,C46)</f>
        <v>1</v>
      </c>
      <c r="X46" s="3" t="str">
        <f aca="false">IF(W46&gt;1,"Duplicate","Unique")</f>
        <v>Unique</v>
      </c>
      <c r="Y46" s="3" t="str">
        <f aca="false">IF(B46&lt;6.5,"&lt;6.5",IF(B46&lt;7,"6.5–6.9",IF(B46&lt;7.5,"7.0–7.4",IF(B46&lt;8,"7.5–7.9","8.0+"))))</f>
        <v>7.5–7.9</v>
      </c>
      <c r="Z46" s="3" t="n">
        <f aca="false">IF(T46="","",YEAR(T46))</f>
        <v>2022</v>
      </c>
    </row>
    <row r="47" customFormat="false" ht="13.8" hidden="false" customHeight="false" outlineLevel="0" collapsed="false">
      <c r="A47" s="3" t="s">
        <v>168</v>
      </c>
      <c r="B47" s="3" t="n">
        <v>6.9</v>
      </c>
      <c r="C47" s="3" t="s">
        <v>169</v>
      </c>
      <c r="D47" s="3" t="n">
        <v>9</v>
      </c>
      <c r="E47" s="3" t="n">
        <v>9</v>
      </c>
      <c r="F47" s="3" t="s">
        <v>28</v>
      </c>
      <c r="G47" s="3" t="n">
        <v>1</v>
      </c>
      <c r="H47" s="3" t="n">
        <v>887</v>
      </c>
      <c r="I47" s="3" t="s">
        <v>22</v>
      </c>
      <c r="J47" s="3" t="n">
        <v>215</v>
      </c>
      <c r="K47" s="3" t="n">
        <v>0.401</v>
      </c>
      <c r="L47" s="3" t="n">
        <v>34</v>
      </c>
      <c r="M47" s="3" t="s">
        <v>23</v>
      </c>
      <c r="N47" s="3" t="n">
        <v>10</v>
      </c>
      <c r="O47" s="3" t="n">
        <v>23.1444</v>
      </c>
      <c r="P47" s="3" t="n">
        <v>121.307</v>
      </c>
      <c r="Q47" s="3" t="s">
        <v>170</v>
      </c>
      <c r="R47" s="3" t="s">
        <v>80</v>
      </c>
      <c r="S47" s="3" t="s">
        <v>171</v>
      </c>
      <c r="T47" s="5" t="n">
        <f aca="false">IF(C47="","",DATE(VALUE(MID(C47,7,4)),VALUE(MID(C47,4,2)),VALUE(MID(C47,1,2)))+TIME(VALUE(MID(C47,12,2)),VALUE(MID(C47,15,2)),0))</f>
        <v>44822.2805555556</v>
      </c>
      <c r="U47" s="3" t="str">
        <f aca="false">IFERROR(IF(ISNUMBER(VALUE(TRIM(MID(A47,FIND("-",A47)+1,FIND("km",A47)-FIND("-",A47)-1)))),"Distance + direction + city","Named-region"),"Named-region")</f>
        <v>Distance + direction + city</v>
      </c>
      <c r="V47" s="3" t="str">
        <f aca="false">LOWER(M47)</f>
        <v>mww</v>
      </c>
      <c r="W47" s="3" t="n">
        <f aca="false">COUNTIFS($A$2:$A$1001,A47,$C$2:$C$1001,C47)</f>
        <v>1</v>
      </c>
      <c r="X47" s="3" t="str">
        <f aca="false">IF(W47&gt;1,"Duplicate","Unique")</f>
        <v>Unique</v>
      </c>
      <c r="Y47" s="3" t="str">
        <f aca="false">IF(B47&lt;6.5,"&lt;6.5",IF(B47&lt;7,"6.5–6.9",IF(B47&lt;7.5,"7.0–7.4",IF(B47&lt;8,"7.5–7.9","8.0+"))))</f>
        <v>6.5–6.9</v>
      </c>
      <c r="Z47" s="3" t="n">
        <f aca="false">IF(T47="","",YEAR(T47))</f>
        <v>2022</v>
      </c>
    </row>
    <row r="48" customFormat="false" ht="13.8" hidden="false" customHeight="false" outlineLevel="0" collapsed="false">
      <c r="A48" s="3" t="s">
        <v>172</v>
      </c>
      <c r="B48" s="3" t="n">
        <v>6.5</v>
      </c>
      <c r="C48" s="3" t="s">
        <v>173</v>
      </c>
      <c r="D48" s="3" t="n">
        <v>7</v>
      </c>
      <c r="E48" s="3" t="n">
        <v>7</v>
      </c>
      <c r="F48" s="3" t="s">
        <v>21</v>
      </c>
      <c r="G48" s="3" t="n">
        <v>1</v>
      </c>
      <c r="H48" s="3" t="n">
        <v>756</v>
      </c>
      <c r="I48" s="3" t="s">
        <v>22</v>
      </c>
      <c r="J48" s="3" t="n">
        <v>178</v>
      </c>
      <c r="K48" s="3" t="n">
        <v>0.43</v>
      </c>
      <c r="L48" s="3" t="n">
        <v>54</v>
      </c>
      <c r="M48" s="3" t="s">
        <v>23</v>
      </c>
      <c r="N48" s="3" t="n">
        <v>10</v>
      </c>
      <c r="O48" s="3" t="n">
        <v>23.029</v>
      </c>
      <c r="P48" s="3" t="n">
        <v>121.348</v>
      </c>
      <c r="Q48" s="3" t="s">
        <v>174</v>
      </c>
      <c r="R48" s="3" t="s">
        <v>80</v>
      </c>
      <c r="S48" s="3" t="s">
        <v>171</v>
      </c>
      <c r="T48" s="5" t="n">
        <f aca="false">IF(C48="","",DATE(VALUE(MID(C48,7,4)),VALUE(MID(C48,4,2)),VALUE(MID(C48,1,2)))+TIME(VALUE(MID(C48,12,2)),VALUE(MID(C48,15,2)),0))</f>
        <v>44821.5701388889</v>
      </c>
      <c r="U48" s="3" t="str">
        <f aca="false">IFERROR(IF(ISNUMBER(VALUE(TRIM(MID(A48,FIND("-",A48)+1,FIND("km",A48)-FIND("-",A48)-1)))),"Distance + direction + city","Named-region"),"Named-region")</f>
        <v>Distance + direction + city</v>
      </c>
      <c r="V48" s="3" t="str">
        <f aca="false">LOWER(M48)</f>
        <v>mww</v>
      </c>
      <c r="W48" s="3" t="n">
        <f aca="false">COUNTIFS($A$2:$A$1001,A48,$C$2:$C$1001,C48)</f>
        <v>1</v>
      </c>
      <c r="X48" s="3" t="str">
        <f aca="false">IF(W48&gt;1,"Duplicate","Unique")</f>
        <v>Unique</v>
      </c>
      <c r="Y48" s="3" t="str">
        <f aca="false">IF(B48&lt;6.5,"&lt;6.5",IF(B48&lt;7,"6.5–6.9",IF(B48&lt;7.5,"7.0–7.4",IF(B48&lt;8,"7.5–7.9","8.0+"))))</f>
        <v>6.5–6.9</v>
      </c>
      <c r="Z48" s="3" t="n">
        <f aca="false">IF(T48="","",YEAR(T48))</f>
        <v>2022</v>
      </c>
    </row>
    <row r="49" customFormat="false" ht="13.8" hidden="false" customHeight="false" outlineLevel="0" collapsed="false">
      <c r="A49" s="3" t="s">
        <v>175</v>
      </c>
      <c r="B49" s="3" t="n">
        <v>7</v>
      </c>
      <c r="C49" s="3" t="s">
        <v>176</v>
      </c>
      <c r="D49" s="3" t="n">
        <v>7</v>
      </c>
      <c r="E49" s="3" t="n">
        <v>5</v>
      </c>
      <c r="F49" s="3" t="s">
        <v>21</v>
      </c>
      <c r="G49" s="3" t="n">
        <v>1</v>
      </c>
      <c r="H49" s="3" t="n">
        <v>761</v>
      </c>
      <c r="I49" s="3" t="s">
        <v>22</v>
      </c>
      <c r="J49" s="3" t="n">
        <v>192</v>
      </c>
      <c r="K49" s="3" t="n">
        <v>2.977</v>
      </c>
      <c r="L49" s="3" t="n">
        <v>45</v>
      </c>
      <c r="M49" s="3" t="s">
        <v>23</v>
      </c>
      <c r="N49" s="3" t="n">
        <v>137</v>
      </c>
      <c r="O49" s="3" t="n">
        <v>-21.2077</v>
      </c>
      <c r="P49" s="3" t="n">
        <v>170.239</v>
      </c>
      <c r="Q49" s="3" t="s">
        <v>177</v>
      </c>
      <c r="R49" s="3"/>
      <c r="S49" s="3"/>
      <c r="T49" s="5" t="n">
        <f aca="false">IF(C49="","",DATE(VALUE(MID(C49,7,4)),VALUE(MID(C49,4,2)),VALUE(MID(C49,1,2)))+TIME(VALUE(MID(C49,12,2)),VALUE(MID(C49,15,2)),0))</f>
        <v>44818.4611111111</v>
      </c>
      <c r="U49" s="3" t="str">
        <f aca="false">IFERROR(IF(ISNUMBER(VALUE(TRIM(MID(A49,FIND("-",A49)+1,FIND("km",A49)-FIND("-",A49)-1)))),"Distance + direction + city","Named-region"),"Named-region")</f>
        <v>Distance + direction + city</v>
      </c>
      <c r="V49" s="3" t="str">
        <f aca="false">LOWER(M49)</f>
        <v>mww</v>
      </c>
      <c r="W49" s="3" t="n">
        <f aca="false">COUNTIFS($A$2:$A$1001,A49,$C$2:$C$1001,C49)</f>
        <v>1</v>
      </c>
      <c r="X49" s="3" t="str">
        <f aca="false">IF(W49&gt;1,"Duplicate","Unique")</f>
        <v>Unique</v>
      </c>
      <c r="Y49" s="3" t="str">
        <f aca="false">IF(B49&lt;6.5,"&lt;6.5",IF(B49&lt;7,"6.5–6.9",IF(B49&lt;7.5,"7.0–7.4",IF(B49&lt;8,"7.5–7.9","8.0+"))))</f>
        <v>7.0–7.4</v>
      </c>
      <c r="Z49" s="3" t="n">
        <f aca="false">IF(T49="","",YEAR(T49))</f>
        <v>2022</v>
      </c>
    </row>
    <row r="50" customFormat="false" ht="13.8" hidden="false" customHeight="false" outlineLevel="0" collapsed="false">
      <c r="A50" s="3" t="s">
        <v>178</v>
      </c>
      <c r="B50" s="3" t="n">
        <v>7.6</v>
      </c>
      <c r="C50" s="6" t="s">
        <v>179</v>
      </c>
      <c r="D50" s="3" t="n">
        <v>8</v>
      </c>
      <c r="E50" s="3" t="n">
        <v>8</v>
      </c>
      <c r="F50" s="3" t="s">
        <v>28</v>
      </c>
      <c r="G50" s="3" t="n">
        <v>1</v>
      </c>
      <c r="H50" s="3" t="n">
        <v>965</v>
      </c>
      <c r="I50" s="3" t="s">
        <v>22</v>
      </c>
      <c r="J50" s="3" t="n">
        <v>272</v>
      </c>
      <c r="K50" s="3" t="n">
        <v>3.158</v>
      </c>
      <c r="L50" s="3" t="n">
        <v>12</v>
      </c>
      <c r="M50" s="3" t="s">
        <v>23</v>
      </c>
      <c r="N50" s="3" t="n">
        <v>116</v>
      </c>
      <c r="O50" s="3" t="n">
        <v>-6.2237</v>
      </c>
      <c r="P50" s="3" t="n">
        <v>146.471</v>
      </c>
      <c r="Q50" s="3" t="s">
        <v>180</v>
      </c>
      <c r="R50" s="3" t="s">
        <v>139</v>
      </c>
      <c r="S50" s="3" t="s">
        <v>85</v>
      </c>
      <c r="T50" s="5" t="n">
        <f aca="false">IF(C50="","",DATE(VALUE(MID(C50,7,4)),VALUE(MID(C50,4,2)),VALUE(MID(C50,1,2)))+TIME(VALUE(MID(C50,12,2)),VALUE(MID(C50,15,2)),0))</f>
        <v>44814.9909722222</v>
      </c>
      <c r="U50" s="3" t="str">
        <f aca="false">IFERROR(IF(ISNUMBER(VALUE(TRIM(MID(A50,FIND("-",A50)+1,FIND("km",A50)-FIND("-",A50)-1)))),"Distance + direction + city","Named-region"),"Named-region")</f>
        <v>Distance + direction + city</v>
      </c>
      <c r="V50" s="3" t="str">
        <f aca="false">LOWER(M50)</f>
        <v>mww</v>
      </c>
      <c r="W50" s="3" t="n">
        <f aca="false">COUNTIFS($A$2:$A$1001,A50,$C$2:$C$1001,C50)</f>
        <v>1</v>
      </c>
      <c r="X50" s="3" t="str">
        <f aca="false">IF(W50&gt;1,"Duplicate","Unique")</f>
        <v>Unique</v>
      </c>
      <c r="Y50" s="3" t="str">
        <f aca="false">IF(B50&lt;6.5,"&lt;6.5",IF(B50&lt;7,"6.5–6.9",IF(B50&lt;7.5,"7.0–7.4",IF(B50&lt;8,"7.5–7.9","8.0+"))))</f>
        <v>7.5–7.9</v>
      </c>
      <c r="Z50" s="3" t="n">
        <f aca="false">IF(T50="","",YEAR(T50))</f>
        <v>2022</v>
      </c>
    </row>
    <row r="51" customFormat="false" ht="13.8" hidden="false" customHeight="false" outlineLevel="0" collapsed="false">
      <c r="A51" s="3" t="s">
        <v>181</v>
      </c>
      <c r="B51" s="3" t="n">
        <v>6.6</v>
      </c>
      <c r="C51" s="6" t="s">
        <v>182</v>
      </c>
      <c r="D51" s="3" t="n">
        <v>9</v>
      </c>
      <c r="E51" s="3" t="n">
        <v>8</v>
      </c>
      <c r="F51" s="3" t="s">
        <v>95</v>
      </c>
      <c r="G51" s="3" t="n">
        <v>0</v>
      </c>
      <c r="H51" s="3" t="n">
        <v>1043</v>
      </c>
      <c r="I51" s="3" t="s">
        <v>22</v>
      </c>
      <c r="J51" s="3" t="n">
        <v>141</v>
      </c>
      <c r="K51" s="3" t="n">
        <v>8.454</v>
      </c>
      <c r="L51" s="3" t="n">
        <v>34</v>
      </c>
      <c r="M51" s="3" t="s">
        <v>23</v>
      </c>
      <c r="N51" s="3" t="n">
        <v>12</v>
      </c>
      <c r="O51" s="3" t="n">
        <v>29.7263</v>
      </c>
      <c r="P51" s="3" t="n">
        <v>102.279</v>
      </c>
      <c r="Q51" s="3" t="s">
        <v>183</v>
      </c>
      <c r="R51" s="3" t="s">
        <v>80</v>
      </c>
      <c r="S51" s="3" t="s">
        <v>184</v>
      </c>
      <c r="T51" s="5" t="n">
        <f aca="false">IF(C51="","",DATE(VALUE(MID(C51,7,4)),VALUE(MID(C51,4,2)),VALUE(MID(C51,1,2)))+TIME(VALUE(MID(C51,12,2)),VALUE(MID(C51,15,2)),0))</f>
        <v>44809.2027777778</v>
      </c>
      <c r="U51" s="3" t="str">
        <f aca="false">IFERROR(IF(ISNUMBER(VALUE(TRIM(MID(A51,FIND("-",A51)+1,FIND("km",A51)-FIND("-",A51)-1)))),"Distance + direction + city","Named-region"),"Named-region")</f>
        <v>Distance + direction + city</v>
      </c>
      <c r="V51" s="3" t="str">
        <f aca="false">LOWER(M51)</f>
        <v>mww</v>
      </c>
      <c r="W51" s="3" t="n">
        <f aca="false">COUNTIFS($A$2:$A$1001,A51,$C$2:$C$1001,C51)</f>
        <v>1</v>
      </c>
      <c r="X51" s="3" t="str">
        <f aca="false">IF(W51&gt;1,"Duplicate","Unique")</f>
        <v>Unique</v>
      </c>
      <c r="Y51" s="3" t="str">
        <f aca="false">IF(B51&lt;6.5,"&lt;6.5",IF(B51&lt;7,"6.5–6.9",IF(B51&lt;7.5,"7.0–7.4",IF(B51&lt;8,"7.5–7.9","8.0+"))))</f>
        <v>6.5–6.9</v>
      </c>
      <c r="Z51" s="3" t="n">
        <f aca="false">IF(T51="","",YEAR(T51))</f>
        <v>2022</v>
      </c>
    </row>
    <row r="52" customFormat="false" ht="13.8" hidden="false" customHeight="false" outlineLevel="0" collapsed="false">
      <c r="A52" s="3" t="s">
        <v>185</v>
      </c>
      <c r="B52" s="3" t="n">
        <v>6.6</v>
      </c>
      <c r="C52" s="3" t="s">
        <v>186</v>
      </c>
      <c r="D52" s="3" t="n">
        <v>7</v>
      </c>
      <c r="E52" s="3" t="n">
        <v>6</v>
      </c>
      <c r="F52" s="3" t="s">
        <v>21</v>
      </c>
      <c r="G52" s="3" t="n">
        <v>1</v>
      </c>
      <c r="H52" s="3" t="n">
        <v>672</v>
      </c>
      <c r="I52" s="3" t="s">
        <v>22</v>
      </c>
      <c r="J52" s="3" t="n">
        <v>68</v>
      </c>
      <c r="K52" s="3" t="n">
        <v>5.293</v>
      </c>
      <c r="L52" s="3" t="n">
        <v>34</v>
      </c>
      <c r="M52" s="3" t="s">
        <v>23</v>
      </c>
      <c r="N52" s="3" t="n">
        <v>30</v>
      </c>
      <c r="O52" s="3" t="n">
        <v>-32.6922</v>
      </c>
      <c r="P52" s="3" t="n">
        <v>-178.959</v>
      </c>
      <c r="Q52" s="3" t="s">
        <v>187</v>
      </c>
      <c r="R52" s="3"/>
      <c r="S52" s="3"/>
      <c r="T52" s="5" t="n">
        <f aca="false">IF(C52="","",DATE(VALUE(MID(C52,7,4)),VALUE(MID(C52,4,2)),VALUE(MID(C52,1,2)))+TIME(VALUE(MID(C52,12,2)),VALUE(MID(C52,15,2)),0))</f>
        <v>44787.5722222222</v>
      </c>
      <c r="U52" s="3" t="str">
        <f aca="false">IFERROR(IF(ISNUMBER(VALUE(TRIM(MID(A52,FIND("-",A52)+1,FIND("km",A52)-FIND("-",A52)-1)))),"Distance + direction + city","Named-region"),"Named-region")</f>
        <v>Named-region</v>
      </c>
      <c r="V52" s="3" t="str">
        <f aca="false">LOWER(M52)</f>
        <v>mww</v>
      </c>
      <c r="W52" s="3" t="n">
        <f aca="false">COUNTIFS($A$2:$A$1001,A52,$C$2:$C$1001,C52)</f>
        <v>1</v>
      </c>
      <c r="X52" s="3" t="str">
        <f aca="false">IF(W52&gt;1,"Duplicate","Unique")</f>
        <v>Unique</v>
      </c>
      <c r="Y52" s="3" t="str">
        <f aca="false">IF(B52&lt;6.5,"&lt;6.5",IF(B52&lt;7,"6.5–6.9",IF(B52&lt;7.5,"7.0–7.4",IF(B52&lt;8,"7.5–7.9","8.0+"))))</f>
        <v>6.5–6.9</v>
      </c>
      <c r="Z52" s="3" t="n">
        <f aca="false">IF(T52="","",YEAR(T52))</f>
        <v>2022</v>
      </c>
    </row>
    <row r="53" customFormat="false" ht="13.8" hidden="false" customHeight="false" outlineLevel="0" collapsed="false">
      <c r="A53" s="3" t="s">
        <v>188</v>
      </c>
      <c r="B53" s="3" t="n">
        <v>7</v>
      </c>
      <c r="C53" s="3" t="s">
        <v>189</v>
      </c>
      <c r="D53" s="3" t="n">
        <v>9</v>
      </c>
      <c r="E53" s="3" t="n">
        <v>8</v>
      </c>
      <c r="F53" s="3" t="s">
        <v>28</v>
      </c>
      <c r="G53" s="3" t="n">
        <v>1</v>
      </c>
      <c r="H53" s="3" t="n">
        <v>1351</v>
      </c>
      <c r="I53" s="3" t="s">
        <v>22</v>
      </c>
      <c r="J53" s="3" t="n">
        <v>152</v>
      </c>
      <c r="K53" s="3" t="n">
        <v>5.276</v>
      </c>
      <c r="L53" s="3" t="n">
        <v>22</v>
      </c>
      <c r="M53" s="3" t="s">
        <v>23</v>
      </c>
      <c r="N53" s="3" t="n">
        <v>33.729</v>
      </c>
      <c r="O53" s="3" t="n">
        <v>17.5978</v>
      </c>
      <c r="P53" s="3" t="n">
        <v>120.809</v>
      </c>
      <c r="Q53" s="3" t="s">
        <v>190</v>
      </c>
      <c r="R53" s="3" t="s">
        <v>80</v>
      </c>
      <c r="S53" s="3" t="s">
        <v>191</v>
      </c>
      <c r="T53" s="5" t="n">
        <f aca="false">IF(C53="","",DATE(VALUE(MID(C53,7,4)),VALUE(MID(C53,4,2)),VALUE(MID(C53,1,2)))+TIME(VALUE(MID(C53,12,2)),VALUE(MID(C53,15,2)),0))</f>
        <v>44769.0298611111</v>
      </c>
      <c r="U53" s="3" t="str">
        <f aca="false">IFERROR(IF(ISNUMBER(VALUE(TRIM(MID(A53,FIND("-",A53)+1,FIND("km",A53)-FIND("-",A53)-1)))),"Distance + direction + city","Named-region"),"Named-region")</f>
        <v>Distance + direction + city</v>
      </c>
      <c r="V53" s="3" t="str">
        <f aca="false">LOWER(M53)</f>
        <v>mww</v>
      </c>
      <c r="W53" s="3" t="n">
        <f aca="false">COUNTIFS($A$2:$A$1001,A53,$C$2:$C$1001,C53)</f>
        <v>1</v>
      </c>
      <c r="X53" s="3" t="str">
        <f aca="false">IF(W53&gt;1,"Duplicate","Unique")</f>
        <v>Unique</v>
      </c>
      <c r="Y53" s="3" t="str">
        <f aca="false">IF(B53&lt;6.5,"&lt;6.5",IF(B53&lt;7,"6.5–6.9",IF(B53&lt;7.5,"7.0–7.4",IF(B53&lt;8,"7.5–7.9","8.0+"))))</f>
        <v>7.0–7.4</v>
      </c>
      <c r="Z53" s="3" t="n">
        <f aca="false">IF(T53="","",YEAR(T53))</f>
        <v>2022</v>
      </c>
    </row>
    <row r="54" customFormat="false" ht="13.8" hidden="false" customHeight="false" outlineLevel="0" collapsed="false">
      <c r="A54" s="3" t="s">
        <v>192</v>
      </c>
      <c r="B54" s="3" t="n">
        <v>6.5</v>
      </c>
      <c r="C54" s="6" t="s">
        <v>193</v>
      </c>
      <c r="D54" s="3" t="n">
        <v>3</v>
      </c>
      <c r="E54" s="3" t="n">
        <v>2</v>
      </c>
      <c r="F54" s="3" t="s">
        <v>21</v>
      </c>
      <c r="G54" s="3" t="n">
        <v>0</v>
      </c>
      <c r="H54" s="3" t="n">
        <v>653</v>
      </c>
      <c r="I54" s="3" t="s">
        <v>22</v>
      </c>
      <c r="J54" s="3" t="n">
        <v>236</v>
      </c>
      <c r="K54" s="3" t="n">
        <v>1.999</v>
      </c>
      <c r="L54" s="3" t="n">
        <v>31</v>
      </c>
      <c r="M54" s="3" t="s">
        <v>23</v>
      </c>
      <c r="N54" s="3" t="n">
        <v>622.73</v>
      </c>
      <c r="O54" s="3" t="n">
        <v>-9.0618</v>
      </c>
      <c r="P54" s="3" t="n">
        <v>-71.1647</v>
      </c>
      <c r="Q54" s="3" t="s">
        <v>194</v>
      </c>
      <c r="R54" s="3" t="s">
        <v>33</v>
      </c>
      <c r="S54" s="3" t="s">
        <v>195</v>
      </c>
      <c r="T54" s="5" t="n">
        <f aca="false">IF(C54="","",DATE(VALUE(MID(C54,7,4)),VALUE(MID(C54,4,2)),VALUE(MID(C54,1,2)))+TIME(VALUE(MID(C54,12,2)),VALUE(MID(C54,15,2)),0))</f>
        <v>44720.0381944444</v>
      </c>
      <c r="U54" s="3" t="str">
        <f aca="false">IFERROR(IF(ISNUMBER(VALUE(TRIM(MID(A54,FIND("-",A54)+1,FIND("km",A54)-FIND("-",A54)-1)))),"Distance + direction + city","Named-region"),"Named-region")</f>
        <v>Distance + direction + city</v>
      </c>
      <c r="V54" s="3" t="str">
        <f aca="false">LOWER(M54)</f>
        <v>mww</v>
      </c>
      <c r="W54" s="3" t="n">
        <f aca="false">COUNTIFS($A$2:$A$1001,A54,$C$2:$C$1001,C54)</f>
        <v>1</v>
      </c>
      <c r="X54" s="3" t="str">
        <f aca="false">IF(W54&gt;1,"Duplicate","Unique")</f>
        <v>Unique</v>
      </c>
      <c r="Y54" s="3" t="str">
        <f aca="false">IF(B54&lt;6.5,"&lt;6.5",IF(B54&lt;7,"6.5–6.9",IF(B54&lt;7.5,"7.0–7.4",IF(B54&lt;8,"7.5–7.9","8.0+"))))</f>
        <v>6.5–6.9</v>
      </c>
      <c r="Z54" s="3" t="n">
        <f aca="false">IF(T54="","",YEAR(T54))</f>
        <v>2022</v>
      </c>
    </row>
    <row r="55" customFormat="false" ht="13.8" hidden="false" customHeight="false" outlineLevel="0" collapsed="false">
      <c r="A55" s="3" t="s">
        <v>196</v>
      </c>
      <c r="B55" s="3" t="n">
        <v>7.2</v>
      </c>
      <c r="C55" s="3" t="s">
        <v>197</v>
      </c>
      <c r="D55" s="3" t="n">
        <v>7</v>
      </c>
      <c r="E55" s="3" t="n">
        <v>5</v>
      </c>
      <c r="F55" s="3" t="s">
        <v>21</v>
      </c>
      <c r="G55" s="3" t="n">
        <v>1</v>
      </c>
      <c r="H55" s="3" t="n">
        <v>876</v>
      </c>
      <c r="I55" s="3" t="s">
        <v>22</v>
      </c>
      <c r="J55" s="3" t="n">
        <v>144</v>
      </c>
      <c r="K55" s="3" t="n">
        <v>2.494</v>
      </c>
      <c r="L55" s="3" t="n">
        <v>40</v>
      </c>
      <c r="M55" s="3" t="s">
        <v>23</v>
      </c>
      <c r="N55" s="3" t="n">
        <v>236</v>
      </c>
      <c r="O55" s="3" t="n">
        <v>-14.8628</v>
      </c>
      <c r="P55" s="3" t="n">
        <v>-70.3081</v>
      </c>
      <c r="Q55" s="3" t="s">
        <v>198</v>
      </c>
      <c r="R55" s="3" t="s">
        <v>33</v>
      </c>
      <c r="S55" s="3" t="s">
        <v>199</v>
      </c>
      <c r="T55" s="5" t="n">
        <f aca="false">IF(C55="","",DATE(VALUE(MID(C55,7,4)),VALUE(MID(C55,4,2)),VALUE(MID(C55,1,2)))+TIME(VALUE(MID(C55,12,2)),VALUE(MID(C55,15,2)),0))</f>
        <v>44707.5013888889</v>
      </c>
      <c r="U55" s="3" t="str">
        <f aca="false">IFERROR(IF(ISNUMBER(VALUE(TRIM(MID(A55,FIND("-",A55)+1,FIND("km",A55)-FIND("-",A55)-1)))),"Distance + direction + city","Named-region"),"Named-region")</f>
        <v>Distance + direction + city</v>
      </c>
      <c r="V55" s="3" t="str">
        <f aca="false">LOWER(M55)</f>
        <v>mww</v>
      </c>
      <c r="W55" s="3" t="n">
        <f aca="false">COUNTIFS($A$2:$A$1001,A55,$C$2:$C$1001,C55)</f>
        <v>1</v>
      </c>
      <c r="X55" s="3" t="str">
        <f aca="false">IF(W55&gt;1,"Duplicate","Unique")</f>
        <v>Unique</v>
      </c>
      <c r="Y55" s="3" t="str">
        <f aca="false">IF(B55&lt;6.5,"&lt;6.5",IF(B55&lt;7,"6.5–6.9",IF(B55&lt;7.5,"7.0–7.4",IF(B55&lt;8,"7.5–7.9","8.0+"))))</f>
        <v>7.0–7.4</v>
      </c>
      <c r="Z55" s="3" t="n">
        <f aca="false">IF(T55="","",YEAR(T55))</f>
        <v>2022</v>
      </c>
    </row>
    <row r="56" customFormat="false" ht="13.8" hidden="false" customHeight="false" outlineLevel="0" collapsed="false">
      <c r="A56" s="3" t="s">
        <v>200</v>
      </c>
      <c r="B56" s="3" t="n">
        <v>6.9</v>
      </c>
      <c r="C56" s="3" t="s">
        <v>201</v>
      </c>
      <c r="D56" s="3" t="n">
        <v>2</v>
      </c>
      <c r="E56" s="3" t="n">
        <v>5</v>
      </c>
      <c r="F56" s="3" t="s">
        <v>21</v>
      </c>
      <c r="G56" s="3" t="n">
        <v>1</v>
      </c>
      <c r="H56" s="3" t="n">
        <v>733</v>
      </c>
      <c r="I56" s="3" t="s">
        <v>22</v>
      </c>
      <c r="J56" s="3" t="n">
        <v>127</v>
      </c>
      <c r="K56" s="3" t="n">
        <v>0.371</v>
      </c>
      <c r="L56" s="3" t="n">
        <v>45</v>
      </c>
      <c r="M56" s="3" t="s">
        <v>23</v>
      </c>
      <c r="N56" s="3" t="n">
        <v>10</v>
      </c>
      <c r="O56" s="3" t="n">
        <v>-54.1325</v>
      </c>
      <c r="P56" s="3" t="n">
        <v>159.027</v>
      </c>
      <c r="Q56" s="3"/>
      <c r="R56" s="3"/>
      <c r="S56" s="3"/>
      <c r="T56" s="5" t="n">
        <f aca="false">IF(C56="","",DATE(VALUE(MID(C56,7,4)),VALUE(MID(C56,4,2)),VALUE(MID(C56,1,2)))+TIME(VALUE(MID(C56,12,2)),VALUE(MID(C56,15,2)),0))</f>
        <v>44700.4256944444</v>
      </c>
      <c r="U56" s="3" t="str">
        <f aca="false">IFERROR(IF(ISNUMBER(VALUE(TRIM(MID(A56,FIND("-",A56)+1,FIND("km",A56)-FIND("-",A56)-1)))),"Distance + direction + city","Named-region"),"Named-region")</f>
        <v>Named-region</v>
      </c>
      <c r="V56" s="3" t="str">
        <f aca="false">LOWER(M56)</f>
        <v>mww</v>
      </c>
      <c r="W56" s="3" t="n">
        <f aca="false">COUNTIFS($A$2:$A$1001,A56,$C$2:$C$1001,C56)</f>
        <v>1</v>
      </c>
      <c r="X56" s="3" t="str">
        <f aca="false">IF(W56&gt;1,"Duplicate","Unique")</f>
        <v>Unique</v>
      </c>
      <c r="Y56" s="3" t="str">
        <f aca="false">IF(B56&lt;6.5,"&lt;6.5",IF(B56&lt;7,"6.5–6.9",IF(B56&lt;7.5,"7.0–7.4",IF(B56&lt;8,"7.5–7.9","8.0+"))))</f>
        <v>6.5–6.9</v>
      </c>
      <c r="Z56" s="3" t="n">
        <f aca="false">IF(T56="","",YEAR(T56))</f>
        <v>2022</v>
      </c>
    </row>
    <row r="57" customFormat="false" ht="13.8" hidden="false" customHeight="false" outlineLevel="0" collapsed="false">
      <c r="A57" s="3" t="s">
        <v>202</v>
      </c>
      <c r="B57" s="3" t="n">
        <v>6.8</v>
      </c>
      <c r="C57" s="6" t="s">
        <v>203</v>
      </c>
      <c r="D57" s="3" t="n">
        <v>6</v>
      </c>
      <c r="E57" s="3" t="n">
        <v>5</v>
      </c>
      <c r="F57" s="3" t="s">
        <v>21</v>
      </c>
      <c r="G57" s="3" t="n">
        <v>1</v>
      </c>
      <c r="H57" s="3" t="n">
        <v>762</v>
      </c>
      <c r="I57" s="3" t="s">
        <v>22</v>
      </c>
      <c r="J57" s="3" t="n">
        <v>162</v>
      </c>
      <c r="K57" s="3" t="n">
        <v>1.505</v>
      </c>
      <c r="L57" s="3" t="n">
        <v>30</v>
      </c>
      <c r="M57" s="3" t="s">
        <v>23</v>
      </c>
      <c r="N57" s="3" t="n">
        <v>220</v>
      </c>
      <c r="O57" s="3" t="n">
        <v>-23.6141</v>
      </c>
      <c r="P57" s="3" t="n">
        <v>-66.7236</v>
      </c>
      <c r="Q57" s="3" t="s">
        <v>88</v>
      </c>
      <c r="R57" s="3" t="s">
        <v>33</v>
      </c>
      <c r="S57" s="3" t="s">
        <v>34</v>
      </c>
      <c r="T57" s="5" t="n">
        <f aca="false">IF(C57="","",DATE(VALUE(MID(C57,7,4)),VALUE(MID(C57,4,2)),VALUE(MID(C57,1,2)))+TIME(VALUE(MID(C57,12,2)),VALUE(MID(C57,15,2)),0))</f>
        <v>44691.9625</v>
      </c>
      <c r="U57" s="3" t="str">
        <f aca="false">IFERROR(IF(ISNUMBER(VALUE(TRIM(MID(A57,FIND("-",A57)+1,FIND("km",A57)-FIND("-",A57)-1)))),"Distance + direction + city","Named-region"),"Named-region")</f>
        <v>Distance + direction + city</v>
      </c>
      <c r="V57" s="3" t="str">
        <f aca="false">LOWER(M57)</f>
        <v>mww</v>
      </c>
      <c r="W57" s="3" t="n">
        <f aca="false">COUNTIFS($A$2:$A$1001,A57,$C$2:$C$1001,C57)</f>
        <v>1</v>
      </c>
      <c r="X57" s="3" t="str">
        <f aca="false">IF(W57&gt;1,"Duplicate","Unique")</f>
        <v>Unique</v>
      </c>
      <c r="Y57" s="3" t="str">
        <f aca="false">IF(B57&lt;6.5,"&lt;6.5",IF(B57&lt;7,"6.5–6.9",IF(B57&lt;7.5,"7.0–7.4",IF(B57&lt;8,"7.5–7.9","8.0+"))))</f>
        <v>6.5–6.9</v>
      </c>
      <c r="Z57" s="3" t="n">
        <f aca="false">IF(T57="","",YEAR(T57))</f>
        <v>2022</v>
      </c>
    </row>
    <row r="58" customFormat="false" ht="13.8" hidden="false" customHeight="false" outlineLevel="0" collapsed="false">
      <c r="A58" s="3" t="s">
        <v>204</v>
      </c>
      <c r="B58" s="3" t="n">
        <v>6.6</v>
      </c>
      <c r="C58" s="3" t="s">
        <v>205</v>
      </c>
      <c r="D58" s="3" t="n">
        <v>6</v>
      </c>
      <c r="E58" s="3" t="n">
        <v>5</v>
      </c>
      <c r="F58" s="3" t="s">
        <v>21</v>
      </c>
      <c r="G58" s="3" t="n">
        <v>1</v>
      </c>
      <c r="H58" s="3" t="n">
        <v>762</v>
      </c>
      <c r="I58" s="3" t="s">
        <v>22</v>
      </c>
      <c r="J58" s="3" t="n">
        <v>0</v>
      </c>
      <c r="K58" s="3" t="n">
        <v>0.914</v>
      </c>
      <c r="L58" s="3" t="n">
        <v>94</v>
      </c>
      <c r="M58" s="3" t="s">
        <v>23</v>
      </c>
      <c r="N58" s="3" t="n">
        <v>27</v>
      </c>
      <c r="O58" s="3" t="n">
        <v>11.5538</v>
      </c>
      <c r="P58" s="3" t="n">
        <v>-86.9919</v>
      </c>
      <c r="Q58" s="3" t="s">
        <v>206</v>
      </c>
      <c r="R58" s="3"/>
      <c r="S58" s="3"/>
      <c r="T58" s="5" t="n">
        <f aca="false">IF(C58="","",DATE(VALUE(MID(C58,7,4)),VALUE(MID(C58,4,2)),VALUE(MID(C58,1,2)))+TIME(VALUE(MID(C58,12,2)),VALUE(MID(C58,15,2)),0))</f>
        <v>44672.3208333333</v>
      </c>
      <c r="U58" s="3" t="str">
        <f aca="false">IFERROR(IF(ISNUMBER(VALUE(TRIM(MID(A58,FIND("-",A58)+1,FIND("km",A58)-FIND("-",A58)-1)))),"Distance + direction + city","Named-region"),"Named-region")</f>
        <v>Distance + direction + city</v>
      </c>
      <c r="V58" s="3" t="str">
        <f aca="false">LOWER(M58)</f>
        <v>mww</v>
      </c>
      <c r="W58" s="3" t="n">
        <f aca="false">COUNTIFS($A$2:$A$1001,A58,$C$2:$C$1001,C58)</f>
        <v>1</v>
      </c>
      <c r="X58" s="3" t="str">
        <f aca="false">IF(W58&gt;1,"Duplicate","Unique")</f>
        <v>Unique</v>
      </c>
      <c r="Y58" s="3" t="str">
        <f aca="false">IF(B58&lt;6.5,"&lt;6.5",IF(B58&lt;7,"6.5–6.9",IF(B58&lt;7.5,"7.0–7.4",IF(B58&lt;8,"7.5–7.9","8.0+"))))</f>
        <v>6.5–6.9</v>
      </c>
      <c r="Z58" s="3" t="n">
        <f aca="false">IF(T58="","",YEAR(T58))</f>
        <v>2022</v>
      </c>
    </row>
    <row r="59" customFormat="false" ht="13.8" hidden="false" customHeight="false" outlineLevel="0" collapsed="false">
      <c r="A59" s="3" t="s">
        <v>207</v>
      </c>
      <c r="B59" s="3" t="n">
        <v>7</v>
      </c>
      <c r="C59" s="3" t="s">
        <v>208</v>
      </c>
      <c r="D59" s="3" t="n">
        <v>6</v>
      </c>
      <c r="E59" s="3" t="n">
        <v>4</v>
      </c>
      <c r="F59" s="3" t="s">
        <v>21</v>
      </c>
      <c r="G59" s="3" t="n">
        <v>1</v>
      </c>
      <c r="H59" s="3" t="n">
        <v>763</v>
      </c>
      <c r="I59" s="3" t="s">
        <v>22</v>
      </c>
      <c r="J59" s="3" t="n">
        <v>0</v>
      </c>
      <c r="K59" s="3" t="n">
        <v>2.705</v>
      </c>
      <c r="L59" s="3" t="n">
        <v>26</v>
      </c>
      <c r="M59" s="3" t="s">
        <v>23</v>
      </c>
      <c r="N59" s="3" t="n">
        <v>10</v>
      </c>
      <c r="O59" s="3" t="n">
        <v>-22.5732</v>
      </c>
      <c r="P59" s="3" t="n">
        <v>170.349</v>
      </c>
      <c r="Q59" s="3" t="s">
        <v>57</v>
      </c>
      <c r="R59" s="3"/>
      <c r="S59" s="3"/>
      <c r="T59" s="5" t="n">
        <f aca="false">IF(C59="","",DATE(VALUE(MID(C59,7,4)),VALUE(MID(C59,4,2)),VALUE(MID(C59,1,2)))+TIME(VALUE(MID(C59,12,2)),VALUE(MID(C59,15,2)),0))</f>
        <v>44651.2388888889</v>
      </c>
      <c r="U59" s="3" t="str">
        <f aca="false">IFERROR(IF(ISNUMBER(VALUE(TRIM(MID(A59,FIND("-",A59)+1,FIND("km",A59)-FIND("-",A59)-1)))),"Distance + direction + city","Named-region"),"Named-region")</f>
        <v>Named-region</v>
      </c>
      <c r="V59" s="3" t="str">
        <f aca="false">LOWER(M59)</f>
        <v>mww</v>
      </c>
      <c r="W59" s="3" t="n">
        <f aca="false">COUNTIFS($A$2:$A$1001,A59,$C$2:$C$1001,C59)</f>
        <v>1</v>
      </c>
      <c r="X59" s="3" t="str">
        <f aca="false">IF(W59&gt;1,"Duplicate","Unique")</f>
        <v>Unique</v>
      </c>
      <c r="Y59" s="3" t="str">
        <f aca="false">IF(B59&lt;6.5,"&lt;6.5",IF(B59&lt;7,"6.5–6.9",IF(B59&lt;7.5,"7.0–7.4",IF(B59&lt;8,"7.5–7.9","8.0+"))))</f>
        <v>7.0–7.4</v>
      </c>
      <c r="Z59" s="3" t="n">
        <f aca="false">IF(T59="","",YEAR(T59))</f>
        <v>2022</v>
      </c>
    </row>
    <row r="60" customFormat="false" ht="13.8" hidden="false" customHeight="false" outlineLevel="0" collapsed="false">
      <c r="A60" s="3" t="s">
        <v>209</v>
      </c>
      <c r="B60" s="3" t="n">
        <v>6.9</v>
      </c>
      <c r="C60" s="3" t="s">
        <v>210</v>
      </c>
      <c r="D60" s="3" t="n">
        <v>6</v>
      </c>
      <c r="E60" s="3" t="n">
        <v>4</v>
      </c>
      <c r="F60" s="3" t="s">
        <v>21</v>
      </c>
      <c r="G60" s="3" t="n">
        <v>1</v>
      </c>
      <c r="H60" s="3" t="n">
        <v>738</v>
      </c>
      <c r="I60" s="3" t="s">
        <v>22</v>
      </c>
      <c r="J60" s="3" t="n">
        <v>0</v>
      </c>
      <c r="K60" s="3" t="n">
        <v>2.697</v>
      </c>
      <c r="L60" s="3" t="n">
        <v>42</v>
      </c>
      <c r="M60" s="3" t="s">
        <v>23</v>
      </c>
      <c r="N60" s="3" t="n">
        <v>10</v>
      </c>
      <c r="O60" s="3" t="n">
        <v>-22.72</v>
      </c>
      <c r="P60" s="3" t="n">
        <v>170.277</v>
      </c>
      <c r="Q60" s="3" t="s">
        <v>211</v>
      </c>
      <c r="R60" s="3"/>
      <c r="S60" s="3"/>
      <c r="T60" s="5" t="n">
        <f aca="false">IF(C60="","",DATE(VALUE(MID(C60,7,4)),VALUE(MID(C60,4,2)),VALUE(MID(C60,1,2)))+TIME(VALUE(MID(C60,12,2)),VALUE(MID(C60,15,2)),0))</f>
        <v>44650.8722222222</v>
      </c>
      <c r="U60" s="3" t="str">
        <f aca="false">IFERROR(IF(ISNUMBER(VALUE(TRIM(MID(A60,FIND("-",A60)+1,FIND("km",A60)-FIND("-",A60)-1)))),"Distance + direction + city","Named-region"),"Named-region")</f>
        <v>Distance + direction + city</v>
      </c>
      <c r="V60" s="3" t="str">
        <f aca="false">LOWER(M60)</f>
        <v>mww</v>
      </c>
      <c r="W60" s="3" t="n">
        <f aca="false">COUNTIFS($A$2:$A$1001,A60,$C$2:$C$1001,C60)</f>
        <v>1</v>
      </c>
      <c r="X60" s="3" t="str">
        <f aca="false">IF(W60&gt;1,"Duplicate","Unique")</f>
        <v>Unique</v>
      </c>
      <c r="Y60" s="3" t="str">
        <f aca="false">IF(B60&lt;6.5,"&lt;6.5",IF(B60&lt;7,"6.5–6.9",IF(B60&lt;7.5,"7.0–7.4",IF(B60&lt;8,"7.5–7.9","8.0+"))))</f>
        <v>6.5–6.9</v>
      </c>
      <c r="Z60" s="3" t="n">
        <f aca="false">IF(T60="","",YEAR(T60))</f>
        <v>2022</v>
      </c>
    </row>
    <row r="61" customFormat="false" ht="13.8" hidden="false" customHeight="false" outlineLevel="0" collapsed="false">
      <c r="A61" s="3" t="s">
        <v>212</v>
      </c>
      <c r="B61" s="3" t="n">
        <v>6.7</v>
      </c>
      <c r="C61" s="3" t="s">
        <v>213</v>
      </c>
      <c r="D61" s="3" t="n">
        <v>8</v>
      </c>
      <c r="E61" s="3" t="n">
        <v>7</v>
      </c>
      <c r="F61" s="3" t="s">
        <v>21</v>
      </c>
      <c r="G61" s="3" t="n">
        <v>1</v>
      </c>
      <c r="H61" s="3" t="n">
        <v>806</v>
      </c>
      <c r="I61" s="3" t="s">
        <v>22</v>
      </c>
      <c r="J61" s="3" t="n">
        <v>0</v>
      </c>
      <c r="K61" s="3" t="n">
        <v>0.289</v>
      </c>
      <c r="L61" s="3" t="n">
        <v>32</v>
      </c>
      <c r="M61" s="3" t="s">
        <v>23</v>
      </c>
      <c r="N61" s="3" t="n">
        <v>24</v>
      </c>
      <c r="O61" s="3" t="n">
        <v>23.3421</v>
      </c>
      <c r="P61" s="3" t="n">
        <v>121.636</v>
      </c>
      <c r="Q61" s="3" t="s">
        <v>214</v>
      </c>
      <c r="R61" s="3" t="s">
        <v>80</v>
      </c>
      <c r="S61" s="3" t="s">
        <v>171</v>
      </c>
      <c r="T61" s="5" t="n">
        <f aca="false">IF(C61="","",DATE(VALUE(MID(C61,7,4)),VALUE(MID(C61,4,2)),VALUE(MID(C61,1,2)))+TIME(VALUE(MID(C61,12,2)),VALUE(MID(C61,15,2)),0))</f>
        <v>44642.7368055556</v>
      </c>
      <c r="U61" s="3" t="str">
        <f aca="false">IFERROR(IF(ISNUMBER(VALUE(TRIM(MID(A61,FIND("-",A61)+1,FIND("km",A61)-FIND("-",A61)-1)))),"Distance + direction + city","Named-region"),"Named-region")</f>
        <v>Distance + direction + city</v>
      </c>
      <c r="V61" s="3" t="str">
        <f aca="false">LOWER(M61)</f>
        <v>mww</v>
      </c>
      <c r="W61" s="3" t="n">
        <f aca="false">COUNTIFS($A$2:$A$1001,A61,$C$2:$C$1001,C61)</f>
        <v>1</v>
      </c>
      <c r="X61" s="3" t="str">
        <f aca="false">IF(W61&gt;1,"Duplicate","Unique")</f>
        <v>Unique</v>
      </c>
      <c r="Y61" s="3" t="str">
        <f aca="false">IF(B61&lt;6.5,"&lt;6.5",IF(B61&lt;7,"6.5–6.9",IF(B61&lt;7.5,"7.0–7.4",IF(B61&lt;8,"7.5–7.9","8.0+"))))</f>
        <v>6.5–6.9</v>
      </c>
      <c r="Z61" s="3" t="n">
        <f aca="false">IF(T61="","",YEAR(T61))</f>
        <v>2022</v>
      </c>
    </row>
    <row r="62" customFormat="false" ht="13.8" hidden="false" customHeight="false" outlineLevel="0" collapsed="false">
      <c r="A62" s="3" t="s">
        <v>215</v>
      </c>
      <c r="B62" s="3" t="n">
        <v>7.3</v>
      </c>
      <c r="C62" s="3" t="s">
        <v>216</v>
      </c>
      <c r="D62" s="3" t="n">
        <v>9</v>
      </c>
      <c r="E62" s="3" t="n">
        <v>8</v>
      </c>
      <c r="F62" s="3" t="s">
        <v>121</v>
      </c>
      <c r="G62" s="3" t="n">
        <v>1</v>
      </c>
      <c r="H62" s="3" t="n">
        <v>2397</v>
      </c>
      <c r="I62" s="3" t="s">
        <v>22</v>
      </c>
      <c r="J62" s="3" t="n">
        <v>0</v>
      </c>
      <c r="K62" s="3" t="n">
        <v>2.936</v>
      </c>
      <c r="L62" s="3" t="n">
        <v>29</v>
      </c>
      <c r="M62" s="3" t="s">
        <v>23</v>
      </c>
      <c r="N62" s="3" t="n">
        <v>41</v>
      </c>
      <c r="O62" s="3" t="n">
        <v>37.7015</v>
      </c>
      <c r="P62" s="3" t="n">
        <v>141.587</v>
      </c>
      <c r="Q62" s="3" t="s">
        <v>217</v>
      </c>
      <c r="R62" s="3"/>
      <c r="S62" s="3"/>
      <c r="T62" s="5" t="n">
        <f aca="false">IF(C62="","",DATE(VALUE(MID(C62,7,4)),VALUE(MID(C62,4,2)),VALUE(MID(C62,1,2)))+TIME(VALUE(MID(C62,12,2)),VALUE(MID(C62,15,2)),0))</f>
        <v>44636.6083333333</v>
      </c>
      <c r="U62" s="3" t="str">
        <f aca="false">IFERROR(IF(ISNUMBER(VALUE(TRIM(MID(A62,FIND("-",A62)+1,FIND("km",A62)-FIND("-",A62)-1)))),"Distance + direction + city","Named-region"),"Named-region")</f>
        <v>Distance + direction + city</v>
      </c>
      <c r="V62" s="3" t="str">
        <f aca="false">LOWER(M62)</f>
        <v>mww</v>
      </c>
      <c r="W62" s="3" t="n">
        <f aca="false">COUNTIFS($A$2:$A$1001,A62,$C$2:$C$1001,C62)</f>
        <v>1</v>
      </c>
      <c r="X62" s="3" t="str">
        <f aca="false">IF(W62&gt;1,"Duplicate","Unique")</f>
        <v>Unique</v>
      </c>
      <c r="Y62" s="3" t="str">
        <f aca="false">IF(B62&lt;6.5,"&lt;6.5",IF(B62&lt;7,"6.5–6.9",IF(B62&lt;7.5,"7.0–7.4",IF(B62&lt;8,"7.5–7.9","8.0+"))))</f>
        <v>7.0–7.4</v>
      </c>
      <c r="Z62" s="3" t="n">
        <f aca="false">IF(T62="","",YEAR(T62))</f>
        <v>2022</v>
      </c>
    </row>
    <row r="63" customFormat="false" ht="13.8" hidden="false" customHeight="false" outlineLevel="0" collapsed="false">
      <c r="A63" s="3" t="s">
        <v>218</v>
      </c>
      <c r="B63" s="3" t="n">
        <v>6.7</v>
      </c>
      <c r="C63" s="3" t="s">
        <v>219</v>
      </c>
      <c r="D63" s="3" t="n">
        <v>9</v>
      </c>
      <c r="E63" s="3" t="n">
        <v>6</v>
      </c>
      <c r="F63" s="3" t="s">
        <v>21</v>
      </c>
      <c r="G63" s="3" t="n">
        <v>0</v>
      </c>
      <c r="H63" s="3" t="n">
        <v>708</v>
      </c>
      <c r="I63" s="3" t="s">
        <v>22</v>
      </c>
      <c r="J63" s="3" t="n">
        <v>0</v>
      </c>
      <c r="K63" s="3" t="n">
        <v>2.188</v>
      </c>
      <c r="L63" s="3" t="n">
        <v>43</v>
      </c>
      <c r="M63" s="3" t="s">
        <v>23</v>
      </c>
      <c r="N63" s="3" t="n">
        <v>28</v>
      </c>
      <c r="O63" s="3" t="n">
        <v>-0.6831</v>
      </c>
      <c r="P63" s="3" t="n">
        <v>98.6034</v>
      </c>
      <c r="Q63" s="3" t="s">
        <v>220</v>
      </c>
      <c r="R63" s="3" t="s">
        <v>80</v>
      </c>
      <c r="S63" s="3" t="s">
        <v>68</v>
      </c>
      <c r="T63" s="5" t="n">
        <f aca="false">IF(C63="","",DATE(VALUE(MID(C63,7,4)),VALUE(MID(C63,4,2)),VALUE(MID(C63,1,2)))+TIME(VALUE(MID(C63,12,2)),VALUE(MID(C63,15,2)),0))</f>
        <v>44633.88125</v>
      </c>
      <c r="U63" s="3" t="str">
        <f aca="false">IFERROR(IF(ISNUMBER(VALUE(TRIM(MID(A63,FIND("-",A63)+1,FIND("km",A63)-FIND("-",A63)-1)))),"Distance + direction + city","Named-region"),"Named-region")</f>
        <v>Distance + direction + city</v>
      </c>
      <c r="V63" s="3" t="str">
        <f aca="false">LOWER(M63)</f>
        <v>mww</v>
      </c>
      <c r="W63" s="3" t="n">
        <f aca="false">COUNTIFS($A$2:$A$1001,A63,$C$2:$C$1001,C63)</f>
        <v>1</v>
      </c>
      <c r="X63" s="3" t="str">
        <f aca="false">IF(W63&gt;1,"Duplicate","Unique")</f>
        <v>Unique</v>
      </c>
      <c r="Y63" s="3" t="str">
        <f aca="false">IF(B63&lt;6.5,"&lt;6.5",IF(B63&lt;7,"6.5–6.9",IF(B63&lt;7.5,"7.0–7.4",IF(B63&lt;8,"7.5–7.9","8.0+"))))</f>
        <v>6.5–6.9</v>
      </c>
      <c r="Z63" s="3" t="n">
        <f aca="false">IF(T63="","",YEAR(T63))</f>
        <v>2022</v>
      </c>
    </row>
    <row r="64" customFormat="false" ht="13.8" hidden="false" customHeight="false" outlineLevel="0" collapsed="false">
      <c r="A64" s="3" t="s">
        <v>221</v>
      </c>
      <c r="B64" s="3" t="n">
        <v>6.6</v>
      </c>
      <c r="C64" s="6" t="s">
        <v>222</v>
      </c>
      <c r="D64" s="3" t="n">
        <v>2</v>
      </c>
      <c r="E64" s="3" t="n">
        <v>7</v>
      </c>
      <c r="F64" s="3" t="s">
        <v>21</v>
      </c>
      <c r="G64" s="3" t="n">
        <v>1</v>
      </c>
      <c r="H64" s="3" t="n">
        <v>670</v>
      </c>
      <c r="I64" s="3" t="s">
        <v>22</v>
      </c>
      <c r="J64" s="3" t="n">
        <v>0</v>
      </c>
      <c r="K64" s="3" t="n">
        <v>0.827</v>
      </c>
      <c r="L64" s="3" t="n">
        <v>46</v>
      </c>
      <c r="M64" s="3" t="s">
        <v>23</v>
      </c>
      <c r="N64" s="3" t="n">
        <v>24</v>
      </c>
      <c r="O64" s="3" t="n">
        <v>-30.0528</v>
      </c>
      <c r="P64" s="3" t="n">
        <v>-177.74</v>
      </c>
      <c r="Q64" s="3" t="s">
        <v>71</v>
      </c>
      <c r="R64" s="3"/>
      <c r="S64" s="3"/>
      <c r="T64" s="5" t="n">
        <f aca="false">IF(C64="","",DATE(VALUE(MID(C64,7,4)),VALUE(MID(C64,4,2)),VALUE(MID(C64,1,2)))+TIME(VALUE(MID(C64,12,2)),VALUE(MID(C64,15,2)),0))</f>
        <v>44622.5361111111</v>
      </c>
      <c r="U64" s="3" t="str">
        <f aca="false">IFERROR(IF(ISNUMBER(VALUE(TRIM(MID(A64,FIND("-",A64)+1,FIND("km",A64)-FIND("-",A64)-1)))),"Distance + direction + city","Named-region"),"Named-region")</f>
        <v>Named-region</v>
      </c>
      <c r="V64" s="3" t="str">
        <f aca="false">LOWER(M64)</f>
        <v>mww</v>
      </c>
      <c r="W64" s="3" t="n">
        <f aca="false">COUNTIFS($A$2:$A$1001,A64,$C$2:$C$1001,C64)</f>
        <v>1</v>
      </c>
      <c r="X64" s="3" t="str">
        <f aca="false">IF(W64&gt;1,"Duplicate","Unique")</f>
        <v>Unique</v>
      </c>
      <c r="Y64" s="3" t="str">
        <f aca="false">IF(B64&lt;6.5,"&lt;6.5",IF(B64&lt;7,"6.5–6.9",IF(B64&lt;7.5,"7.0–7.4",IF(B64&lt;8,"7.5–7.9","8.0+"))))</f>
        <v>6.5–6.9</v>
      </c>
      <c r="Z64" s="3" t="n">
        <f aca="false">IF(T64="","",YEAR(T64))</f>
        <v>2022</v>
      </c>
    </row>
    <row r="65" customFormat="false" ht="13.8" hidden="false" customHeight="false" outlineLevel="0" collapsed="false">
      <c r="A65" s="3" t="s">
        <v>155</v>
      </c>
      <c r="B65" s="3" t="n">
        <v>6.8</v>
      </c>
      <c r="C65" s="3" t="s">
        <v>223</v>
      </c>
      <c r="D65" s="3" t="n">
        <v>2</v>
      </c>
      <c r="E65" s="3" t="n">
        <v>3</v>
      </c>
      <c r="F65" s="3" t="s">
        <v>21</v>
      </c>
      <c r="G65" s="3" t="n">
        <v>1</v>
      </c>
      <c r="H65" s="3" t="n">
        <v>712</v>
      </c>
      <c r="I65" s="3" t="s">
        <v>22</v>
      </c>
      <c r="J65" s="3" t="n">
        <v>0</v>
      </c>
      <c r="K65" s="3" t="n">
        <v>5.78</v>
      </c>
      <c r="L65" s="3" t="n">
        <v>12</v>
      </c>
      <c r="M65" s="3" t="s">
        <v>23</v>
      </c>
      <c r="N65" s="3" t="n">
        <v>535</v>
      </c>
      <c r="O65" s="3" t="n">
        <v>-23.7852</v>
      </c>
      <c r="P65" s="3" t="n">
        <v>-179.968</v>
      </c>
      <c r="Q65" s="3" t="s">
        <v>50</v>
      </c>
      <c r="R65" s="3"/>
      <c r="S65" s="3"/>
      <c r="T65" s="5" t="n">
        <f aca="false">IF(C65="","",DATE(VALUE(MID(C65,7,4)),VALUE(MID(C65,4,2)),VALUE(MID(C65,1,2)))+TIME(VALUE(MID(C65,12,2)),VALUE(MID(C65,15,2)),0))</f>
        <v>44608.8479166667</v>
      </c>
      <c r="U65" s="3" t="str">
        <f aca="false">IFERROR(IF(ISNUMBER(VALUE(TRIM(MID(A65,FIND("-",A65)+1,FIND("km",A65)-FIND("-",A65)-1)))),"Distance + direction + city","Named-region"),"Named-region")</f>
        <v>Named-region</v>
      </c>
      <c r="V65" s="3" t="str">
        <f aca="false">LOWER(M65)</f>
        <v>mww</v>
      </c>
      <c r="W65" s="3" t="n">
        <f aca="false">COUNTIFS($A$2:$A$1001,A65,$C$2:$C$1001,C65)</f>
        <v>1</v>
      </c>
      <c r="X65" s="3" t="str">
        <f aca="false">IF(W65&gt;1,"Duplicate","Unique")</f>
        <v>Unique</v>
      </c>
      <c r="Y65" s="3" t="str">
        <f aca="false">IF(B65&lt;6.5,"&lt;6.5",IF(B65&lt;7,"6.5–6.9",IF(B65&lt;7.5,"7.0–7.4",IF(B65&lt;8,"7.5–7.9","8.0+"))))</f>
        <v>6.5–6.9</v>
      </c>
      <c r="Z65" s="3" t="n">
        <f aca="false">IF(T65="","",YEAR(T65))</f>
        <v>2022</v>
      </c>
    </row>
    <row r="66" customFormat="false" ht="13.8" hidden="false" customHeight="false" outlineLevel="0" collapsed="false">
      <c r="A66" s="3" t="s">
        <v>224</v>
      </c>
      <c r="B66" s="3" t="n">
        <v>6.5</v>
      </c>
      <c r="C66" s="6" t="s">
        <v>225</v>
      </c>
      <c r="D66" s="3" t="n">
        <v>8</v>
      </c>
      <c r="E66" s="3" t="n">
        <v>6</v>
      </c>
      <c r="F66" s="3" t="s">
        <v>21</v>
      </c>
      <c r="G66" s="3" t="n">
        <v>0</v>
      </c>
      <c r="H66" s="3" t="n">
        <v>690</v>
      </c>
      <c r="I66" s="3" t="s">
        <v>22</v>
      </c>
      <c r="J66" s="3" t="n">
        <v>0</v>
      </c>
      <c r="K66" s="3" t="n">
        <v>3.026</v>
      </c>
      <c r="L66" s="3" t="n">
        <v>22</v>
      </c>
      <c r="M66" s="3" t="s">
        <v>23</v>
      </c>
      <c r="N66" s="3" t="n">
        <v>110</v>
      </c>
      <c r="O66" s="3" t="n">
        <v>-4.455</v>
      </c>
      <c r="P66" s="3" t="n">
        <v>-76.9395</v>
      </c>
      <c r="Q66" s="3" t="s">
        <v>226</v>
      </c>
      <c r="R66" s="3" t="s">
        <v>33</v>
      </c>
      <c r="S66" s="3" t="s">
        <v>199</v>
      </c>
      <c r="T66" s="5" t="n">
        <f aca="false">IF(C66="","",DATE(VALUE(MID(C66,7,4)),VALUE(MID(C66,4,2)),VALUE(MID(C66,1,2)))+TIME(VALUE(MID(C66,12,2)),VALUE(MID(C66,15,2)),0))</f>
        <v>44595.6652777778</v>
      </c>
      <c r="U66" s="3" t="str">
        <f aca="false">IFERROR(IF(ISNUMBER(VALUE(TRIM(MID(A66,FIND("-",A66)+1,FIND("km",A66)-FIND("-",A66)-1)))),"Distance + direction + city","Named-region"),"Named-region")</f>
        <v>Distance + direction + city</v>
      </c>
      <c r="V66" s="3" t="str">
        <f aca="false">LOWER(M66)</f>
        <v>mww</v>
      </c>
      <c r="W66" s="3" t="n">
        <f aca="false">COUNTIFS($A$2:$A$1001,A66,$C$2:$C$1001,C66)</f>
        <v>1</v>
      </c>
      <c r="X66" s="3" t="str">
        <f aca="false">IF(W66&gt;1,"Duplicate","Unique")</f>
        <v>Unique</v>
      </c>
      <c r="Y66" s="3" t="str">
        <f aca="false">IF(B66&lt;6.5,"&lt;6.5",IF(B66&lt;7,"6.5–6.9",IF(B66&lt;7.5,"7.0–7.4",IF(B66&lt;8,"7.5–7.9","8.0+"))))</f>
        <v>6.5–6.9</v>
      </c>
      <c r="Z66" s="3" t="n">
        <f aca="false">IF(T66="","",YEAR(T66))</f>
        <v>2022</v>
      </c>
    </row>
    <row r="67" customFormat="false" ht="13.8" hidden="false" customHeight="false" outlineLevel="0" collapsed="false">
      <c r="A67" s="3" t="s">
        <v>227</v>
      </c>
      <c r="B67" s="3" t="n">
        <v>6.5</v>
      </c>
      <c r="C67" s="3" t="s">
        <v>228</v>
      </c>
      <c r="D67" s="3" t="n">
        <v>7</v>
      </c>
      <c r="E67" s="3" t="n">
        <v>4</v>
      </c>
      <c r="F67" s="3" t="s">
        <v>21</v>
      </c>
      <c r="G67" s="3" t="n">
        <v>1</v>
      </c>
      <c r="H67" s="3" t="n">
        <v>651</v>
      </c>
      <c r="I67" s="3" t="s">
        <v>22</v>
      </c>
      <c r="J67" s="3" t="n">
        <v>0</v>
      </c>
      <c r="K67" s="3" t="n">
        <v>1.088</v>
      </c>
      <c r="L67" s="3" t="n">
        <v>57</v>
      </c>
      <c r="M67" s="3" t="s">
        <v>23</v>
      </c>
      <c r="N67" s="3" t="n">
        <v>8</v>
      </c>
      <c r="O67" s="3" t="n">
        <v>-29.535</v>
      </c>
      <c r="P67" s="3" t="n">
        <v>-176.729</v>
      </c>
      <c r="Q67" s="3" t="s">
        <v>99</v>
      </c>
      <c r="R67" s="3"/>
      <c r="S67" s="3"/>
      <c r="T67" s="5" t="n">
        <f aca="false">IF(C67="","",DATE(VALUE(MID(C67,7,4)),VALUE(MID(C67,4,2)),VALUE(MID(C67,1,2)))+TIME(VALUE(MID(C67,12,2)),VALUE(MID(C67,15,2)),0))</f>
        <v>44590.1152777778</v>
      </c>
      <c r="U67" s="3" t="str">
        <f aca="false">IFERROR(IF(ISNUMBER(VALUE(TRIM(MID(A67,FIND("-",A67)+1,FIND("km",A67)-FIND("-",A67)-1)))),"Distance + direction + city","Named-region"),"Named-region")</f>
        <v>Named-region</v>
      </c>
      <c r="V67" s="3" t="str">
        <f aca="false">LOWER(M67)</f>
        <v>mww</v>
      </c>
      <c r="W67" s="3" t="n">
        <f aca="false">COUNTIFS($A$2:$A$1001,A67,$C$2:$C$1001,C67)</f>
        <v>1</v>
      </c>
      <c r="X67" s="3" t="str">
        <f aca="false">IF(W67&gt;1,"Duplicate","Unique")</f>
        <v>Unique</v>
      </c>
      <c r="Y67" s="3" t="str">
        <f aca="false">IF(B67&lt;6.5,"&lt;6.5",IF(B67&lt;7,"6.5–6.9",IF(B67&lt;7.5,"7.0–7.4",IF(B67&lt;8,"7.5–7.9","8.0+"))))</f>
        <v>6.5–6.9</v>
      </c>
      <c r="Z67" s="3" t="n">
        <f aca="false">IF(T67="","",YEAR(T67))</f>
        <v>2022</v>
      </c>
    </row>
    <row r="68" customFormat="false" ht="13.8" hidden="false" customHeight="false" outlineLevel="0" collapsed="false">
      <c r="A68" s="3" t="s">
        <v>229</v>
      </c>
      <c r="B68" s="3" t="n">
        <v>6.6</v>
      </c>
      <c r="C68" s="3" t="s">
        <v>230</v>
      </c>
      <c r="D68" s="3" t="n">
        <v>8</v>
      </c>
      <c r="E68" s="3" t="n">
        <v>6</v>
      </c>
      <c r="F68" s="3" t="s">
        <v>21</v>
      </c>
      <c r="G68" s="3" t="n">
        <v>0</v>
      </c>
      <c r="H68" s="3" t="n">
        <v>785</v>
      </c>
      <c r="I68" s="3" t="s">
        <v>22</v>
      </c>
      <c r="J68" s="3" t="n">
        <v>0</v>
      </c>
      <c r="K68" s="3" t="n">
        <v>2.418</v>
      </c>
      <c r="L68" s="3" t="n">
        <v>22</v>
      </c>
      <c r="M68" s="3" t="s">
        <v>23</v>
      </c>
      <c r="N68" s="3" t="n">
        <v>33</v>
      </c>
      <c r="O68" s="3" t="n">
        <v>-6.9291</v>
      </c>
      <c r="P68" s="3" t="n">
        <v>105.251</v>
      </c>
      <c r="Q68" s="3" t="s">
        <v>231</v>
      </c>
      <c r="R68" s="3"/>
      <c r="S68" s="3" t="s">
        <v>68</v>
      </c>
      <c r="T68" s="5" t="n">
        <f aca="false">IF(C68="","",DATE(VALUE(MID(C68,7,4)),VALUE(MID(C68,4,2)),VALUE(MID(C68,1,2)))+TIME(VALUE(MID(C68,12,2)),VALUE(MID(C68,15,2)),0))</f>
        <v>44575.3784722222</v>
      </c>
      <c r="U68" s="3" t="str">
        <f aca="false">IFERROR(IF(ISNUMBER(VALUE(TRIM(MID(A68,FIND("-",A68)+1,FIND("km",A68)-FIND("-",A68)-1)))),"Distance + direction + city","Named-region"),"Named-region")</f>
        <v>Distance + direction + city</v>
      </c>
      <c r="V68" s="3" t="str">
        <f aca="false">LOWER(M68)</f>
        <v>mww</v>
      </c>
      <c r="W68" s="3" t="n">
        <f aca="false">COUNTIFS($A$2:$A$1001,A68,$C$2:$C$1001,C68)</f>
        <v>1</v>
      </c>
      <c r="X68" s="3" t="str">
        <f aca="false">IF(W68&gt;1,"Duplicate","Unique")</f>
        <v>Unique</v>
      </c>
      <c r="Y68" s="3" t="str">
        <f aca="false">IF(B68&lt;6.5,"&lt;6.5",IF(B68&lt;7,"6.5–6.9",IF(B68&lt;7.5,"7.0–7.4",IF(B68&lt;8,"7.5–7.9","8.0+"))))</f>
        <v>6.5–6.9</v>
      </c>
      <c r="Z68" s="3" t="n">
        <f aca="false">IF(T68="","",YEAR(T68))</f>
        <v>2022</v>
      </c>
    </row>
    <row r="69" customFormat="false" ht="13.8" hidden="false" customHeight="false" outlineLevel="0" collapsed="false">
      <c r="A69" s="3" t="s">
        <v>232</v>
      </c>
      <c r="B69" s="3" t="n">
        <v>6.5</v>
      </c>
      <c r="C69" s="6" t="s">
        <v>233</v>
      </c>
      <c r="D69" s="3" t="n">
        <v>0</v>
      </c>
      <c r="E69" s="3" t="n">
        <v>3</v>
      </c>
      <c r="F69" s="3"/>
      <c r="G69" s="3" t="n">
        <v>1</v>
      </c>
      <c r="H69" s="3" t="n">
        <v>650</v>
      </c>
      <c r="I69" s="3" t="s">
        <v>39</v>
      </c>
      <c r="J69" s="3" t="n">
        <v>97</v>
      </c>
      <c r="K69" s="3" t="n">
        <v>1.61607</v>
      </c>
      <c r="L69" s="3" t="n">
        <v>108</v>
      </c>
      <c r="M69" s="3" t="s">
        <v>40</v>
      </c>
      <c r="N69" s="3" t="n">
        <v>37</v>
      </c>
      <c r="O69" s="3" t="n">
        <v>52.502</v>
      </c>
      <c r="P69" s="3" t="n">
        <v>-168.08</v>
      </c>
      <c r="Q69" s="3" t="s">
        <v>234</v>
      </c>
      <c r="R69" s="3"/>
      <c r="S69" s="3"/>
      <c r="T69" s="5" t="n">
        <f aca="false">IF(C69="","",DATE(VALUE(MID(C69,7,4)),VALUE(MID(C69,4,2)),VALUE(MID(C69,1,2)))+TIME(VALUE(MID(C69,12,2)),VALUE(MID(C69,15,2)),0))</f>
        <v>44572.5270833333</v>
      </c>
      <c r="U69" s="3" t="str">
        <f aca="false">IFERROR(IF(ISNUMBER(VALUE(TRIM(MID(A69,FIND("-",A69)+1,FIND("km",A69)-FIND("-",A69)-1)))),"Distance + direction + city","Named-region"),"Named-region")</f>
        <v>Distance + direction + city</v>
      </c>
      <c r="V69" s="3" t="str">
        <f aca="false">LOWER(M69)</f>
        <v>mi</v>
      </c>
      <c r="W69" s="3" t="n">
        <f aca="false">COUNTIFS($A$2:$A$1001,A69,$C$2:$C$1001,C69)</f>
        <v>2</v>
      </c>
      <c r="X69" s="3" t="str">
        <f aca="false">IF(W69&gt;1,"Duplicate","Unique")</f>
        <v>Duplicate</v>
      </c>
      <c r="Y69" s="3" t="str">
        <f aca="false">IF(B69&lt;6.5,"&lt;6.5",IF(B69&lt;7,"6.5–6.9",IF(B69&lt;7.5,"7.0–7.4",IF(B69&lt;8,"7.5–7.9","8.0+"))))</f>
        <v>6.5–6.9</v>
      </c>
      <c r="Z69" s="3" t="n">
        <f aca="false">IF(T69="","",YEAR(T69))</f>
        <v>2022</v>
      </c>
    </row>
    <row r="70" customFormat="false" ht="13.8" hidden="false" customHeight="false" outlineLevel="0" collapsed="false">
      <c r="A70" s="3" t="s">
        <v>232</v>
      </c>
      <c r="B70" s="3" t="n">
        <v>6.5</v>
      </c>
      <c r="C70" s="6" t="s">
        <v>233</v>
      </c>
      <c r="D70" s="3" t="n">
        <v>0</v>
      </c>
      <c r="E70" s="3" t="n">
        <v>3</v>
      </c>
      <c r="F70" s="3"/>
      <c r="G70" s="3" t="n">
        <v>1</v>
      </c>
      <c r="H70" s="3" t="n">
        <v>650</v>
      </c>
      <c r="I70" s="3" t="s">
        <v>235</v>
      </c>
      <c r="J70" s="3" t="n">
        <v>23</v>
      </c>
      <c r="K70" s="3" t="n">
        <v>0</v>
      </c>
      <c r="L70" s="3" t="n">
        <v>208.8</v>
      </c>
      <c r="M70" s="3" t="s">
        <v>40</v>
      </c>
      <c r="N70" s="3" t="n">
        <v>37</v>
      </c>
      <c r="O70" s="3" t="n">
        <v>52.502</v>
      </c>
      <c r="P70" s="3" t="n">
        <v>-168.08</v>
      </c>
      <c r="Q70" s="3" t="s">
        <v>234</v>
      </c>
      <c r="R70" s="3"/>
      <c r="S70" s="3"/>
      <c r="T70" s="5" t="n">
        <f aca="false">IF(C70="","",DATE(VALUE(MID(C70,7,4)),VALUE(MID(C70,4,2)),VALUE(MID(C70,1,2)))+TIME(VALUE(MID(C70,12,2)),VALUE(MID(C70,15,2)),0))</f>
        <v>44572.5270833333</v>
      </c>
      <c r="U70" s="3" t="str">
        <f aca="false">IFERROR(IF(ISNUMBER(VALUE(TRIM(MID(A70,FIND("-",A70)+1,FIND("km",A70)-FIND("-",A70)-1)))),"Distance + direction + city","Named-region"),"Named-region")</f>
        <v>Distance + direction + city</v>
      </c>
      <c r="V70" s="3" t="str">
        <f aca="false">LOWER(M70)</f>
        <v>mi</v>
      </c>
      <c r="W70" s="3" t="n">
        <f aca="false">COUNTIFS($A$2:$A$1001,A70,$C$2:$C$1001,C70)</f>
        <v>2</v>
      </c>
      <c r="X70" s="3" t="str">
        <f aca="false">IF(W70&gt;1,"Duplicate","Unique")</f>
        <v>Duplicate</v>
      </c>
      <c r="Y70" s="3" t="str">
        <f aca="false">IF(B70&lt;6.5,"&lt;6.5",IF(B70&lt;7,"6.5–6.9",IF(B70&lt;7.5,"7.0–7.4",IF(B70&lt;8,"7.5–7.9","8.0+"))))</f>
        <v>6.5–6.9</v>
      </c>
      <c r="Z70" s="3" t="n">
        <f aca="false">IF(T70="","",YEAR(T70))</f>
        <v>2022</v>
      </c>
    </row>
    <row r="71" customFormat="false" ht="13.8" hidden="false" customHeight="false" outlineLevel="0" collapsed="false">
      <c r="A71" s="3" t="s">
        <v>236</v>
      </c>
      <c r="B71" s="3" t="n">
        <v>6.6</v>
      </c>
      <c r="C71" s="6" t="s">
        <v>233</v>
      </c>
      <c r="D71" s="3" t="n">
        <v>8</v>
      </c>
      <c r="E71" s="3" t="n">
        <v>5</v>
      </c>
      <c r="F71" s="3" t="s">
        <v>21</v>
      </c>
      <c r="G71" s="3" t="n">
        <v>1</v>
      </c>
      <c r="H71" s="3" t="n">
        <v>674</v>
      </c>
      <c r="I71" s="3" t="s">
        <v>22</v>
      </c>
      <c r="J71" s="3" t="n">
        <v>0</v>
      </c>
      <c r="K71" s="3" t="n">
        <v>0.507</v>
      </c>
      <c r="L71" s="3" t="n">
        <v>49</v>
      </c>
      <c r="M71" s="3" t="s">
        <v>23</v>
      </c>
      <c r="N71" s="3" t="n">
        <v>19</v>
      </c>
      <c r="O71" s="3" t="n">
        <v>52.6252</v>
      </c>
      <c r="P71" s="3" t="n">
        <v>-168.15</v>
      </c>
      <c r="Q71" s="3" t="s">
        <v>234</v>
      </c>
      <c r="R71" s="3"/>
      <c r="S71" s="3"/>
      <c r="T71" s="5" t="n">
        <f aca="false">IF(C71="","",DATE(VALUE(MID(C71,7,4)),VALUE(MID(C71,4,2)),VALUE(MID(C71,1,2)))+TIME(VALUE(MID(C71,12,2)),VALUE(MID(C71,15,2)),0))</f>
        <v>44572.5270833333</v>
      </c>
      <c r="U71" s="3" t="str">
        <f aca="false">IFERROR(IF(ISNUMBER(VALUE(TRIM(MID(A71,FIND("-",A71)+1,FIND("km",A71)-FIND("-",A71)-1)))),"Distance + direction + city","Named-region"),"Named-region")</f>
        <v>Distance + direction + city</v>
      </c>
      <c r="V71" s="3" t="str">
        <f aca="false">LOWER(M71)</f>
        <v>mww</v>
      </c>
      <c r="W71" s="3" t="n">
        <f aca="false">COUNTIFS($A$2:$A$1001,A71,$C$2:$C$1001,C71)</f>
        <v>1</v>
      </c>
      <c r="X71" s="3" t="str">
        <f aca="false">IF(W71&gt;1,"Duplicate","Unique")</f>
        <v>Unique</v>
      </c>
      <c r="Y71" s="3" t="str">
        <f aca="false">IF(B71&lt;6.5,"&lt;6.5",IF(B71&lt;7,"6.5–6.9",IF(B71&lt;7.5,"7.0–7.4",IF(B71&lt;8,"7.5–7.9","8.0+"))))</f>
        <v>6.5–6.9</v>
      </c>
      <c r="Z71" s="3" t="n">
        <f aca="false">IF(T71="","",YEAR(T71))</f>
        <v>2022</v>
      </c>
    </row>
    <row r="72" customFormat="false" ht="13.8" hidden="false" customHeight="false" outlineLevel="0" collapsed="false">
      <c r="A72" s="3" t="s">
        <v>237</v>
      </c>
      <c r="B72" s="3" t="n">
        <v>6.7</v>
      </c>
      <c r="C72" s="6" t="s">
        <v>238</v>
      </c>
      <c r="D72" s="3" t="n">
        <v>0</v>
      </c>
      <c r="E72" s="3" t="n">
        <v>4</v>
      </c>
      <c r="F72" s="3"/>
      <c r="G72" s="3" t="n">
        <v>1</v>
      </c>
      <c r="H72" s="3" t="n">
        <v>691</v>
      </c>
      <c r="I72" s="3" t="s">
        <v>39</v>
      </c>
      <c r="J72" s="3" t="n">
        <v>50</v>
      </c>
      <c r="K72" s="3" t="n">
        <v>0.936943</v>
      </c>
      <c r="L72" s="3" t="n">
        <v>126</v>
      </c>
      <c r="M72" s="3" t="s">
        <v>40</v>
      </c>
      <c r="N72" s="3" t="n">
        <v>33</v>
      </c>
      <c r="O72" s="3" t="n">
        <v>52.48</v>
      </c>
      <c r="P72" s="3" t="n">
        <v>-167.736</v>
      </c>
      <c r="Q72" s="3" t="s">
        <v>234</v>
      </c>
      <c r="R72" s="3"/>
      <c r="S72" s="3"/>
      <c r="T72" s="5" t="n">
        <f aca="false">IF(C72="","",DATE(VALUE(MID(C72,7,4)),VALUE(MID(C72,4,2)),VALUE(MID(C72,1,2)))+TIME(VALUE(MID(C72,12,2)),VALUE(MID(C72,15,2)),0))</f>
        <v>44572.4826388889</v>
      </c>
      <c r="U72" s="3" t="str">
        <f aca="false">IFERROR(IF(ISNUMBER(VALUE(TRIM(MID(A72,FIND("-",A72)+1,FIND("km",A72)-FIND("-",A72)-1)))),"Distance + direction + city","Named-region"),"Named-region")</f>
        <v>Distance + direction + city</v>
      </c>
      <c r="V72" s="3" t="str">
        <f aca="false">LOWER(M72)</f>
        <v>mi</v>
      </c>
      <c r="W72" s="3" t="n">
        <f aca="false">COUNTIFS($A$2:$A$1001,A72,$C$2:$C$1001,C72)</f>
        <v>2</v>
      </c>
      <c r="X72" s="3" t="str">
        <f aca="false">IF(W72&gt;1,"Duplicate","Unique")</f>
        <v>Duplicate</v>
      </c>
      <c r="Y72" s="3" t="str">
        <f aca="false">IF(B72&lt;6.5,"&lt;6.5",IF(B72&lt;7,"6.5–6.9",IF(B72&lt;7.5,"7.0–7.4",IF(B72&lt;8,"7.5–7.9","8.0+"))))</f>
        <v>6.5–6.9</v>
      </c>
      <c r="Z72" s="3" t="n">
        <f aca="false">IF(T72="","",YEAR(T72))</f>
        <v>2022</v>
      </c>
    </row>
    <row r="73" customFormat="false" ht="13.8" hidden="false" customHeight="false" outlineLevel="0" collapsed="false">
      <c r="A73" s="3" t="s">
        <v>237</v>
      </c>
      <c r="B73" s="3" t="n">
        <v>6.7</v>
      </c>
      <c r="C73" s="6" t="s">
        <v>238</v>
      </c>
      <c r="D73" s="3" t="n">
        <v>0</v>
      </c>
      <c r="E73" s="3" t="n">
        <v>4</v>
      </c>
      <c r="F73" s="3"/>
      <c r="G73" s="3" t="n">
        <v>1</v>
      </c>
      <c r="H73" s="3" t="n">
        <v>691</v>
      </c>
      <c r="I73" s="3" t="s">
        <v>235</v>
      </c>
      <c r="J73" s="3" t="n">
        <v>20</v>
      </c>
      <c r="K73" s="3" t="n">
        <v>0</v>
      </c>
      <c r="L73" s="3" t="n">
        <v>205.2</v>
      </c>
      <c r="M73" s="3" t="s">
        <v>40</v>
      </c>
      <c r="N73" s="3" t="n">
        <v>33</v>
      </c>
      <c r="O73" s="3" t="n">
        <v>52.48</v>
      </c>
      <c r="P73" s="3" t="n">
        <v>-167.736</v>
      </c>
      <c r="Q73" s="3" t="s">
        <v>234</v>
      </c>
      <c r="R73" s="3"/>
      <c r="S73" s="3"/>
      <c r="T73" s="5" t="n">
        <f aca="false">IF(C73="","",DATE(VALUE(MID(C73,7,4)),VALUE(MID(C73,4,2)),VALUE(MID(C73,1,2)))+TIME(VALUE(MID(C73,12,2)),VALUE(MID(C73,15,2)),0))</f>
        <v>44572.4826388889</v>
      </c>
      <c r="U73" s="3" t="str">
        <f aca="false">IFERROR(IF(ISNUMBER(VALUE(TRIM(MID(A73,FIND("-",A73)+1,FIND("km",A73)-FIND("-",A73)-1)))),"Distance + direction + city","Named-region"),"Named-region")</f>
        <v>Distance + direction + city</v>
      </c>
      <c r="V73" s="3" t="str">
        <f aca="false">LOWER(M73)</f>
        <v>mi</v>
      </c>
      <c r="W73" s="3" t="n">
        <f aca="false">COUNTIFS($A$2:$A$1001,A73,$C$2:$C$1001,C73)</f>
        <v>2</v>
      </c>
      <c r="X73" s="3" t="str">
        <f aca="false">IF(W73&gt;1,"Duplicate","Unique")</f>
        <v>Duplicate</v>
      </c>
      <c r="Y73" s="3" t="str">
        <f aca="false">IF(B73&lt;6.5,"&lt;6.5",IF(B73&lt;7,"6.5–6.9",IF(B73&lt;7.5,"7.0–7.4",IF(B73&lt;8,"7.5–7.9","8.0+"))))</f>
        <v>6.5–6.9</v>
      </c>
      <c r="Z73" s="3" t="n">
        <f aca="false">IF(T73="","",YEAR(T73))</f>
        <v>2022</v>
      </c>
    </row>
    <row r="74" customFormat="false" ht="13.8" hidden="false" customHeight="false" outlineLevel="0" collapsed="false">
      <c r="A74" s="3" t="s">
        <v>239</v>
      </c>
      <c r="B74" s="3" t="n">
        <v>6.8</v>
      </c>
      <c r="C74" s="6" t="s">
        <v>238</v>
      </c>
      <c r="D74" s="3" t="n">
        <v>7</v>
      </c>
      <c r="E74" s="3" t="n">
        <v>6</v>
      </c>
      <c r="F74" s="3" t="s">
        <v>21</v>
      </c>
      <c r="G74" s="3" t="n">
        <v>1</v>
      </c>
      <c r="H74" s="3" t="n">
        <v>730</v>
      </c>
      <c r="I74" s="3" t="s">
        <v>22</v>
      </c>
      <c r="J74" s="3" t="n">
        <v>0</v>
      </c>
      <c r="K74" s="3" t="n">
        <v>0.92</v>
      </c>
      <c r="L74" s="3" t="n">
        <v>61</v>
      </c>
      <c r="M74" s="3" t="s">
        <v>23</v>
      </c>
      <c r="N74" s="3" t="n">
        <v>20</v>
      </c>
      <c r="O74" s="3" t="n">
        <v>52.6563</v>
      </c>
      <c r="P74" s="3" t="n">
        <v>-167.917</v>
      </c>
      <c r="Q74" s="3" t="s">
        <v>234</v>
      </c>
      <c r="R74" s="3"/>
      <c r="S74" s="3"/>
      <c r="T74" s="5" t="n">
        <f aca="false">IF(C74="","",DATE(VALUE(MID(C74,7,4)),VALUE(MID(C74,4,2)),VALUE(MID(C74,1,2)))+TIME(VALUE(MID(C74,12,2)),VALUE(MID(C74,15,2)),0))</f>
        <v>44572.4826388889</v>
      </c>
      <c r="U74" s="3" t="str">
        <f aca="false">IFERROR(IF(ISNUMBER(VALUE(TRIM(MID(A74,FIND("-",A74)+1,FIND("km",A74)-FIND("-",A74)-1)))),"Distance + direction + city","Named-region"),"Named-region")</f>
        <v>Distance + direction + city</v>
      </c>
      <c r="V74" s="3" t="str">
        <f aca="false">LOWER(M74)</f>
        <v>mww</v>
      </c>
      <c r="W74" s="3" t="n">
        <f aca="false">COUNTIFS($A$2:$A$1001,A74,$C$2:$C$1001,C74)</f>
        <v>1</v>
      </c>
      <c r="X74" s="3" t="str">
        <f aca="false">IF(W74&gt;1,"Duplicate","Unique")</f>
        <v>Unique</v>
      </c>
      <c r="Y74" s="3" t="str">
        <f aca="false">IF(B74&lt;6.5,"&lt;6.5",IF(B74&lt;7,"6.5–6.9",IF(B74&lt;7.5,"7.0–7.4",IF(B74&lt;8,"7.5–7.9","8.0+"))))</f>
        <v>6.5–6.9</v>
      </c>
      <c r="Z74" s="3" t="n">
        <f aca="false">IF(T74="","",YEAR(T74))</f>
        <v>2022</v>
      </c>
    </row>
    <row r="75" customFormat="false" ht="13.8" hidden="false" customHeight="false" outlineLevel="0" collapsed="false">
      <c r="A75" s="3" t="s">
        <v>240</v>
      </c>
      <c r="B75" s="3" t="n">
        <v>6.6</v>
      </c>
      <c r="C75" s="6" t="s">
        <v>241</v>
      </c>
      <c r="D75" s="3" t="n">
        <v>6</v>
      </c>
      <c r="E75" s="3" t="n">
        <v>6</v>
      </c>
      <c r="F75" s="3" t="s">
        <v>21</v>
      </c>
      <c r="G75" s="3" t="n">
        <v>0</v>
      </c>
      <c r="H75" s="3" t="n">
        <v>976</v>
      </c>
      <c r="I75" s="3" t="s">
        <v>22</v>
      </c>
      <c r="J75" s="3" t="n">
        <v>0</v>
      </c>
      <c r="K75" s="3" t="n">
        <v>1.168</v>
      </c>
      <c r="L75" s="3" t="n">
        <v>21</v>
      </c>
      <c r="M75" s="3" t="s">
        <v>23</v>
      </c>
      <c r="N75" s="3" t="n">
        <v>21</v>
      </c>
      <c r="O75" s="3" t="n">
        <v>35.1456</v>
      </c>
      <c r="P75" s="3" t="n">
        <v>31.9095</v>
      </c>
      <c r="Q75" s="3" t="s">
        <v>242</v>
      </c>
      <c r="R75" s="3" t="s">
        <v>80</v>
      </c>
      <c r="S75" s="3"/>
      <c r="T75" s="5" t="n">
        <f aca="false">IF(C75="","",DATE(VALUE(MID(C75,7,4)),VALUE(MID(C75,4,2)),VALUE(MID(C75,1,2)))+TIME(VALUE(MID(C75,12,2)),VALUE(MID(C75,15,2)),0))</f>
        <v>44572.0465277778</v>
      </c>
      <c r="U75" s="3" t="str">
        <f aca="false">IFERROR(IF(ISNUMBER(VALUE(TRIM(MID(A75,FIND("-",A75)+1,FIND("km",A75)-FIND("-",A75)-1)))),"Distance + direction + city","Named-region"),"Named-region")</f>
        <v>Distance + direction + city</v>
      </c>
      <c r="V75" s="3" t="str">
        <f aca="false">LOWER(M75)</f>
        <v>mww</v>
      </c>
      <c r="W75" s="3" t="n">
        <f aca="false">COUNTIFS($A$2:$A$1001,A75,$C$2:$C$1001,C75)</f>
        <v>1</v>
      </c>
      <c r="X75" s="3" t="str">
        <f aca="false">IF(W75&gt;1,"Duplicate","Unique")</f>
        <v>Unique</v>
      </c>
      <c r="Y75" s="3" t="str">
        <f aca="false">IF(B75&lt;6.5,"&lt;6.5",IF(B75&lt;7,"6.5–6.9",IF(B75&lt;7.5,"7.0–7.4",IF(B75&lt;8,"7.5–7.9","8.0+"))))</f>
        <v>6.5–6.9</v>
      </c>
      <c r="Z75" s="3" t="n">
        <f aca="false">IF(T75="","",YEAR(T75))</f>
        <v>2022</v>
      </c>
    </row>
    <row r="76" customFormat="false" ht="13.8" hidden="false" customHeight="false" outlineLevel="0" collapsed="false">
      <c r="A76" s="3" t="s">
        <v>243</v>
      </c>
      <c r="B76" s="3" t="n">
        <v>6.6</v>
      </c>
      <c r="C76" s="6" t="s">
        <v>244</v>
      </c>
      <c r="D76" s="3" t="n">
        <v>9</v>
      </c>
      <c r="E76" s="3" t="n">
        <v>8</v>
      </c>
      <c r="F76" s="3" t="s">
        <v>95</v>
      </c>
      <c r="G76" s="3" t="n">
        <v>0</v>
      </c>
      <c r="H76" s="3" t="n">
        <v>1012</v>
      </c>
      <c r="I76" s="3" t="s">
        <v>22</v>
      </c>
      <c r="J76" s="3" t="n">
        <v>0</v>
      </c>
      <c r="K76" s="3" t="n">
        <v>2.685</v>
      </c>
      <c r="L76" s="3" t="n">
        <v>13</v>
      </c>
      <c r="M76" s="3" t="s">
        <v>23</v>
      </c>
      <c r="N76" s="3" t="n">
        <v>13</v>
      </c>
      <c r="O76" s="3" t="n">
        <v>37.8167</v>
      </c>
      <c r="P76" s="3" t="n">
        <v>101.299</v>
      </c>
      <c r="Q76" s="3" t="s">
        <v>245</v>
      </c>
      <c r="R76" s="3" t="s">
        <v>80</v>
      </c>
      <c r="S76" s="3" t="s">
        <v>184</v>
      </c>
      <c r="T76" s="5" t="n">
        <f aca="false">IF(C76="","",DATE(VALUE(MID(C76,7,4)),VALUE(MID(C76,4,2)),VALUE(MID(C76,1,2)))+TIME(VALUE(MID(C76,12,2)),VALUE(MID(C76,15,2)),0))</f>
        <v>44568.7395833333</v>
      </c>
      <c r="U76" s="3" t="str">
        <f aca="false">IFERROR(IF(ISNUMBER(VALUE(TRIM(MID(A76,FIND("-",A76)+1,FIND("km",A76)-FIND("-",A76)-1)))),"Distance + direction + city","Named-region"),"Named-region")</f>
        <v>Named-region</v>
      </c>
      <c r="V76" s="3" t="str">
        <f aca="false">LOWER(M76)</f>
        <v>mww</v>
      </c>
      <c r="W76" s="3" t="n">
        <f aca="false">COUNTIFS($A$2:$A$1001,A76,$C$2:$C$1001,C76)</f>
        <v>1</v>
      </c>
      <c r="X76" s="3" t="str">
        <f aca="false">IF(W76&gt;1,"Duplicate","Unique")</f>
        <v>Unique</v>
      </c>
      <c r="Y76" s="3" t="str">
        <f aca="false">IF(B76&lt;6.5,"&lt;6.5",IF(B76&lt;7,"6.5–6.9",IF(B76&lt;7.5,"7.0–7.4",IF(B76&lt;8,"7.5–7.9","8.0+"))))</f>
        <v>6.5–6.9</v>
      </c>
      <c r="Z76" s="3" t="n">
        <f aca="false">IF(T76="","",YEAR(T76))</f>
        <v>2022</v>
      </c>
    </row>
    <row r="77" customFormat="false" ht="13.8" hidden="false" customHeight="false" outlineLevel="0" collapsed="false">
      <c r="A77" s="3" t="s">
        <v>246</v>
      </c>
      <c r="B77" s="3" t="n">
        <v>7.3</v>
      </c>
      <c r="C77" s="3" t="s">
        <v>247</v>
      </c>
      <c r="D77" s="3" t="n">
        <v>8</v>
      </c>
      <c r="E77" s="3" t="n">
        <v>7</v>
      </c>
      <c r="F77" s="3" t="s">
        <v>21</v>
      </c>
      <c r="G77" s="3" t="n">
        <v>0</v>
      </c>
      <c r="H77" s="3" t="n">
        <v>921</v>
      </c>
      <c r="I77" s="3" t="s">
        <v>22</v>
      </c>
      <c r="J77" s="3" t="n">
        <v>0</v>
      </c>
      <c r="K77" s="3" t="n">
        <v>3.713</v>
      </c>
      <c r="L77" s="3" t="n">
        <v>19</v>
      </c>
      <c r="M77" s="3" t="s">
        <v>23</v>
      </c>
      <c r="N77" s="3" t="n">
        <v>165.49</v>
      </c>
      <c r="O77" s="3" t="n">
        <v>-7.5924</v>
      </c>
      <c r="P77" s="3" t="n">
        <v>127.581</v>
      </c>
      <c r="Q77" s="3" t="s">
        <v>248</v>
      </c>
      <c r="R77" s="3"/>
      <c r="S77" s="3" t="s">
        <v>68</v>
      </c>
      <c r="T77" s="5" t="n">
        <f aca="false">IF(C77="","",DATE(VALUE(MID(C77,7,4)),VALUE(MID(C77,4,2)),VALUE(MID(C77,1,2)))+TIME(VALUE(MID(C77,12,2)),VALUE(MID(C77,15,2)),0))</f>
        <v>44559.7673611111</v>
      </c>
      <c r="U77" s="3" t="str">
        <f aca="false">IFERROR(IF(ISNUMBER(VALUE(TRIM(MID(A77,FIND("-",A77)+1,FIND("km",A77)-FIND("-",A77)-1)))),"Distance + direction + city","Named-region"),"Named-region")</f>
        <v>Distance + direction + city</v>
      </c>
      <c r="V77" s="3" t="str">
        <f aca="false">LOWER(M77)</f>
        <v>mww</v>
      </c>
      <c r="W77" s="3" t="n">
        <f aca="false">COUNTIFS($A$2:$A$1001,A77,$C$2:$C$1001,C77)</f>
        <v>1</v>
      </c>
      <c r="X77" s="3" t="str">
        <f aca="false">IF(W77&gt;1,"Duplicate","Unique")</f>
        <v>Unique</v>
      </c>
      <c r="Y77" s="3" t="str">
        <f aca="false">IF(B77&lt;6.5,"&lt;6.5",IF(B77&lt;7,"6.5–6.9",IF(B77&lt;7.5,"7.0–7.4",IF(B77&lt;8,"7.5–7.9","8.0+"))))</f>
        <v>7.0–7.4</v>
      </c>
      <c r="Z77" s="3" t="n">
        <f aca="false">IF(T77="","",YEAR(T77))</f>
        <v>2021</v>
      </c>
    </row>
    <row r="78" customFormat="false" ht="13.8" hidden="false" customHeight="false" outlineLevel="0" collapsed="false">
      <c r="A78" s="3" t="s">
        <v>249</v>
      </c>
      <c r="B78" s="3" t="n">
        <v>7.3</v>
      </c>
      <c r="C78" s="3" t="s">
        <v>250</v>
      </c>
      <c r="D78" s="3" t="n">
        <v>9</v>
      </c>
      <c r="E78" s="3" t="n">
        <v>5</v>
      </c>
      <c r="F78" s="3" t="s">
        <v>21</v>
      </c>
      <c r="G78" s="3" t="n">
        <v>1</v>
      </c>
      <c r="H78" s="3" t="n">
        <v>854</v>
      </c>
      <c r="I78" s="3" t="s">
        <v>22</v>
      </c>
      <c r="J78" s="3" t="n">
        <v>0</v>
      </c>
      <c r="K78" s="3" t="n">
        <v>1.025</v>
      </c>
      <c r="L78" s="3" t="n">
        <v>32</v>
      </c>
      <c r="M78" s="3" t="s">
        <v>23</v>
      </c>
      <c r="N78" s="3" t="n">
        <v>14.27</v>
      </c>
      <c r="O78" s="3" t="n">
        <v>-7.6033</v>
      </c>
      <c r="P78" s="3" t="n">
        <v>122.2</v>
      </c>
      <c r="Q78" s="3" t="s">
        <v>251</v>
      </c>
      <c r="R78" s="3" t="s">
        <v>80</v>
      </c>
      <c r="S78" s="3" t="s">
        <v>68</v>
      </c>
      <c r="T78" s="5" t="n">
        <f aca="false">IF(C78="","",DATE(VALUE(MID(C78,7,4)),VALUE(MID(C78,4,2)),VALUE(MID(C78,1,2)))+TIME(VALUE(MID(C78,12,2)),VALUE(MID(C78,15,2)),0))</f>
        <v>44544.1388888889</v>
      </c>
      <c r="U78" s="3" t="str">
        <f aca="false">IFERROR(IF(ISNUMBER(VALUE(TRIM(MID(A78,FIND("-",A78)+1,FIND("km",A78)-FIND("-",A78)-1)))),"Distance + direction + city","Named-region"),"Named-region")</f>
        <v>Named-region</v>
      </c>
      <c r="V78" s="3" t="str">
        <f aca="false">LOWER(M78)</f>
        <v>mww</v>
      </c>
      <c r="W78" s="3" t="n">
        <f aca="false">COUNTIFS($A$2:$A$1001,A78,$C$2:$C$1001,C78)</f>
        <v>1</v>
      </c>
      <c r="X78" s="3" t="str">
        <f aca="false">IF(W78&gt;1,"Duplicate","Unique")</f>
        <v>Unique</v>
      </c>
      <c r="Y78" s="3" t="str">
        <f aca="false">IF(B78&lt;6.5,"&lt;6.5",IF(B78&lt;7,"6.5–6.9",IF(B78&lt;7.5,"7.0–7.4",IF(B78&lt;8,"7.5–7.9","8.0+"))))</f>
        <v>7.0–7.4</v>
      </c>
      <c r="Z78" s="3" t="n">
        <f aca="false">IF(T78="","",YEAR(T78))</f>
        <v>2021</v>
      </c>
    </row>
    <row r="79" customFormat="false" ht="13.8" hidden="false" customHeight="false" outlineLevel="0" collapsed="false">
      <c r="A79" s="3" t="s">
        <v>252</v>
      </c>
      <c r="B79" s="3" t="n">
        <v>7.5</v>
      </c>
      <c r="C79" s="3" t="s">
        <v>253</v>
      </c>
      <c r="D79" s="3" t="n">
        <v>8</v>
      </c>
      <c r="E79" s="3" t="n">
        <v>8</v>
      </c>
      <c r="F79" s="3" t="s">
        <v>28</v>
      </c>
      <c r="G79" s="3" t="n">
        <v>1</v>
      </c>
      <c r="H79" s="3" t="n">
        <v>1094</v>
      </c>
      <c r="I79" s="3" t="s">
        <v>22</v>
      </c>
      <c r="J79" s="3" t="n">
        <v>0</v>
      </c>
      <c r="K79" s="3" t="n">
        <v>4.951</v>
      </c>
      <c r="L79" s="3" t="n">
        <v>40</v>
      </c>
      <c r="M79" s="3" t="s">
        <v>23</v>
      </c>
      <c r="N79" s="3" t="n">
        <v>126</v>
      </c>
      <c r="O79" s="3" t="n">
        <v>-4.4898</v>
      </c>
      <c r="P79" s="3" t="n">
        <v>-76.8461</v>
      </c>
      <c r="Q79" s="3" t="s">
        <v>226</v>
      </c>
      <c r="R79" s="3" t="s">
        <v>33</v>
      </c>
      <c r="S79" s="3" t="s">
        <v>199</v>
      </c>
      <c r="T79" s="5" t="n">
        <f aca="false">IF(C79="","",DATE(VALUE(MID(C79,7,4)),VALUE(MID(C79,4,2)),VALUE(MID(C79,1,2)))+TIME(VALUE(MID(C79,12,2)),VALUE(MID(C79,15,2)),0))</f>
        <v>44528.4527777778</v>
      </c>
      <c r="U79" s="3" t="str">
        <f aca="false">IFERROR(IF(ISNUMBER(VALUE(TRIM(MID(A79,FIND("-",A79)+1,FIND("km",A79)-FIND("-",A79)-1)))),"Distance + direction + city","Named-region"),"Named-region")</f>
        <v>Distance + direction + city</v>
      </c>
      <c r="V79" s="3" t="str">
        <f aca="false">LOWER(M79)</f>
        <v>mww</v>
      </c>
      <c r="W79" s="3" t="n">
        <f aca="false">COUNTIFS($A$2:$A$1001,A79,$C$2:$C$1001,C79)</f>
        <v>1</v>
      </c>
      <c r="X79" s="3" t="str">
        <f aca="false">IF(W79&gt;1,"Duplicate","Unique")</f>
        <v>Unique</v>
      </c>
      <c r="Y79" s="3" t="str">
        <f aca="false">IF(B79&lt;6.5,"&lt;6.5",IF(B79&lt;7,"6.5–6.9",IF(B79&lt;7.5,"7.0–7.4",IF(B79&lt;8,"7.5–7.9","8.0+"))))</f>
        <v>7.5–7.9</v>
      </c>
      <c r="Z79" s="3" t="n">
        <f aca="false">IF(T79="","",YEAR(T79))</f>
        <v>2021</v>
      </c>
    </row>
    <row r="80" customFormat="false" ht="13.8" hidden="false" customHeight="false" outlineLevel="0" collapsed="false">
      <c r="A80" s="3" t="s">
        <v>254</v>
      </c>
      <c r="B80" s="3" t="n">
        <v>6.6</v>
      </c>
      <c r="C80" s="6" t="s">
        <v>255</v>
      </c>
      <c r="D80" s="3" t="n">
        <v>7</v>
      </c>
      <c r="E80" s="3" t="n">
        <v>4</v>
      </c>
      <c r="F80" s="3" t="s">
        <v>21</v>
      </c>
      <c r="G80" s="3" t="n">
        <v>1</v>
      </c>
      <c r="H80" s="3" t="n">
        <v>688</v>
      </c>
      <c r="I80" s="3" t="s">
        <v>22</v>
      </c>
      <c r="J80" s="3" t="n">
        <v>0</v>
      </c>
      <c r="K80" s="3" t="n">
        <v>3.259</v>
      </c>
      <c r="L80" s="3" t="n">
        <v>15</v>
      </c>
      <c r="M80" s="3" t="s">
        <v>23</v>
      </c>
      <c r="N80" s="3" t="n">
        <v>12</v>
      </c>
      <c r="O80" s="3" t="n">
        <v>23.5414</v>
      </c>
      <c r="P80" s="3" t="n">
        <v>126.48</v>
      </c>
      <c r="Q80" s="3" t="s">
        <v>256</v>
      </c>
      <c r="R80" s="3"/>
      <c r="S80" s="3"/>
      <c r="T80" s="5" t="n">
        <f aca="false">IF(C80="","",DATE(VALUE(MID(C80,7,4)),VALUE(MID(C80,4,2)),VALUE(MID(C80,1,2)))+TIME(VALUE(MID(C80,12,2)),VALUE(MID(C80,15,2)),0))</f>
        <v>44510.65625</v>
      </c>
      <c r="U80" s="3" t="str">
        <f aca="false">IFERROR(IF(ISNUMBER(VALUE(TRIM(MID(A80,FIND("-",A80)+1,FIND("km",A80)-FIND("-",A80)-1)))),"Distance + direction + city","Named-region"),"Named-region")</f>
        <v>Distance + direction + city</v>
      </c>
      <c r="V80" s="3" t="str">
        <f aca="false">LOWER(M80)</f>
        <v>mww</v>
      </c>
      <c r="W80" s="3" t="n">
        <f aca="false">COUNTIFS($A$2:$A$1001,A80,$C$2:$C$1001,C80)</f>
        <v>1</v>
      </c>
      <c r="X80" s="3" t="str">
        <f aca="false">IF(W80&gt;1,"Duplicate","Unique")</f>
        <v>Unique</v>
      </c>
      <c r="Y80" s="3" t="str">
        <f aca="false">IF(B80&lt;6.5,"&lt;6.5",IF(B80&lt;7,"6.5–6.9",IF(B80&lt;7.5,"7.0–7.4",IF(B80&lt;8,"7.5–7.9","8.0+"))))</f>
        <v>6.5–6.9</v>
      </c>
      <c r="Z80" s="3" t="n">
        <f aca="false">IF(T80="","",YEAR(T80))</f>
        <v>2021</v>
      </c>
    </row>
    <row r="81" customFormat="false" ht="13.8" hidden="false" customHeight="false" outlineLevel="0" collapsed="false">
      <c r="A81" s="3" t="s">
        <v>257</v>
      </c>
      <c r="B81" s="3" t="n">
        <v>6.9</v>
      </c>
      <c r="C81" s="6" t="s">
        <v>258</v>
      </c>
      <c r="D81" s="3" t="n">
        <v>8</v>
      </c>
      <c r="E81" s="3" t="n">
        <v>6</v>
      </c>
      <c r="F81" s="3" t="s">
        <v>21</v>
      </c>
      <c r="G81" s="3" t="n">
        <v>1</v>
      </c>
      <c r="H81" s="3" t="n">
        <v>995</v>
      </c>
      <c r="I81" s="3" t="s">
        <v>259</v>
      </c>
      <c r="J81" s="3" t="n">
        <v>0</v>
      </c>
      <c r="K81" s="3" t="n">
        <v>0</v>
      </c>
      <c r="L81" s="3" t="n">
        <v>0</v>
      </c>
      <c r="M81" s="3" t="s">
        <v>23</v>
      </c>
      <c r="N81" s="3" t="n">
        <v>51.6</v>
      </c>
      <c r="O81" s="3" t="n">
        <v>56.2581</v>
      </c>
      <c r="P81" s="3" t="n">
        <v>-156.492</v>
      </c>
      <c r="Q81" s="3" t="s">
        <v>260</v>
      </c>
      <c r="R81" s="3" t="s">
        <v>164</v>
      </c>
      <c r="S81" s="3" t="s">
        <v>261</v>
      </c>
      <c r="T81" s="5" t="n">
        <f aca="false">IF(C81="","",DATE(VALUE(MID(C81,7,4)),VALUE(MID(C81,4,2)),VALUE(MID(C81,1,2)))+TIME(VALUE(MID(C81,12,2)),VALUE(MID(C81,15,2)),0))</f>
        <v>44480.3819444444</v>
      </c>
      <c r="U81" s="3" t="str">
        <f aca="false">IFERROR(IF(ISNUMBER(VALUE(TRIM(MID(A81,FIND("-",A81)+1,FIND("km",A81)-FIND("-",A81)-1)))),"Distance + direction + city","Named-region"),"Named-region")</f>
        <v>Distance + direction + city</v>
      </c>
      <c r="V81" s="3" t="str">
        <f aca="false">LOWER(M81)</f>
        <v>mww</v>
      </c>
      <c r="W81" s="3" t="n">
        <f aca="false">COUNTIFS($A$2:$A$1001,A81,$C$2:$C$1001,C81)</f>
        <v>1</v>
      </c>
      <c r="X81" s="3" t="str">
        <f aca="false">IF(W81&gt;1,"Duplicate","Unique")</f>
        <v>Unique</v>
      </c>
      <c r="Y81" s="3" t="str">
        <f aca="false">IF(B81&lt;6.5,"&lt;6.5",IF(B81&lt;7,"6.5–6.9",IF(B81&lt;7.5,"7.0–7.4",IF(B81&lt;8,"7.5–7.9","8.0+"))))</f>
        <v>6.5–6.9</v>
      </c>
      <c r="Z81" s="3" t="n">
        <f aca="false">IF(T81="","",YEAR(T81))</f>
        <v>2021</v>
      </c>
    </row>
    <row r="82" customFormat="false" ht="13.8" hidden="false" customHeight="false" outlineLevel="0" collapsed="false">
      <c r="A82" s="3" t="s">
        <v>262</v>
      </c>
      <c r="B82" s="3" t="n">
        <v>6.9</v>
      </c>
      <c r="C82" s="6" t="s">
        <v>263</v>
      </c>
      <c r="D82" s="3" t="n">
        <v>4</v>
      </c>
      <c r="E82" s="3" t="n">
        <v>3</v>
      </c>
      <c r="F82" s="3" t="s">
        <v>21</v>
      </c>
      <c r="G82" s="3" t="n">
        <v>1</v>
      </c>
      <c r="H82" s="3" t="n">
        <v>740</v>
      </c>
      <c r="I82" s="3" t="s">
        <v>22</v>
      </c>
      <c r="J82" s="3" t="n">
        <v>0</v>
      </c>
      <c r="K82" s="3" t="n">
        <v>4.778</v>
      </c>
      <c r="L82" s="3" t="n">
        <v>31</v>
      </c>
      <c r="M82" s="3" t="s">
        <v>23</v>
      </c>
      <c r="N82" s="3" t="n">
        <v>535</v>
      </c>
      <c r="O82" s="3" t="n">
        <v>-21.1704</v>
      </c>
      <c r="P82" s="3" t="n">
        <v>174.54</v>
      </c>
      <c r="Q82" s="3" t="s">
        <v>264</v>
      </c>
      <c r="R82" s="3"/>
      <c r="S82" s="3"/>
      <c r="T82" s="5" t="n">
        <f aca="false">IF(C82="","",DATE(VALUE(MID(C82,7,4)),VALUE(MID(C82,4,2)),VALUE(MID(C82,1,2)))+TIME(VALUE(MID(C82,12,2)),VALUE(MID(C82,15,2)),0))</f>
        <v>44478.4569444444</v>
      </c>
      <c r="U82" s="3" t="str">
        <f aca="false">IFERROR(IF(ISNUMBER(VALUE(TRIM(MID(A82,FIND("-",A82)+1,FIND("km",A82)-FIND("-",A82)-1)))),"Distance + direction + city","Named-region"),"Named-region")</f>
        <v>Named-region</v>
      </c>
      <c r="V82" s="3" t="str">
        <f aca="false">LOWER(M82)</f>
        <v>mww</v>
      </c>
      <c r="W82" s="3" t="n">
        <f aca="false">COUNTIFS($A$2:$A$1001,A82,$C$2:$C$1001,C82)</f>
        <v>1</v>
      </c>
      <c r="X82" s="3" t="str">
        <f aca="false">IF(W82&gt;1,"Duplicate","Unique")</f>
        <v>Unique</v>
      </c>
      <c r="Y82" s="3" t="str">
        <f aca="false">IF(B82&lt;6.5,"&lt;6.5",IF(B82&lt;7,"6.5–6.9",IF(B82&lt;7.5,"7.0–7.4",IF(B82&lt;8,"7.5–7.9","8.0+"))))</f>
        <v>6.5–6.9</v>
      </c>
      <c r="Z82" s="3" t="n">
        <f aca="false">IF(T82="","",YEAR(T82))</f>
        <v>2021</v>
      </c>
    </row>
    <row r="83" customFormat="false" ht="13.8" hidden="false" customHeight="false" outlineLevel="0" collapsed="false">
      <c r="A83" s="3" t="s">
        <v>265</v>
      </c>
      <c r="B83" s="3" t="n">
        <v>7.3</v>
      </c>
      <c r="C83" s="6" t="s">
        <v>266</v>
      </c>
      <c r="D83" s="3" t="n">
        <v>4</v>
      </c>
      <c r="E83" s="3" t="n">
        <v>4</v>
      </c>
      <c r="F83" s="3" t="s">
        <v>21</v>
      </c>
      <c r="G83" s="3" t="n">
        <v>1</v>
      </c>
      <c r="H83" s="3" t="n">
        <v>826</v>
      </c>
      <c r="I83" s="3" t="s">
        <v>22</v>
      </c>
      <c r="J83" s="3" t="n">
        <v>0</v>
      </c>
      <c r="K83" s="3" t="n">
        <v>4.493</v>
      </c>
      <c r="L83" s="3" t="n">
        <v>32</v>
      </c>
      <c r="M83" s="3" t="s">
        <v>23</v>
      </c>
      <c r="N83" s="3" t="n">
        <v>527</v>
      </c>
      <c r="O83" s="3" t="n">
        <v>-21.1036</v>
      </c>
      <c r="P83" s="3" t="n">
        <v>174.895</v>
      </c>
      <c r="Q83" s="3" t="s">
        <v>264</v>
      </c>
      <c r="R83" s="3"/>
      <c r="S83" s="3"/>
      <c r="T83" s="5" t="n">
        <f aca="false">IF(C83="","",DATE(VALUE(MID(C83,7,4)),VALUE(MID(C83,4,2)),VALUE(MID(C83,1,2)))+TIME(VALUE(MID(C83,12,2)),VALUE(MID(C83,15,2)),0))</f>
        <v>44471.2701388889</v>
      </c>
      <c r="U83" s="3" t="str">
        <f aca="false">IFERROR(IF(ISNUMBER(VALUE(TRIM(MID(A83,FIND("-",A83)+1,FIND("km",A83)-FIND("-",A83)-1)))),"Distance + direction + city","Named-region"),"Named-region")</f>
        <v>Named-region</v>
      </c>
      <c r="V83" s="3" t="str">
        <f aca="false">LOWER(M83)</f>
        <v>mww</v>
      </c>
      <c r="W83" s="3" t="n">
        <f aca="false">COUNTIFS($A$2:$A$1001,A83,$C$2:$C$1001,C83)</f>
        <v>1</v>
      </c>
      <c r="X83" s="3" t="str">
        <f aca="false">IF(W83&gt;1,"Duplicate","Unique")</f>
        <v>Unique</v>
      </c>
      <c r="Y83" s="3" t="str">
        <f aca="false">IF(B83&lt;6.5,"&lt;6.5",IF(B83&lt;7,"6.5–6.9",IF(B83&lt;7.5,"7.0–7.4",IF(B83&lt;8,"7.5–7.9","8.0+"))))</f>
        <v>7.0–7.4</v>
      </c>
      <c r="Z83" s="3" t="n">
        <f aca="false">IF(T83="","",YEAR(T83))</f>
        <v>2021</v>
      </c>
    </row>
    <row r="84" customFormat="false" ht="13.8" hidden="false" customHeight="false" outlineLevel="0" collapsed="false">
      <c r="A84" s="3" t="s">
        <v>267</v>
      </c>
      <c r="B84" s="3" t="n">
        <v>6.5</v>
      </c>
      <c r="C84" s="3" t="s">
        <v>268</v>
      </c>
      <c r="D84" s="3" t="n">
        <v>7</v>
      </c>
      <c r="E84" s="3" t="n">
        <v>5</v>
      </c>
      <c r="F84" s="3" t="s">
        <v>21</v>
      </c>
      <c r="G84" s="3" t="n">
        <v>1</v>
      </c>
      <c r="H84" s="3" t="n">
        <v>684</v>
      </c>
      <c r="I84" s="3" t="s">
        <v>22</v>
      </c>
      <c r="J84" s="3" t="n">
        <v>0</v>
      </c>
      <c r="K84" s="3" t="n">
        <v>0.993</v>
      </c>
      <c r="L84" s="3" t="n">
        <v>114</v>
      </c>
      <c r="M84" s="3" t="s">
        <v>23</v>
      </c>
      <c r="N84" s="3" t="n">
        <v>21</v>
      </c>
      <c r="O84" s="3" t="n">
        <v>12.1598</v>
      </c>
      <c r="P84" s="3" t="n">
        <v>-87.8542</v>
      </c>
      <c r="Q84" s="3" t="s">
        <v>269</v>
      </c>
      <c r="R84" s="3"/>
      <c r="S84" s="3"/>
      <c r="T84" s="5" t="n">
        <f aca="false">IF(C84="","",DATE(VALUE(MID(C84,7,4)),VALUE(MID(C84,4,2)),VALUE(MID(C84,1,2)))+TIME(VALUE(MID(C84,12,2)),VALUE(MID(C84,15,2)),0))</f>
        <v>44461.4145833333</v>
      </c>
      <c r="U84" s="3" t="str">
        <f aca="false">IFERROR(IF(ISNUMBER(VALUE(TRIM(MID(A84,FIND("-",A84)+1,FIND("km",A84)-FIND("-",A84)-1)))),"Distance + direction + city","Named-region"),"Named-region")</f>
        <v>Distance + direction + city</v>
      </c>
      <c r="V84" s="3" t="str">
        <f aca="false">LOWER(M84)</f>
        <v>mww</v>
      </c>
      <c r="W84" s="3" t="n">
        <f aca="false">COUNTIFS($A$2:$A$1001,A84,$C$2:$C$1001,C84)</f>
        <v>1</v>
      </c>
      <c r="X84" s="3" t="str">
        <f aca="false">IF(W84&gt;1,"Duplicate","Unique")</f>
        <v>Unique</v>
      </c>
      <c r="Y84" s="3" t="str">
        <f aca="false">IF(B84&lt;6.5,"&lt;6.5",IF(B84&lt;7,"6.5–6.9",IF(B84&lt;7.5,"7.0–7.4",IF(B84&lt;8,"7.5–7.9","8.0+"))))</f>
        <v>6.5–6.9</v>
      </c>
      <c r="Z84" s="3" t="n">
        <f aca="false">IF(T84="","",YEAR(T84))</f>
        <v>2021</v>
      </c>
    </row>
    <row r="85" customFormat="false" ht="13.8" hidden="false" customHeight="false" outlineLevel="0" collapsed="false">
      <c r="A85" s="3" t="s">
        <v>270</v>
      </c>
      <c r="B85" s="3" t="n">
        <v>7</v>
      </c>
      <c r="C85" s="6" t="s">
        <v>271</v>
      </c>
      <c r="D85" s="3" t="n">
        <v>8</v>
      </c>
      <c r="E85" s="3" t="n">
        <v>8</v>
      </c>
      <c r="F85" s="3" t="s">
        <v>121</v>
      </c>
      <c r="G85" s="3" t="n">
        <v>1</v>
      </c>
      <c r="H85" s="3" t="n">
        <v>2504</v>
      </c>
      <c r="I85" s="3" t="s">
        <v>22</v>
      </c>
      <c r="J85" s="3" t="n">
        <v>0</v>
      </c>
      <c r="K85" s="3" t="n">
        <v>0.07</v>
      </c>
      <c r="L85" s="3" t="n">
        <v>43</v>
      </c>
      <c r="M85" s="3" t="s">
        <v>23</v>
      </c>
      <c r="N85" s="3" t="n">
        <v>20</v>
      </c>
      <c r="O85" s="3" t="n">
        <v>16.9502</v>
      </c>
      <c r="P85" s="3" t="n">
        <v>-99.7877</v>
      </c>
      <c r="Q85" s="3" t="s">
        <v>272</v>
      </c>
      <c r="R85" s="3" t="s">
        <v>164</v>
      </c>
      <c r="S85" s="3" t="s">
        <v>165</v>
      </c>
      <c r="T85" s="5" t="n">
        <f aca="false">IF(C85="","",DATE(VALUE(MID(C85,7,4)),VALUE(MID(C85,4,2)),VALUE(MID(C85,1,2)))+TIME(VALUE(MID(C85,12,2)),VALUE(MID(C85,15,2)),0))</f>
        <v>44447.0743055556</v>
      </c>
      <c r="U85" s="3" t="str">
        <f aca="false">IFERROR(IF(ISNUMBER(VALUE(TRIM(MID(A85,FIND("-",A85)+1,FIND("km",A85)-FIND("-",A85)-1)))),"Distance + direction + city","Named-region"),"Named-region")</f>
        <v>Named-region</v>
      </c>
      <c r="V85" s="3" t="str">
        <f aca="false">LOWER(M85)</f>
        <v>mww</v>
      </c>
      <c r="W85" s="3" t="n">
        <f aca="false">COUNTIFS($A$2:$A$1001,A85,$C$2:$C$1001,C85)</f>
        <v>1</v>
      </c>
      <c r="X85" s="3" t="str">
        <f aca="false">IF(W85&gt;1,"Duplicate","Unique")</f>
        <v>Unique</v>
      </c>
      <c r="Y85" s="3" t="str">
        <f aca="false">IF(B85&lt;6.5,"&lt;6.5",IF(B85&lt;7,"6.5–6.9",IF(B85&lt;7.5,"7.0–7.4",IF(B85&lt;8,"7.5–7.9","8.0+"))))</f>
        <v>7.0–7.4</v>
      </c>
      <c r="Z85" s="3" t="n">
        <f aca="false">IF(T85="","",YEAR(T85))</f>
        <v>2021</v>
      </c>
    </row>
    <row r="86" customFormat="false" ht="13.8" hidden="false" customHeight="false" outlineLevel="0" collapsed="false">
      <c r="A86" s="3" t="s">
        <v>273</v>
      </c>
      <c r="B86" s="3" t="n">
        <v>7.1</v>
      </c>
      <c r="C86" s="3" t="s">
        <v>274</v>
      </c>
      <c r="D86" s="3" t="n">
        <v>1</v>
      </c>
      <c r="E86" s="3" t="n">
        <v>4</v>
      </c>
      <c r="F86" s="3" t="s">
        <v>21</v>
      </c>
      <c r="G86" s="3" t="n">
        <v>1</v>
      </c>
      <c r="H86" s="3" t="n">
        <v>776</v>
      </c>
      <c r="I86" s="3" t="s">
        <v>22</v>
      </c>
      <c r="J86" s="3" t="n">
        <v>0</v>
      </c>
      <c r="K86" s="3" t="n">
        <v>9.799</v>
      </c>
      <c r="L86" s="3" t="n">
        <v>32</v>
      </c>
      <c r="M86" s="3" t="s">
        <v>23</v>
      </c>
      <c r="N86" s="3" t="n">
        <v>6</v>
      </c>
      <c r="O86" s="3" t="n">
        <v>-60.3026</v>
      </c>
      <c r="P86" s="3" t="n">
        <v>-24.9992</v>
      </c>
      <c r="Q86" s="3" t="s">
        <v>275</v>
      </c>
      <c r="R86" s="3"/>
      <c r="S86" s="3" t="s">
        <v>276</v>
      </c>
      <c r="T86" s="5" t="n">
        <f aca="false">IF(C86="","",DATE(VALUE(MID(C86,7,4)),VALUE(MID(C86,4,2)),VALUE(MID(C86,1,2)))+TIME(VALUE(MID(C86,12,2)),VALUE(MID(C86,15,2)),0))</f>
        <v>44430.8979166667</v>
      </c>
      <c r="U86" s="3" t="str">
        <f aca="false">IFERROR(IF(ISNUMBER(VALUE(TRIM(MID(A86,FIND("-",A86)+1,FIND("km",A86)-FIND("-",A86)-1)))),"Distance + direction + city","Named-region"),"Named-region")</f>
        <v>Named-region</v>
      </c>
      <c r="V86" s="3" t="str">
        <f aca="false">LOWER(M86)</f>
        <v>mww</v>
      </c>
      <c r="W86" s="3" t="n">
        <f aca="false">COUNTIFS($A$2:$A$1001,A86,$C$2:$C$1001,C86)</f>
        <v>1</v>
      </c>
      <c r="X86" s="3" t="str">
        <f aca="false">IF(W86&gt;1,"Duplicate","Unique")</f>
        <v>Unique</v>
      </c>
      <c r="Y86" s="3" t="str">
        <f aca="false">IF(B86&lt;6.5,"&lt;6.5",IF(B86&lt;7,"6.5–6.9",IF(B86&lt;7.5,"7.0–7.4",IF(B86&lt;8,"7.5–7.9","8.0+"))))</f>
        <v>7.0–7.4</v>
      </c>
      <c r="Z86" s="3" t="n">
        <f aca="false">IF(T86="","",YEAR(T86))</f>
        <v>2021</v>
      </c>
    </row>
    <row r="87" customFormat="false" ht="13.8" hidden="false" customHeight="false" outlineLevel="0" collapsed="false">
      <c r="A87" s="3" t="s">
        <v>277</v>
      </c>
      <c r="B87" s="3" t="n">
        <v>6.6</v>
      </c>
      <c r="C87" s="3" t="s">
        <v>278</v>
      </c>
      <c r="D87" s="3" t="n">
        <v>1</v>
      </c>
      <c r="E87" s="3" t="n">
        <v>3</v>
      </c>
      <c r="F87" s="3" t="s">
        <v>21</v>
      </c>
      <c r="G87" s="3" t="n">
        <v>1</v>
      </c>
      <c r="H87" s="3" t="n">
        <v>670</v>
      </c>
      <c r="I87" s="3" t="s">
        <v>22</v>
      </c>
      <c r="J87" s="3" t="n">
        <v>0</v>
      </c>
      <c r="K87" s="3" t="n">
        <v>8.865</v>
      </c>
      <c r="L87" s="3" t="n">
        <v>19</v>
      </c>
      <c r="M87" s="3" t="s">
        <v>23</v>
      </c>
      <c r="N87" s="3" t="n">
        <v>7</v>
      </c>
      <c r="O87" s="3" t="n">
        <v>-60.1023</v>
      </c>
      <c r="P87" s="3" t="n">
        <v>-24.4608</v>
      </c>
      <c r="Q87" s="3" t="s">
        <v>275</v>
      </c>
      <c r="R87" s="3"/>
      <c r="S87" s="3" t="s">
        <v>276</v>
      </c>
      <c r="T87" s="5" t="n">
        <f aca="false">IF(C87="","",DATE(VALUE(MID(C87,7,4)),VALUE(MID(C87,4,2)),VALUE(MID(C87,1,2)))+TIME(VALUE(MID(C87,12,2)),VALUE(MID(C87,15,2)),0))</f>
        <v>44430.03125</v>
      </c>
      <c r="U87" s="3" t="str">
        <f aca="false">IFERROR(IF(ISNUMBER(VALUE(TRIM(MID(A87,FIND("-",A87)+1,FIND("km",A87)-FIND("-",A87)-1)))),"Distance + direction + city","Named-region"),"Named-region")</f>
        <v>Named-region</v>
      </c>
      <c r="V87" s="3" t="str">
        <f aca="false">LOWER(M87)</f>
        <v>mww</v>
      </c>
      <c r="W87" s="3" t="n">
        <f aca="false">COUNTIFS($A$2:$A$1001,A87,$C$2:$C$1001,C87)</f>
        <v>1</v>
      </c>
      <c r="X87" s="3" t="str">
        <f aca="false">IF(W87&gt;1,"Duplicate","Unique")</f>
        <v>Unique</v>
      </c>
      <c r="Y87" s="3" t="str">
        <f aca="false">IF(B87&lt;6.5,"&lt;6.5",IF(B87&lt;7,"6.5–6.9",IF(B87&lt;7.5,"7.0–7.4",IF(B87&lt;8,"7.5–7.9","8.0+"))))</f>
        <v>6.5–6.9</v>
      </c>
      <c r="Z87" s="3" t="n">
        <f aca="false">IF(T87="","",YEAR(T87))</f>
        <v>2021</v>
      </c>
    </row>
    <row r="88" customFormat="false" ht="13.8" hidden="false" customHeight="false" outlineLevel="0" collapsed="false">
      <c r="A88" s="3" t="s">
        <v>279</v>
      </c>
      <c r="B88" s="3" t="n">
        <v>6.9</v>
      </c>
      <c r="C88" s="3" t="s">
        <v>280</v>
      </c>
      <c r="D88" s="3" t="n">
        <v>8</v>
      </c>
      <c r="E88" s="3" t="n">
        <v>7</v>
      </c>
      <c r="F88" s="3" t="s">
        <v>21</v>
      </c>
      <c r="G88" s="3" t="n">
        <v>1</v>
      </c>
      <c r="H88" s="3" t="n">
        <v>741</v>
      </c>
      <c r="I88" s="3" t="s">
        <v>22</v>
      </c>
      <c r="J88" s="3" t="n">
        <v>0</v>
      </c>
      <c r="K88" s="3" t="n">
        <v>0.579</v>
      </c>
      <c r="L88" s="3" t="n">
        <v>54</v>
      </c>
      <c r="M88" s="3" t="s">
        <v>23</v>
      </c>
      <c r="N88" s="3" t="n">
        <v>93</v>
      </c>
      <c r="O88" s="3" t="n">
        <v>-14.892</v>
      </c>
      <c r="P88" s="3" t="n">
        <v>167.085</v>
      </c>
      <c r="Q88" s="3" t="s">
        <v>104</v>
      </c>
      <c r="R88" s="3" t="s">
        <v>139</v>
      </c>
      <c r="S88" s="3" t="s">
        <v>25</v>
      </c>
      <c r="T88" s="5" t="n">
        <f aca="false">IF(C88="","",DATE(VALUE(MID(C88,7,4)),VALUE(MID(C88,4,2)),VALUE(MID(C88,1,2)))+TIME(VALUE(MID(C88,12,2)),VALUE(MID(C88,15,2)),0))</f>
        <v>44426.4236111111</v>
      </c>
      <c r="U88" s="3" t="str">
        <f aca="false">IFERROR(IF(ISNUMBER(VALUE(TRIM(MID(A88,FIND("-",A88)+1,FIND("km",A88)-FIND("-",A88)-1)))),"Distance + direction + city","Named-region"),"Named-region")</f>
        <v>Distance + direction + city</v>
      </c>
      <c r="V88" s="3" t="str">
        <f aca="false">LOWER(M88)</f>
        <v>mww</v>
      </c>
      <c r="W88" s="3" t="n">
        <f aca="false">COUNTIFS($A$2:$A$1001,A88,$C$2:$C$1001,C88)</f>
        <v>1</v>
      </c>
      <c r="X88" s="3" t="str">
        <f aca="false">IF(W88&gt;1,"Duplicate","Unique")</f>
        <v>Unique</v>
      </c>
      <c r="Y88" s="3" t="str">
        <f aca="false">IF(B88&lt;6.5,"&lt;6.5",IF(B88&lt;7,"6.5–6.9",IF(B88&lt;7.5,"7.0–7.4",IF(B88&lt;8,"7.5–7.9","8.0+"))))</f>
        <v>6.5–6.9</v>
      </c>
      <c r="Z88" s="3" t="n">
        <f aca="false">IF(T88="","",YEAR(T88))</f>
        <v>2021</v>
      </c>
    </row>
    <row r="89" customFormat="false" ht="13.8" hidden="false" customHeight="false" outlineLevel="0" collapsed="false">
      <c r="A89" s="3" t="s">
        <v>281</v>
      </c>
      <c r="B89" s="3" t="n">
        <v>6.9</v>
      </c>
      <c r="C89" s="3" t="s">
        <v>282</v>
      </c>
      <c r="D89" s="3" t="n">
        <v>6</v>
      </c>
      <c r="E89" s="3" t="n">
        <v>4</v>
      </c>
      <c r="F89" s="3" t="s">
        <v>21</v>
      </c>
      <c r="G89" s="3" t="n">
        <v>1</v>
      </c>
      <c r="H89" s="3" t="n">
        <v>734</v>
      </c>
      <c r="I89" s="3" t="s">
        <v>22</v>
      </c>
      <c r="J89" s="3" t="n">
        <v>0</v>
      </c>
      <c r="K89" s="3" t="n">
        <v>8.363</v>
      </c>
      <c r="L89" s="3" t="n">
        <v>48</v>
      </c>
      <c r="M89" s="3" t="s">
        <v>23</v>
      </c>
      <c r="N89" s="3" t="n">
        <v>16.7</v>
      </c>
      <c r="O89" s="3" t="n">
        <v>-58.3814</v>
      </c>
      <c r="P89" s="3" t="n">
        <v>-23.3318</v>
      </c>
      <c r="Q89" s="3" t="s">
        <v>275</v>
      </c>
      <c r="R89" s="3"/>
      <c r="S89" s="3"/>
      <c r="T89" s="5" t="n">
        <f aca="false">IF(C89="","",DATE(VALUE(MID(C89,7,4)),VALUE(MID(C89,4,2)),VALUE(MID(C89,1,2)))+TIME(VALUE(MID(C89,12,2)),VALUE(MID(C89,15,2)),0))</f>
        <v>44424.4652777778</v>
      </c>
      <c r="U89" s="3" t="str">
        <f aca="false">IFERROR(IF(ISNUMBER(VALUE(TRIM(MID(A89,FIND("-",A89)+1,FIND("km",A89)-FIND("-",A89)-1)))),"Distance + direction + city","Named-region"),"Named-region")</f>
        <v>Named-region</v>
      </c>
      <c r="V89" s="3" t="str">
        <f aca="false">LOWER(M89)</f>
        <v>mww</v>
      </c>
      <c r="W89" s="3" t="n">
        <f aca="false">COUNTIFS($A$2:$A$1001,A89,$C$2:$C$1001,C89)</f>
        <v>1</v>
      </c>
      <c r="X89" s="3" t="str">
        <f aca="false">IF(W89&gt;1,"Duplicate","Unique")</f>
        <v>Unique</v>
      </c>
      <c r="Y89" s="3" t="str">
        <f aca="false">IF(B89&lt;6.5,"&lt;6.5",IF(B89&lt;7,"6.5–6.9",IF(B89&lt;7.5,"7.0–7.4",IF(B89&lt;8,"7.5–7.9","8.0+"))))</f>
        <v>6.5–6.9</v>
      </c>
      <c r="Z89" s="3" t="n">
        <f aca="false">IF(T89="","",YEAR(T89))</f>
        <v>2021</v>
      </c>
    </row>
    <row r="90" customFormat="false" ht="13.8" hidden="false" customHeight="false" outlineLevel="0" collapsed="false">
      <c r="A90" s="3" t="s">
        <v>283</v>
      </c>
      <c r="B90" s="3" t="n">
        <v>7.2</v>
      </c>
      <c r="C90" s="3" t="s">
        <v>284</v>
      </c>
      <c r="D90" s="3" t="n">
        <v>9</v>
      </c>
      <c r="E90" s="3" t="n">
        <v>8</v>
      </c>
      <c r="F90" s="3" t="s">
        <v>121</v>
      </c>
      <c r="G90" s="3" t="n">
        <v>1</v>
      </c>
      <c r="H90" s="3" t="n">
        <v>2331</v>
      </c>
      <c r="I90" s="3" t="s">
        <v>22</v>
      </c>
      <c r="J90" s="3" t="n">
        <v>0</v>
      </c>
      <c r="K90" s="3" t="n">
        <v>1.178</v>
      </c>
      <c r="L90" s="3" t="n">
        <v>23</v>
      </c>
      <c r="M90" s="3" t="s">
        <v>23</v>
      </c>
      <c r="N90" s="3" t="n">
        <v>10</v>
      </c>
      <c r="O90" s="3" t="n">
        <v>18.3521</v>
      </c>
      <c r="P90" s="3" t="n">
        <v>-73.4804</v>
      </c>
      <c r="Q90" s="3" t="s">
        <v>285</v>
      </c>
      <c r="R90" s="3" t="s">
        <v>164</v>
      </c>
      <c r="S90" s="3" t="s">
        <v>286</v>
      </c>
      <c r="T90" s="5" t="n">
        <f aca="false">IF(C90="","",DATE(VALUE(MID(C90,7,4)),VALUE(MID(C90,4,2)),VALUE(MID(C90,1,2)))+TIME(VALUE(MID(C90,12,2)),VALUE(MID(C90,15,2)),0))</f>
        <v>44422.5201388889</v>
      </c>
      <c r="U90" s="3" t="str">
        <f aca="false">IFERROR(IF(ISNUMBER(VALUE(TRIM(MID(A90,FIND("-",A90)+1,FIND("km",A90)-FIND("-",A90)-1)))),"Distance + direction + city","Named-region"),"Named-region")</f>
        <v>Named-region</v>
      </c>
      <c r="V90" s="3" t="str">
        <f aca="false">LOWER(M90)</f>
        <v>mww</v>
      </c>
      <c r="W90" s="3" t="n">
        <f aca="false">COUNTIFS($A$2:$A$1001,A90,$C$2:$C$1001,C90)</f>
        <v>1</v>
      </c>
      <c r="X90" s="3" t="str">
        <f aca="false">IF(W90&gt;1,"Duplicate","Unique")</f>
        <v>Unique</v>
      </c>
      <c r="Y90" s="3" t="str">
        <f aca="false">IF(B90&lt;6.5,"&lt;6.5",IF(B90&lt;7,"6.5–6.9",IF(B90&lt;7.5,"7.0–7.4",IF(B90&lt;8,"7.5–7.9","8.0+"))))</f>
        <v>7.0–7.4</v>
      </c>
      <c r="Z90" s="3" t="n">
        <f aca="false">IF(T90="","",YEAR(T90))</f>
        <v>2021</v>
      </c>
    </row>
    <row r="91" customFormat="false" ht="13.8" hidden="false" customHeight="false" outlineLevel="0" collapsed="false">
      <c r="A91" s="3" t="s">
        <v>287</v>
      </c>
      <c r="B91" s="3" t="n">
        <v>6.9</v>
      </c>
      <c r="C91" s="3" t="s">
        <v>288</v>
      </c>
      <c r="D91" s="3" t="n">
        <v>5</v>
      </c>
      <c r="E91" s="3" t="n">
        <v>4</v>
      </c>
      <c r="F91" s="3" t="s">
        <v>21</v>
      </c>
      <c r="G91" s="3" t="n">
        <v>1</v>
      </c>
      <c r="H91" s="3" t="n">
        <v>738</v>
      </c>
      <c r="I91" s="3" t="s">
        <v>259</v>
      </c>
      <c r="J91" s="3" t="n">
        <v>0</v>
      </c>
      <c r="K91" s="3" t="n">
        <v>0</v>
      </c>
      <c r="L91" s="3" t="n">
        <v>0</v>
      </c>
      <c r="M91" s="3" t="s">
        <v>23</v>
      </c>
      <c r="N91" s="3" t="n">
        <v>33.3</v>
      </c>
      <c r="O91" s="3" t="n">
        <v>55.2364</v>
      </c>
      <c r="P91" s="3" t="n">
        <v>-157.707</v>
      </c>
      <c r="Q91" s="3" t="s">
        <v>289</v>
      </c>
      <c r="R91" s="3"/>
      <c r="S91" s="3"/>
      <c r="T91" s="5" t="n">
        <f aca="false">IF(C91="","",DATE(VALUE(MID(C91,7,4)),VALUE(MID(C91,4,2)),VALUE(MID(C91,1,2)))+TIME(VALUE(MID(C91,12,2)),VALUE(MID(C91,15,2)),0))</f>
        <v>44422.4979166667</v>
      </c>
      <c r="U91" s="3" t="str">
        <f aca="false">IFERROR(IF(ISNUMBER(VALUE(TRIM(MID(A91,FIND("-",A91)+1,FIND("km",A91)-FIND("-",A91)-1)))),"Distance + direction + city","Named-region"),"Named-region")</f>
        <v>Distance + direction + city</v>
      </c>
      <c r="V91" s="3" t="str">
        <f aca="false">LOWER(M91)</f>
        <v>mww</v>
      </c>
      <c r="W91" s="3" t="n">
        <f aca="false">COUNTIFS($A$2:$A$1001,A91,$C$2:$C$1001,C91)</f>
        <v>1</v>
      </c>
      <c r="X91" s="3" t="str">
        <f aca="false">IF(W91&gt;1,"Duplicate","Unique")</f>
        <v>Unique</v>
      </c>
      <c r="Y91" s="3" t="str">
        <f aca="false">IF(B91&lt;6.5,"&lt;6.5",IF(B91&lt;7,"6.5–6.9",IF(B91&lt;7.5,"7.0–7.4",IF(B91&lt;8,"7.5–7.9","8.0+"))))</f>
        <v>6.5–6.9</v>
      </c>
      <c r="Z91" s="3" t="n">
        <f aca="false">IF(T91="","",YEAR(T91))</f>
        <v>2021</v>
      </c>
    </row>
    <row r="92" customFormat="false" ht="13.8" hidden="false" customHeight="false" outlineLevel="0" collapsed="false">
      <c r="A92" s="3" t="s">
        <v>290</v>
      </c>
      <c r="B92" s="3" t="n">
        <v>6.9</v>
      </c>
      <c r="C92" s="3" t="s">
        <v>288</v>
      </c>
      <c r="D92" s="3" t="n">
        <v>5</v>
      </c>
      <c r="E92" s="3" t="n">
        <v>4</v>
      </c>
      <c r="F92" s="3" t="s">
        <v>21</v>
      </c>
      <c r="G92" s="3" t="n">
        <v>1</v>
      </c>
      <c r="H92" s="3" t="n">
        <v>738</v>
      </c>
      <c r="I92" s="3" t="s">
        <v>22</v>
      </c>
      <c r="J92" s="3" t="n">
        <v>0</v>
      </c>
      <c r="K92" s="3" t="n">
        <v>1.173</v>
      </c>
      <c r="L92" s="3" t="n">
        <v>36</v>
      </c>
      <c r="M92" s="3" t="s">
        <v>23</v>
      </c>
      <c r="N92" s="3" t="n">
        <v>20.74</v>
      </c>
      <c r="O92" s="3" t="n">
        <v>55.2657</v>
      </c>
      <c r="P92" s="3" t="n">
        <v>-157.68</v>
      </c>
      <c r="Q92" s="3" t="s">
        <v>289</v>
      </c>
      <c r="R92" s="3"/>
      <c r="S92" s="3"/>
      <c r="T92" s="5" t="n">
        <f aca="false">IF(C92="","",DATE(VALUE(MID(C92,7,4)),VALUE(MID(C92,4,2)),VALUE(MID(C92,1,2)))+TIME(VALUE(MID(C92,12,2)),VALUE(MID(C92,15,2)),0))</f>
        <v>44422.4979166667</v>
      </c>
      <c r="U92" s="3" t="str">
        <f aca="false">IFERROR(IF(ISNUMBER(VALUE(TRIM(MID(A92,FIND("-",A92)+1,FIND("km",A92)-FIND("-",A92)-1)))),"Distance + direction + city","Named-region"),"Named-region")</f>
        <v>Distance + direction + city</v>
      </c>
      <c r="V92" s="3" t="str">
        <f aca="false">LOWER(M92)</f>
        <v>mww</v>
      </c>
      <c r="W92" s="3" t="n">
        <f aca="false">COUNTIFS($A$2:$A$1001,A92,$C$2:$C$1001,C92)</f>
        <v>1</v>
      </c>
      <c r="X92" s="3" t="str">
        <f aca="false">IF(W92&gt;1,"Duplicate","Unique")</f>
        <v>Unique</v>
      </c>
      <c r="Y92" s="3" t="str">
        <f aca="false">IF(B92&lt;6.5,"&lt;6.5",IF(B92&lt;7,"6.5–6.9",IF(B92&lt;7.5,"7.0–7.4",IF(B92&lt;8,"7.5–7.9","8.0+"))))</f>
        <v>6.5–6.9</v>
      </c>
      <c r="Z92" s="3" t="n">
        <f aca="false">IF(T92="","",YEAR(T92))</f>
        <v>2021</v>
      </c>
    </row>
    <row r="93" customFormat="false" ht="13.8" hidden="false" customHeight="false" outlineLevel="0" collapsed="false">
      <c r="A93" s="3" t="s">
        <v>291</v>
      </c>
      <c r="B93" s="3" t="n">
        <v>8.1</v>
      </c>
      <c r="C93" s="6" t="s">
        <v>292</v>
      </c>
      <c r="D93" s="3" t="n">
        <v>0</v>
      </c>
      <c r="E93" s="3" t="n">
        <v>7</v>
      </c>
      <c r="F93" s="3" t="s">
        <v>21</v>
      </c>
      <c r="G93" s="3" t="n">
        <v>0</v>
      </c>
      <c r="H93" s="3" t="n">
        <v>1009</v>
      </c>
      <c r="I93" s="3" t="s">
        <v>22</v>
      </c>
      <c r="J93" s="3" t="n">
        <v>0</v>
      </c>
      <c r="K93" s="3" t="n">
        <v>7.463</v>
      </c>
      <c r="L93" s="3" t="n">
        <v>78</v>
      </c>
      <c r="M93" s="3" t="s">
        <v>23</v>
      </c>
      <c r="N93" s="3" t="n">
        <v>22.79</v>
      </c>
      <c r="O93" s="3" t="n">
        <v>-58.4157</v>
      </c>
      <c r="P93" s="3" t="n">
        <v>-25.3206</v>
      </c>
      <c r="Q93" s="3" t="s">
        <v>275</v>
      </c>
      <c r="R93" s="3"/>
      <c r="S93" s="3"/>
      <c r="T93" s="5" t="n">
        <f aca="false">IF(C93="","",DATE(VALUE(MID(C93,7,4)),VALUE(MID(C93,4,2)),VALUE(MID(C93,1,2)))+TIME(VALUE(MID(C93,12,2)),VALUE(MID(C93,15,2)),0))</f>
        <v>44420.7743055556</v>
      </c>
      <c r="U93" s="3" t="str">
        <f aca="false">IFERROR(IF(ISNUMBER(VALUE(TRIM(MID(A93,FIND("-",A93)+1,FIND("km",A93)-FIND("-",A93)-1)))),"Distance + direction + city","Named-region"),"Named-region")</f>
        <v>Named-region</v>
      </c>
      <c r="V93" s="3" t="str">
        <f aca="false">LOWER(M93)</f>
        <v>mww</v>
      </c>
      <c r="W93" s="3" t="n">
        <f aca="false">COUNTIFS($A$2:$A$1001,A93,$C$2:$C$1001,C93)</f>
        <v>1</v>
      </c>
      <c r="X93" s="3" t="str">
        <f aca="false">IF(W93&gt;1,"Duplicate","Unique")</f>
        <v>Unique</v>
      </c>
      <c r="Y93" s="3" t="str">
        <f aca="false">IF(B93&lt;6.5,"&lt;6.5",IF(B93&lt;7,"6.5–6.9",IF(B93&lt;7.5,"7.0–7.4",IF(B93&lt;8,"7.5–7.9","8.0+"))))</f>
        <v>8.0+</v>
      </c>
      <c r="Z93" s="3" t="n">
        <f aca="false">IF(T93="","",YEAR(T93))</f>
        <v>2021</v>
      </c>
    </row>
    <row r="94" customFormat="false" ht="13.8" hidden="false" customHeight="false" outlineLevel="0" collapsed="false">
      <c r="A94" s="3" t="s">
        <v>293</v>
      </c>
      <c r="B94" s="3" t="n">
        <v>7.5</v>
      </c>
      <c r="C94" s="6" t="s">
        <v>294</v>
      </c>
      <c r="D94" s="3" t="n">
        <v>9</v>
      </c>
      <c r="E94" s="3" t="n">
        <v>6</v>
      </c>
      <c r="F94" s="3" t="s">
        <v>21</v>
      </c>
      <c r="G94" s="3" t="n">
        <v>1</v>
      </c>
      <c r="H94" s="3" t="n">
        <v>868</v>
      </c>
      <c r="I94" s="3" t="s">
        <v>22</v>
      </c>
      <c r="J94" s="3" t="n">
        <v>0</v>
      </c>
      <c r="K94" s="3" t="n">
        <v>7.227</v>
      </c>
      <c r="L94" s="3" t="n">
        <v>38</v>
      </c>
      <c r="M94" s="3" t="s">
        <v>23</v>
      </c>
      <c r="N94" s="3" t="n">
        <v>47.23</v>
      </c>
      <c r="O94" s="3" t="n">
        <v>-57.5959</v>
      </c>
      <c r="P94" s="3" t="n">
        <v>-25.1874</v>
      </c>
      <c r="Q94" s="3" t="s">
        <v>275</v>
      </c>
      <c r="R94" s="3"/>
      <c r="S94" s="3"/>
      <c r="T94" s="5" t="n">
        <f aca="false">IF(C94="","",DATE(VALUE(MID(C94,7,4)),VALUE(MID(C94,4,2)),VALUE(MID(C94,1,2)))+TIME(VALUE(MID(C94,12,2)),VALUE(MID(C94,15,2)),0))</f>
        <v>44420.7722222222</v>
      </c>
      <c r="U94" s="3" t="str">
        <f aca="false">IFERROR(IF(ISNUMBER(VALUE(TRIM(MID(A94,FIND("-",A94)+1,FIND("km",A94)-FIND("-",A94)-1)))),"Distance + direction + city","Named-region"),"Named-region")</f>
        <v>Named-region</v>
      </c>
      <c r="V94" s="3" t="str">
        <f aca="false">LOWER(M94)</f>
        <v>mww</v>
      </c>
      <c r="W94" s="3" t="n">
        <f aca="false">COUNTIFS($A$2:$A$1001,A94,$C$2:$C$1001,C94)</f>
        <v>1</v>
      </c>
      <c r="X94" s="3" t="str">
        <f aca="false">IF(W94&gt;1,"Duplicate","Unique")</f>
        <v>Unique</v>
      </c>
      <c r="Y94" s="3" t="str">
        <f aca="false">IF(B94&lt;6.5,"&lt;6.5",IF(B94&lt;7,"6.5–6.9",IF(B94&lt;7.5,"7.0–7.4",IF(B94&lt;8,"7.5–7.9","8.0+"))))</f>
        <v>7.5–7.9</v>
      </c>
      <c r="Z94" s="3" t="n">
        <f aca="false">IF(T94="","",YEAR(T94))</f>
        <v>2021</v>
      </c>
    </row>
    <row r="95" customFormat="false" ht="13.8" hidden="false" customHeight="false" outlineLevel="0" collapsed="false">
      <c r="A95" s="3" t="s">
        <v>295</v>
      </c>
      <c r="B95" s="3" t="n">
        <v>7.1</v>
      </c>
      <c r="C95" s="6" t="s">
        <v>296</v>
      </c>
      <c r="D95" s="3" t="n">
        <v>9</v>
      </c>
      <c r="E95" s="3" t="n">
        <v>7</v>
      </c>
      <c r="F95" s="3" t="s">
        <v>21</v>
      </c>
      <c r="G95" s="3" t="n">
        <v>1</v>
      </c>
      <c r="H95" s="3" t="n">
        <v>846</v>
      </c>
      <c r="I95" s="3" t="s">
        <v>22</v>
      </c>
      <c r="J95" s="3" t="n">
        <v>0</v>
      </c>
      <c r="K95" s="3" t="n">
        <v>1.273</v>
      </c>
      <c r="L95" s="3" t="n">
        <v>25</v>
      </c>
      <c r="M95" s="3" t="s">
        <v>23</v>
      </c>
      <c r="N95" s="3" t="n">
        <v>55.14</v>
      </c>
      <c r="O95" s="3" t="n">
        <v>6.4547</v>
      </c>
      <c r="P95" s="3" t="n">
        <v>126.742</v>
      </c>
      <c r="Q95" s="3" t="s">
        <v>297</v>
      </c>
      <c r="R95" s="3"/>
      <c r="S95" s="3"/>
      <c r="T95" s="5" t="n">
        <f aca="false">IF(C95="","",DATE(VALUE(MID(C95,7,4)),VALUE(MID(C95,4,2)),VALUE(MID(C95,1,2)))+TIME(VALUE(MID(C95,12,2)),VALUE(MID(C95,15,2)),0))</f>
        <v>44419.7402777778</v>
      </c>
      <c r="U95" s="3" t="str">
        <f aca="false">IFERROR(IF(ISNUMBER(VALUE(TRIM(MID(A95,FIND("-",A95)+1,FIND("km",A95)-FIND("-",A95)-1)))),"Distance + direction + city","Named-region"),"Named-region")</f>
        <v>Distance + direction + city</v>
      </c>
      <c r="V95" s="3" t="str">
        <f aca="false">LOWER(M95)</f>
        <v>mww</v>
      </c>
      <c r="W95" s="3" t="n">
        <f aca="false">COUNTIFS($A$2:$A$1001,A95,$C$2:$C$1001,C95)</f>
        <v>1</v>
      </c>
      <c r="X95" s="3" t="str">
        <f aca="false">IF(W95&gt;1,"Duplicate","Unique")</f>
        <v>Unique</v>
      </c>
      <c r="Y95" s="3" t="str">
        <f aca="false">IF(B95&lt;6.5,"&lt;6.5",IF(B95&lt;7,"6.5–6.9",IF(B95&lt;7.5,"7.0–7.4",IF(B95&lt;8,"7.5–7.9","8.0+"))))</f>
        <v>7.0–7.4</v>
      </c>
      <c r="Z95" s="3" t="n">
        <f aca="false">IF(T95="","",YEAR(T95))</f>
        <v>2021</v>
      </c>
    </row>
    <row r="96" customFormat="false" ht="13.8" hidden="false" customHeight="false" outlineLevel="0" collapsed="false">
      <c r="A96" s="3" t="s">
        <v>298</v>
      </c>
      <c r="B96" s="3" t="n">
        <v>8.2</v>
      </c>
      <c r="C96" s="3" t="s">
        <v>299</v>
      </c>
      <c r="D96" s="3" t="n">
        <v>8</v>
      </c>
      <c r="E96" s="3" t="n">
        <v>6</v>
      </c>
      <c r="F96" s="3" t="s">
        <v>21</v>
      </c>
      <c r="G96" s="3" t="n">
        <v>1</v>
      </c>
      <c r="H96" s="3" t="n">
        <v>1237</v>
      </c>
      <c r="I96" s="3" t="s">
        <v>22</v>
      </c>
      <c r="J96" s="3" t="n">
        <v>0</v>
      </c>
      <c r="K96" s="3" t="n">
        <v>0.875</v>
      </c>
      <c r="L96" s="3" t="n">
        <v>66</v>
      </c>
      <c r="M96" s="3" t="s">
        <v>23</v>
      </c>
      <c r="N96" s="3" t="n">
        <v>46.66</v>
      </c>
      <c r="O96" s="3" t="n">
        <v>55.4742</v>
      </c>
      <c r="P96" s="3" t="n">
        <v>-157.917</v>
      </c>
      <c r="Q96" s="3" t="s">
        <v>289</v>
      </c>
      <c r="R96" s="3"/>
      <c r="S96" s="3"/>
      <c r="T96" s="5" t="n">
        <f aca="false">IF(C96="","",DATE(VALUE(MID(C96,7,4)),VALUE(MID(C96,4,2)),VALUE(MID(C96,1,2)))+TIME(VALUE(MID(C96,12,2)),VALUE(MID(C96,15,2)),0))</f>
        <v>44406.2604166667</v>
      </c>
      <c r="U96" s="3" t="str">
        <f aca="false">IFERROR(IF(ISNUMBER(VALUE(TRIM(MID(A96,FIND("-",A96)+1,FIND("km",A96)-FIND("-",A96)-1)))),"Distance + direction + city","Named-region"),"Named-region")</f>
        <v>Distance + direction + city</v>
      </c>
      <c r="V96" s="3" t="str">
        <f aca="false">LOWER(M96)</f>
        <v>mww</v>
      </c>
      <c r="W96" s="3" t="n">
        <f aca="false">COUNTIFS($A$2:$A$1001,A96,$C$2:$C$1001,C96)</f>
        <v>1</v>
      </c>
      <c r="X96" s="3" t="str">
        <f aca="false">IF(W96&gt;1,"Duplicate","Unique")</f>
        <v>Unique</v>
      </c>
      <c r="Y96" s="3" t="str">
        <f aca="false">IF(B96&lt;6.5,"&lt;6.5",IF(B96&lt;7,"6.5–6.9",IF(B96&lt;7.5,"7.0–7.4",IF(B96&lt;8,"7.5–7.9","8.0+"))))</f>
        <v>8.0+</v>
      </c>
      <c r="Z96" s="3" t="n">
        <f aca="false">IF(T96="","",YEAR(T96))</f>
        <v>2021</v>
      </c>
    </row>
    <row r="97" customFormat="false" ht="13.8" hidden="false" customHeight="false" outlineLevel="0" collapsed="false">
      <c r="A97" s="3" t="s">
        <v>300</v>
      </c>
      <c r="B97" s="3" t="n">
        <v>8.2</v>
      </c>
      <c r="C97" s="3" t="s">
        <v>299</v>
      </c>
      <c r="D97" s="3" t="n">
        <v>8</v>
      </c>
      <c r="E97" s="3" t="n">
        <v>7</v>
      </c>
      <c r="F97" s="3" t="s">
        <v>28</v>
      </c>
      <c r="G97" s="3" t="n">
        <v>1</v>
      </c>
      <c r="H97" s="3" t="n">
        <v>1252</v>
      </c>
      <c r="I97" s="3" t="s">
        <v>259</v>
      </c>
      <c r="J97" s="3" t="n">
        <v>0</v>
      </c>
      <c r="K97" s="3" t="n">
        <v>0</v>
      </c>
      <c r="L97" s="3" t="n">
        <v>0</v>
      </c>
      <c r="M97" s="3" t="s">
        <v>23</v>
      </c>
      <c r="N97" s="3" t="n">
        <v>35</v>
      </c>
      <c r="O97" s="3" t="n">
        <v>55.3154</v>
      </c>
      <c r="P97" s="3" t="n">
        <v>-157.829</v>
      </c>
      <c r="Q97" s="3" t="s">
        <v>289</v>
      </c>
      <c r="R97" s="3"/>
      <c r="S97" s="3"/>
      <c r="T97" s="5" t="n">
        <f aca="false">IF(C97="","",DATE(VALUE(MID(C97,7,4)),VALUE(MID(C97,4,2)),VALUE(MID(C97,1,2)))+TIME(VALUE(MID(C97,12,2)),VALUE(MID(C97,15,2)),0))</f>
        <v>44406.2604166667</v>
      </c>
      <c r="U97" s="3" t="str">
        <f aca="false">IFERROR(IF(ISNUMBER(VALUE(TRIM(MID(A97,FIND("-",A97)+1,FIND("km",A97)-FIND("-",A97)-1)))),"Distance + direction + city","Named-region"),"Named-region")</f>
        <v>Distance + direction + city</v>
      </c>
      <c r="V97" s="3" t="str">
        <f aca="false">LOWER(M97)</f>
        <v>mww</v>
      </c>
      <c r="W97" s="3" t="n">
        <f aca="false">COUNTIFS($A$2:$A$1001,A97,$C$2:$C$1001,C97)</f>
        <v>1</v>
      </c>
      <c r="X97" s="3" t="str">
        <f aca="false">IF(W97&gt;1,"Duplicate","Unique")</f>
        <v>Unique</v>
      </c>
      <c r="Y97" s="3" t="str">
        <f aca="false">IF(B97&lt;6.5,"&lt;6.5",IF(B97&lt;7,"6.5–6.9",IF(B97&lt;7.5,"7.0–7.4",IF(B97&lt;8,"7.5–7.9","8.0+"))))</f>
        <v>8.0+</v>
      </c>
      <c r="Z97" s="3" t="n">
        <f aca="false">IF(T97="","",YEAR(T97))</f>
        <v>2021</v>
      </c>
    </row>
    <row r="98" customFormat="false" ht="13.8" hidden="false" customHeight="false" outlineLevel="0" collapsed="false">
      <c r="A98" s="3" t="s">
        <v>301</v>
      </c>
      <c r="B98" s="3" t="n">
        <v>6.7</v>
      </c>
      <c r="C98" s="3" t="s">
        <v>302</v>
      </c>
      <c r="D98" s="3" t="n">
        <v>8</v>
      </c>
      <c r="E98" s="3" t="n">
        <v>5</v>
      </c>
      <c r="F98" s="3" t="s">
        <v>21</v>
      </c>
      <c r="G98" s="3" t="n">
        <v>1</v>
      </c>
      <c r="H98" s="3" t="n">
        <v>935</v>
      </c>
      <c r="I98" s="3" t="s">
        <v>22</v>
      </c>
      <c r="J98" s="3" t="n">
        <v>0</v>
      </c>
      <c r="K98" s="3" t="n">
        <v>8.139</v>
      </c>
      <c r="L98" s="3" t="n">
        <v>12</v>
      </c>
      <c r="M98" s="3" t="s">
        <v>23</v>
      </c>
      <c r="N98" s="3" t="n">
        <v>110</v>
      </c>
      <c r="O98" s="3" t="n">
        <v>13.6989</v>
      </c>
      <c r="P98" s="3" t="n">
        <v>120.713</v>
      </c>
      <c r="Q98" s="3" t="s">
        <v>303</v>
      </c>
      <c r="R98" s="3" t="s">
        <v>80</v>
      </c>
      <c r="S98" s="3" t="s">
        <v>191</v>
      </c>
      <c r="T98" s="5" t="n">
        <f aca="false">IF(C98="","",DATE(VALUE(MID(C98,7,4)),VALUE(MID(C98,4,2)),VALUE(MID(C98,1,2)))+TIME(VALUE(MID(C98,12,2)),VALUE(MID(C98,15,2)),0))</f>
        <v>44400.8666666667</v>
      </c>
      <c r="U98" s="3" t="str">
        <f aca="false">IFERROR(IF(ISNUMBER(VALUE(TRIM(MID(A98,FIND("-",A98)+1,FIND("km",A98)-FIND("-",A98)-1)))),"Distance + direction + city","Named-region"),"Named-region")</f>
        <v>Distance + direction + city</v>
      </c>
      <c r="V98" s="3" t="str">
        <f aca="false">LOWER(M98)</f>
        <v>mww</v>
      </c>
      <c r="W98" s="3" t="n">
        <f aca="false">COUNTIFS($A$2:$A$1001,A98,$C$2:$C$1001,C98)</f>
        <v>1</v>
      </c>
      <c r="X98" s="3" t="str">
        <f aca="false">IF(W98&gt;1,"Duplicate","Unique")</f>
        <v>Unique</v>
      </c>
      <c r="Y98" s="3" t="str">
        <f aca="false">IF(B98&lt;6.5,"&lt;6.5",IF(B98&lt;7,"6.5–6.9",IF(B98&lt;7.5,"7.0–7.4",IF(B98&lt;8,"7.5–7.9","8.0+"))))</f>
        <v>6.5–6.9</v>
      </c>
      <c r="Z98" s="3" t="n">
        <f aca="false">IF(T98="","",YEAR(T98))</f>
        <v>2021</v>
      </c>
    </row>
    <row r="99" customFormat="false" ht="13.8" hidden="false" customHeight="false" outlineLevel="0" collapsed="false">
      <c r="A99" s="3" t="s">
        <v>304</v>
      </c>
      <c r="B99" s="3" t="n">
        <v>6.7</v>
      </c>
      <c r="C99" s="3" t="s">
        <v>305</v>
      </c>
      <c r="D99" s="3" t="n">
        <v>6</v>
      </c>
      <c r="E99" s="3" t="n">
        <v>6</v>
      </c>
      <c r="F99" s="3" t="s">
        <v>21</v>
      </c>
      <c r="G99" s="3" t="n">
        <v>1</v>
      </c>
      <c r="H99" s="3" t="n">
        <v>830</v>
      </c>
      <c r="I99" s="3" t="s">
        <v>22</v>
      </c>
      <c r="J99" s="3" t="n">
        <v>0</v>
      </c>
      <c r="K99" s="3" t="n">
        <v>1.395</v>
      </c>
      <c r="L99" s="3" t="n">
        <v>61</v>
      </c>
      <c r="M99" s="3" t="s">
        <v>23</v>
      </c>
      <c r="N99" s="3" t="n">
        <v>10</v>
      </c>
      <c r="O99" s="3" t="n">
        <v>7.5904</v>
      </c>
      <c r="P99" s="3" t="n">
        <v>-82.8813</v>
      </c>
      <c r="Q99" s="3" t="s">
        <v>306</v>
      </c>
      <c r="R99" s="3"/>
      <c r="S99" s="3"/>
      <c r="T99" s="5" t="n">
        <f aca="false">IF(C99="","",DATE(VALUE(MID(C99,7,4)),VALUE(MID(C99,4,2)),VALUE(MID(C99,1,2)))+TIME(VALUE(MID(C99,12,2)),VALUE(MID(C99,15,2)),0))</f>
        <v>44398.8854166667</v>
      </c>
      <c r="U99" s="3" t="str">
        <f aca="false">IFERROR(IF(ISNUMBER(VALUE(TRIM(MID(A99,FIND("-",A99)+1,FIND("km",A99)-FIND("-",A99)-1)))),"Distance + direction + city","Named-region"),"Named-region")</f>
        <v>Distance + direction + city</v>
      </c>
      <c r="V99" s="3" t="str">
        <f aca="false">LOWER(M99)</f>
        <v>mww</v>
      </c>
      <c r="W99" s="3" t="n">
        <f aca="false">COUNTIFS($A$2:$A$1001,A99,$C$2:$C$1001,C99)</f>
        <v>1</v>
      </c>
      <c r="X99" s="3" t="str">
        <f aca="false">IF(W99&gt;1,"Duplicate","Unique")</f>
        <v>Unique</v>
      </c>
      <c r="Y99" s="3" t="str">
        <f aca="false">IF(B99&lt;6.5,"&lt;6.5",IF(B99&lt;7,"6.5–6.9",IF(B99&lt;7.5,"7.0–7.4",IF(B99&lt;8,"7.5–7.9","8.0+"))))</f>
        <v>6.5–6.9</v>
      </c>
      <c r="Z99" s="3" t="n">
        <f aca="false">IF(T99="","",YEAR(T99))</f>
        <v>2021</v>
      </c>
    </row>
    <row r="100" customFormat="false" ht="13.8" hidden="false" customHeight="false" outlineLevel="0" collapsed="false">
      <c r="A100" s="3" t="s">
        <v>307</v>
      </c>
      <c r="B100" s="3" t="n">
        <v>6.5</v>
      </c>
      <c r="C100" s="3" t="s">
        <v>308</v>
      </c>
      <c r="D100" s="3" t="n">
        <v>0</v>
      </c>
      <c r="E100" s="3" t="n">
        <v>4</v>
      </c>
      <c r="F100" s="3" t="s">
        <v>21</v>
      </c>
      <c r="G100" s="3" t="n">
        <v>1</v>
      </c>
      <c r="H100" s="3" t="n">
        <v>650</v>
      </c>
      <c r="I100" s="3" t="s">
        <v>22</v>
      </c>
      <c r="J100" s="3" t="n">
        <v>0</v>
      </c>
      <c r="K100" s="3" t="n">
        <v>7.994</v>
      </c>
      <c r="L100" s="3" t="n">
        <v>24</v>
      </c>
      <c r="M100" s="3" t="s">
        <v>23</v>
      </c>
      <c r="N100" s="3" t="n">
        <v>25</v>
      </c>
      <c r="O100" s="3" t="n">
        <v>-30.2144</v>
      </c>
      <c r="P100" s="3" t="n">
        <v>-177.773</v>
      </c>
      <c r="Q100" s="3" t="s">
        <v>71</v>
      </c>
      <c r="R100" s="3"/>
      <c r="S100" s="3"/>
      <c r="T100" s="5" t="n">
        <f aca="false">IF(C100="","",DATE(VALUE(MID(C100,7,4)),VALUE(MID(C100,4,2)),VALUE(MID(C100,1,2)))+TIME(VALUE(MID(C100,12,2)),VALUE(MID(C100,15,2)),0))</f>
        <v>44367.7118055556</v>
      </c>
      <c r="U100" s="3" t="str">
        <f aca="false">IFERROR(IF(ISNUMBER(VALUE(TRIM(MID(A100,FIND("-",A100)+1,FIND("km",A100)-FIND("-",A100)-1)))),"Distance + direction + city","Named-region"),"Named-region")</f>
        <v>Named-region</v>
      </c>
      <c r="V100" s="3" t="str">
        <f aca="false">LOWER(M100)</f>
        <v>mww</v>
      </c>
      <c r="W100" s="3" t="n">
        <f aca="false">COUNTIFS($A$2:$A$1001,A100,$C$2:$C$1001,C100)</f>
        <v>1</v>
      </c>
      <c r="X100" s="3" t="str">
        <f aca="false">IF(W100&gt;1,"Duplicate","Unique")</f>
        <v>Unique</v>
      </c>
      <c r="Y100" s="3" t="str">
        <f aca="false">IF(B100&lt;6.5,"&lt;6.5",IF(B100&lt;7,"6.5–6.9",IF(B100&lt;7.5,"7.0–7.4",IF(B100&lt;8,"7.5–7.9","8.0+"))))</f>
        <v>6.5–6.9</v>
      </c>
      <c r="Z100" s="3" t="n">
        <f aca="false">IF(T100="","",YEAR(T100))</f>
        <v>2021</v>
      </c>
    </row>
    <row r="101" customFormat="false" ht="13.8" hidden="false" customHeight="false" outlineLevel="0" collapsed="false">
      <c r="A101" s="3" t="s">
        <v>309</v>
      </c>
      <c r="B101" s="3" t="n">
        <v>6.5</v>
      </c>
      <c r="C101" s="3" t="s">
        <v>310</v>
      </c>
      <c r="D101" s="3" t="n">
        <v>5</v>
      </c>
      <c r="E101" s="3" t="n">
        <v>7</v>
      </c>
      <c r="F101" s="3" t="s">
        <v>21</v>
      </c>
      <c r="G101" s="3" t="n">
        <v>1</v>
      </c>
      <c r="H101" s="3" t="n">
        <v>652</v>
      </c>
      <c r="I101" s="3" t="s">
        <v>22</v>
      </c>
      <c r="J101" s="3" t="n">
        <v>0</v>
      </c>
      <c r="K101" s="3" t="n">
        <v>4.518</v>
      </c>
      <c r="L101" s="3" t="n">
        <v>44</v>
      </c>
      <c r="M101" s="3" t="s">
        <v>23</v>
      </c>
      <c r="N101" s="3" t="n">
        <v>10</v>
      </c>
      <c r="O101" s="3" t="n">
        <v>-16.4796</v>
      </c>
      <c r="P101" s="3" t="n">
        <v>-177.356</v>
      </c>
      <c r="Q101" s="3" t="s">
        <v>311</v>
      </c>
      <c r="R101" s="3"/>
      <c r="S101" s="3"/>
      <c r="T101" s="5" t="n">
        <f aca="false">IF(C101="","",DATE(VALUE(MID(C101,7,4)),VALUE(MID(C101,4,2)),VALUE(MID(C101,1,2)))+TIME(VALUE(MID(C101,12,2)),VALUE(MID(C101,15,2)),0))</f>
        <v>44337.9256944444</v>
      </c>
      <c r="U101" s="3" t="str">
        <f aca="false">IFERROR(IF(ISNUMBER(VALUE(TRIM(MID(A101,FIND("-",A101)+1,FIND("km",A101)-FIND("-",A101)-1)))),"Distance + direction + city","Named-region"),"Named-region")</f>
        <v>Distance + direction + city</v>
      </c>
      <c r="V101" s="3" t="str">
        <f aca="false">LOWER(M101)</f>
        <v>mww</v>
      </c>
      <c r="W101" s="3" t="n">
        <f aca="false">COUNTIFS($A$2:$A$1001,A101,$C$2:$C$1001,C101)</f>
        <v>1</v>
      </c>
      <c r="X101" s="3" t="str">
        <f aca="false">IF(W101&gt;1,"Duplicate","Unique")</f>
        <v>Unique</v>
      </c>
      <c r="Y101" s="3" t="str">
        <f aca="false">IF(B101&lt;6.5,"&lt;6.5",IF(B101&lt;7,"6.5–6.9",IF(B101&lt;7.5,"7.0–7.4",IF(B101&lt;8,"7.5–7.9","8.0+"))))</f>
        <v>6.5–6.9</v>
      </c>
      <c r="Z101" s="3" t="n">
        <f aca="false">IF(T101="","",YEAR(T101))</f>
        <v>2021</v>
      </c>
    </row>
    <row r="102" customFormat="false" ht="13.8" hidden="false" customHeight="false" outlineLevel="0" collapsed="false">
      <c r="A102" s="3" t="s">
        <v>312</v>
      </c>
      <c r="B102" s="3" t="n">
        <v>7.3</v>
      </c>
      <c r="C102" s="3" t="s">
        <v>313</v>
      </c>
      <c r="D102" s="3" t="n">
        <v>9</v>
      </c>
      <c r="E102" s="3" t="n">
        <v>9</v>
      </c>
      <c r="F102" s="3" t="s">
        <v>95</v>
      </c>
      <c r="G102" s="3" t="n">
        <v>0</v>
      </c>
      <c r="H102" s="3" t="n">
        <v>1025</v>
      </c>
      <c r="I102" s="3" t="s">
        <v>22</v>
      </c>
      <c r="J102" s="3" t="n">
        <v>0</v>
      </c>
      <c r="K102" s="3" t="n">
        <v>4.655</v>
      </c>
      <c r="L102" s="3" t="n">
        <v>9</v>
      </c>
      <c r="M102" s="3" t="s">
        <v>23</v>
      </c>
      <c r="N102" s="3" t="n">
        <v>10</v>
      </c>
      <c r="O102" s="3" t="n">
        <v>34.5861</v>
      </c>
      <c r="P102" s="3" t="n">
        <v>98.2551</v>
      </c>
      <c r="Q102" s="3" t="s">
        <v>314</v>
      </c>
      <c r="R102" s="3" t="s">
        <v>80</v>
      </c>
      <c r="S102" s="3" t="s">
        <v>184</v>
      </c>
      <c r="T102" s="5" t="n">
        <f aca="false">IF(C102="","",DATE(VALUE(MID(C102,7,4)),VALUE(MID(C102,4,2)),VALUE(MID(C102,1,2)))+TIME(VALUE(MID(C102,12,2)),VALUE(MID(C102,15,2)),0))</f>
        <v>44337.7527777778</v>
      </c>
      <c r="U102" s="3" t="str">
        <f aca="false">IFERROR(IF(ISNUMBER(VALUE(TRIM(MID(A102,FIND("-",A102)+1,FIND("km",A102)-FIND("-",A102)-1)))),"Distance + direction + city","Named-region"),"Named-region")</f>
        <v>Named-region</v>
      </c>
      <c r="V102" s="3" t="str">
        <f aca="false">LOWER(M102)</f>
        <v>mww</v>
      </c>
      <c r="W102" s="3" t="n">
        <f aca="false">COUNTIFS($A$2:$A$1001,A102,$C$2:$C$1001,C102)</f>
        <v>1</v>
      </c>
      <c r="X102" s="3" t="str">
        <f aca="false">IF(W102&gt;1,"Duplicate","Unique")</f>
        <v>Unique</v>
      </c>
      <c r="Y102" s="3" t="str">
        <f aca="false">IF(B102&lt;6.5,"&lt;6.5",IF(B102&lt;7,"6.5–6.9",IF(B102&lt;7.5,"7.0–7.4",IF(B102&lt;8,"7.5–7.9","8.0+"))))</f>
        <v>7.0–7.4</v>
      </c>
      <c r="Z102" s="3" t="n">
        <f aca="false">IF(T102="","",YEAR(T102))</f>
        <v>2021</v>
      </c>
    </row>
    <row r="103" customFormat="false" ht="13.8" hidden="false" customHeight="false" outlineLevel="0" collapsed="false">
      <c r="A103" s="3" t="s">
        <v>315</v>
      </c>
      <c r="B103" s="3" t="n">
        <v>6.7</v>
      </c>
      <c r="C103" s="3" t="s">
        <v>316</v>
      </c>
      <c r="D103" s="3" t="n">
        <v>8</v>
      </c>
      <c r="E103" s="3" t="n">
        <v>4</v>
      </c>
      <c r="F103" s="3" t="s">
        <v>21</v>
      </c>
      <c r="G103" s="3" t="n">
        <v>0</v>
      </c>
      <c r="H103" s="3" t="n">
        <v>698</v>
      </c>
      <c r="I103" s="3" t="s">
        <v>22</v>
      </c>
      <c r="J103" s="3" t="n">
        <v>0</v>
      </c>
      <c r="K103" s="3" t="n">
        <v>1.487</v>
      </c>
      <c r="L103" s="3" t="n">
        <v>37</v>
      </c>
      <c r="M103" s="3" t="s">
        <v>23</v>
      </c>
      <c r="N103" s="3" t="n">
        <v>11</v>
      </c>
      <c r="O103" s="3" t="n">
        <v>0.1684</v>
      </c>
      <c r="P103" s="3" t="n">
        <v>96.6475</v>
      </c>
      <c r="Q103" s="3" t="s">
        <v>317</v>
      </c>
      <c r="R103" s="3"/>
      <c r="S103" s="3"/>
      <c r="T103" s="5" t="n">
        <f aca="false">IF(C103="","",DATE(VALUE(MID(C103,7,4)),VALUE(MID(C103,4,2)),VALUE(MID(C103,1,2)))+TIME(VALUE(MID(C103,12,2)),VALUE(MID(C103,15,2)),0))</f>
        <v>44330.2729166667</v>
      </c>
      <c r="U103" s="3" t="str">
        <f aca="false">IFERROR(IF(ISNUMBER(VALUE(TRIM(MID(A103,FIND("-",A103)+1,FIND("km",A103)-FIND("-",A103)-1)))),"Distance + direction + city","Named-region"),"Named-region")</f>
        <v>Distance + direction + city</v>
      </c>
      <c r="V103" s="3" t="str">
        <f aca="false">LOWER(M103)</f>
        <v>mww</v>
      </c>
      <c r="W103" s="3" t="n">
        <f aca="false">COUNTIFS($A$2:$A$1001,A103,$C$2:$C$1001,C103)</f>
        <v>1</v>
      </c>
      <c r="X103" s="3" t="str">
        <f aca="false">IF(W103&gt;1,"Duplicate","Unique")</f>
        <v>Unique</v>
      </c>
      <c r="Y103" s="3" t="str">
        <f aca="false">IF(B103&lt;6.5,"&lt;6.5",IF(B103&lt;7,"6.5–6.9",IF(B103&lt;7.5,"7.0–7.4",IF(B103&lt;8,"7.5–7.9","8.0+"))))</f>
        <v>6.5–6.9</v>
      </c>
      <c r="Z103" s="3" t="n">
        <f aca="false">IF(T103="","",YEAR(T103))</f>
        <v>2021</v>
      </c>
    </row>
    <row r="104" customFormat="false" ht="13.8" hidden="false" customHeight="false" outlineLevel="0" collapsed="false">
      <c r="A104" s="3" t="s">
        <v>318</v>
      </c>
      <c r="B104" s="3" t="n">
        <v>6.7</v>
      </c>
      <c r="C104" s="6" t="s">
        <v>319</v>
      </c>
      <c r="D104" s="3" t="n">
        <v>9</v>
      </c>
      <c r="E104" s="3" t="n">
        <v>3</v>
      </c>
      <c r="F104" s="3" t="s">
        <v>21</v>
      </c>
      <c r="G104" s="3" t="n">
        <v>0</v>
      </c>
      <c r="H104" s="3" t="n">
        <v>694</v>
      </c>
      <c r="I104" s="3" t="s">
        <v>22</v>
      </c>
      <c r="J104" s="3" t="n">
        <v>0</v>
      </c>
      <c r="K104" s="3" t="n">
        <v>10.669</v>
      </c>
      <c r="L104" s="3" t="n">
        <v>45</v>
      </c>
      <c r="M104" s="3" t="s">
        <v>23</v>
      </c>
      <c r="N104" s="3" t="n">
        <v>10</v>
      </c>
      <c r="O104" s="3" t="n">
        <v>-17.2495</v>
      </c>
      <c r="P104" s="3" t="n">
        <v>66.3745</v>
      </c>
      <c r="Q104" s="3" t="s">
        <v>320</v>
      </c>
      <c r="R104" s="3"/>
      <c r="S104" s="3"/>
      <c r="T104" s="5" t="n">
        <f aca="false">IF(C104="","",DATE(VALUE(MID(C104,7,4)),VALUE(MID(C104,4,2)),VALUE(MID(C104,1,2)))+TIME(VALUE(MID(C104,12,2)),VALUE(MID(C104,15,2)),0))</f>
        <v>44328.5868055556</v>
      </c>
      <c r="U104" s="3" t="str">
        <f aca="false">IFERROR(IF(ISNUMBER(VALUE(TRIM(MID(A104,FIND("-",A104)+1,FIND("km",A104)-FIND("-",A104)-1)))),"Distance + direction + city","Named-region"),"Named-region")</f>
        <v>Named-region</v>
      </c>
      <c r="V104" s="3" t="str">
        <f aca="false">LOWER(M104)</f>
        <v>mww</v>
      </c>
      <c r="W104" s="3" t="n">
        <f aca="false">COUNTIFS($A$2:$A$1001,A104,$C$2:$C$1001,C104)</f>
        <v>1</v>
      </c>
      <c r="X104" s="3" t="str">
        <f aca="false">IF(W104&gt;1,"Duplicate","Unique")</f>
        <v>Unique</v>
      </c>
      <c r="Y104" s="3" t="str">
        <f aca="false">IF(B104&lt;6.5,"&lt;6.5",IF(B104&lt;7,"6.5–6.9",IF(B104&lt;7.5,"7.0–7.4",IF(B104&lt;8,"7.5–7.9","8.0+"))))</f>
        <v>6.5–6.9</v>
      </c>
      <c r="Z104" s="3" t="n">
        <f aca="false">IF(T104="","",YEAR(T104))</f>
        <v>2021</v>
      </c>
    </row>
    <row r="105" customFormat="false" ht="13.8" hidden="false" customHeight="false" outlineLevel="0" collapsed="false">
      <c r="A105" s="3" t="s">
        <v>200</v>
      </c>
      <c r="B105" s="3" t="n">
        <v>6.9</v>
      </c>
      <c r="C105" s="6" t="s">
        <v>321</v>
      </c>
      <c r="D105" s="3" t="n">
        <v>7</v>
      </c>
      <c r="E105" s="3" t="n">
        <v>6</v>
      </c>
      <c r="F105" s="3" t="s">
        <v>21</v>
      </c>
      <c r="G105" s="3" t="n">
        <v>1</v>
      </c>
      <c r="H105" s="3" t="n">
        <v>919</v>
      </c>
      <c r="I105" s="3" t="s">
        <v>22</v>
      </c>
      <c r="J105" s="3" t="n">
        <v>0</v>
      </c>
      <c r="K105" s="3" t="n">
        <v>2.619</v>
      </c>
      <c r="L105" s="3" t="n">
        <v>35</v>
      </c>
      <c r="M105" s="3" t="s">
        <v>23</v>
      </c>
      <c r="N105" s="3" t="n">
        <v>43</v>
      </c>
      <c r="O105" s="3" t="n">
        <v>38.2296</v>
      </c>
      <c r="P105" s="3" t="n">
        <v>141.665</v>
      </c>
      <c r="Q105" s="3"/>
      <c r="R105" s="3" t="s">
        <v>80</v>
      </c>
      <c r="S105" s="3" t="s">
        <v>322</v>
      </c>
      <c r="T105" s="5" t="n">
        <f aca="false">IF(C105="","",DATE(VALUE(MID(C105,7,4)),VALUE(MID(C105,4,2)),VALUE(MID(C105,1,2)))+TIME(VALUE(MID(C105,12,2)),VALUE(MID(C105,15,2)),0))</f>
        <v>44317.0604166667</v>
      </c>
      <c r="U105" s="3" t="str">
        <f aca="false">IFERROR(IF(ISNUMBER(VALUE(TRIM(MID(A105,FIND("-",A105)+1,FIND("km",A105)-FIND("-",A105)-1)))),"Distance + direction + city","Named-region"),"Named-region")</f>
        <v>Named-region</v>
      </c>
      <c r="V105" s="3" t="str">
        <f aca="false">LOWER(M105)</f>
        <v>mww</v>
      </c>
      <c r="W105" s="3" t="n">
        <f aca="false">COUNTIFS($A$2:$A$1001,A105,$C$2:$C$1001,C105)</f>
        <v>1</v>
      </c>
      <c r="X105" s="3" t="str">
        <f aca="false">IF(W105&gt;1,"Duplicate","Unique")</f>
        <v>Unique</v>
      </c>
      <c r="Y105" s="3" t="str">
        <f aca="false">IF(B105&lt;6.5,"&lt;6.5",IF(B105&lt;7,"6.5–6.9",IF(B105&lt;7.5,"7.0–7.4",IF(B105&lt;8,"7.5–7.9","8.0+"))))</f>
        <v>6.5–6.9</v>
      </c>
      <c r="Z105" s="3" t="n">
        <f aca="false">IF(T105="","",YEAR(T105))</f>
        <v>2021</v>
      </c>
    </row>
    <row r="106" customFormat="false" ht="13.8" hidden="false" customHeight="false" outlineLevel="0" collapsed="false">
      <c r="A106" s="3" t="s">
        <v>323</v>
      </c>
      <c r="B106" s="3" t="n">
        <v>6.5</v>
      </c>
      <c r="C106" s="3" t="s">
        <v>324</v>
      </c>
      <c r="D106" s="3" t="n">
        <v>4</v>
      </c>
      <c r="E106" s="3" t="n">
        <v>4</v>
      </c>
      <c r="F106" s="3" t="s">
        <v>21</v>
      </c>
      <c r="G106" s="3" t="n">
        <v>0</v>
      </c>
      <c r="H106" s="3" t="n">
        <v>651</v>
      </c>
      <c r="I106" s="3" t="s">
        <v>22</v>
      </c>
      <c r="J106" s="3" t="n">
        <v>0</v>
      </c>
      <c r="K106" s="3" t="n">
        <v>5.931</v>
      </c>
      <c r="L106" s="3" t="n">
        <v>20</v>
      </c>
      <c r="M106" s="3" t="s">
        <v>23</v>
      </c>
      <c r="N106" s="3" t="n">
        <v>246</v>
      </c>
      <c r="O106" s="3" t="n">
        <v>-21.6857</v>
      </c>
      <c r="P106" s="3" t="n">
        <v>-177.064</v>
      </c>
      <c r="Q106" s="3" t="s">
        <v>325</v>
      </c>
      <c r="R106" s="3"/>
      <c r="S106" s="3"/>
      <c r="T106" s="5" t="n">
        <f aca="false">IF(C106="","",DATE(VALUE(MID(C106,7,4)),VALUE(MID(C106,4,2)),VALUE(MID(C106,1,2)))+TIME(VALUE(MID(C106,12,2)),VALUE(MID(C106,15,2)),0))</f>
        <v>44311.9361111111</v>
      </c>
      <c r="U106" s="3" t="str">
        <f aca="false">IFERROR(IF(ISNUMBER(VALUE(TRIM(MID(A106,FIND("-",A106)+1,FIND("km",A106)-FIND("-",A106)-1)))),"Distance + direction + city","Named-region"),"Named-region")</f>
        <v>Distance + direction + city</v>
      </c>
      <c r="V106" s="3" t="str">
        <f aca="false">LOWER(M106)</f>
        <v>mww</v>
      </c>
      <c r="W106" s="3" t="n">
        <f aca="false">COUNTIFS($A$2:$A$1001,A106,$C$2:$C$1001,C106)</f>
        <v>1</v>
      </c>
      <c r="X106" s="3" t="str">
        <f aca="false">IF(W106&gt;1,"Duplicate","Unique")</f>
        <v>Unique</v>
      </c>
      <c r="Y106" s="3" t="str">
        <f aca="false">IF(B106&lt;6.5,"&lt;6.5",IF(B106&lt;7,"6.5–6.9",IF(B106&lt;7.5,"7.0–7.4",IF(B106&lt;8,"7.5–7.9","8.0+"))))</f>
        <v>6.5–6.9</v>
      </c>
      <c r="Z106" s="3" t="n">
        <f aca="false">IF(T106="","",YEAR(T106))</f>
        <v>2021</v>
      </c>
    </row>
    <row r="107" customFormat="false" ht="13.8" hidden="false" customHeight="false" outlineLevel="0" collapsed="false">
      <c r="A107" s="3" t="s">
        <v>326</v>
      </c>
      <c r="B107" s="3" t="n">
        <v>6.5</v>
      </c>
      <c r="C107" s="3" t="s">
        <v>327</v>
      </c>
      <c r="D107" s="3" t="n">
        <v>6</v>
      </c>
      <c r="E107" s="3" t="n">
        <v>4</v>
      </c>
      <c r="F107" s="3" t="s">
        <v>21</v>
      </c>
      <c r="G107" s="3" t="n">
        <v>0</v>
      </c>
      <c r="H107" s="3" t="n">
        <v>652</v>
      </c>
      <c r="I107" s="3" t="s">
        <v>22</v>
      </c>
      <c r="J107" s="3" t="n">
        <v>0</v>
      </c>
      <c r="K107" s="3" t="n">
        <v>10.405</v>
      </c>
      <c r="L107" s="3" t="n">
        <v>19</v>
      </c>
      <c r="M107" s="3" t="s">
        <v>23</v>
      </c>
      <c r="N107" s="3" t="n">
        <v>301</v>
      </c>
      <c r="O107" s="3" t="n">
        <v>-18.9204</v>
      </c>
      <c r="P107" s="3" t="n">
        <v>-176.235</v>
      </c>
      <c r="Q107" s="3" t="s">
        <v>328</v>
      </c>
      <c r="R107" s="3"/>
      <c r="S107" s="3"/>
      <c r="T107" s="5" t="n">
        <f aca="false">IF(C107="","",DATE(VALUE(MID(C107,7,4)),VALUE(MID(C107,4,2)),VALUE(MID(C107,1,2)))+TIME(VALUE(MID(C107,12,2)),VALUE(MID(C107,15,2)),0))</f>
        <v>44310.0159722222</v>
      </c>
      <c r="U107" s="3" t="str">
        <f aca="false">IFERROR(IF(ISNUMBER(VALUE(TRIM(MID(A107,FIND("-",A107)+1,FIND("km",A107)-FIND("-",A107)-1)))),"Distance + direction + city","Named-region"),"Named-region")</f>
        <v>Distance + direction + city</v>
      </c>
      <c r="V107" s="3" t="str">
        <f aca="false">LOWER(M107)</f>
        <v>mww</v>
      </c>
      <c r="W107" s="3" t="n">
        <f aca="false">COUNTIFS($A$2:$A$1001,A107,$C$2:$C$1001,C107)</f>
        <v>1</v>
      </c>
      <c r="X107" s="3" t="str">
        <f aca="false">IF(W107&gt;1,"Duplicate","Unique")</f>
        <v>Unique</v>
      </c>
      <c r="Y107" s="3" t="str">
        <f aca="false">IF(B107&lt;6.5,"&lt;6.5",IF(B107&lt;7,"6.5–6.9",IF(B107&lt;7.5,"7.0–7.4",IF(B107&lt;8,"7.5–7.9","8.0+"))))</f>
        <v>6.5–6.9</v>
      </c>
      <c r="Z107" s="3" t="n">
        <f aca="false">IF(T107="","",YEAR(T107))</f>
        <v>2021</v>
      </c>
    </row>
    <row r="108" customFormat="false" ht="13.8" hidden="false" customHeight="false" outlineLevel="0" collapsed="false">
      <c r="A108" s="3" t="s">
        <v>329</v>
      </c>
      <c r="B108" s="3" t="n">
        <v>7</v>
      </c>
      <c r="C108" s="3" t="s">
        <v>330</v>
      </c>
      <c r="D108" s="3" t="n">
        <v>7</v>
      </c>
      <c r="E108" s="3" t="n">
        <v>7</v>
      </c>
      <c r="F108" s="3" t="s">
        <v>28</v>
      </c>
      <c r="G108" s="3" t="n">
        <v>1</v>
      </c>
      <c r="H108" s="3" t="n">
        <v>1052</v>
      </c>
      <c r="I108" s="3" t="s">
        <v>22</v>
      </c>
      <c r="J108" s="3" t="n">
        <v>0</v>
      </c>
      <c r="K108" s="3" t="n">
        <v>2.378</v>
      </c>
      <c r="L108" s="3" t="n">
        <v>35</v>
      </c>
      <c r="M108" s="3" t="s">
        <v>23</v>
      </c>
      <c r="N108" s="3" t="n">
        <v>43</v>
      </c>
      <c r="O108" s="3" t="n">
        <v>38.4752</v>
      </c>
      <c r="P108" s="3" t="n">
        <v>141.607</v>
      </c>
      <c r="Q108" s="3" t="s">
        <v>331</v>
      </c>
      <c r="R108" s="3" t="s">
        <v>80</v>
      </c>
      <c r="S108" s="3" t="s">
        <v>322</v>
      </c>
      <c r="T108" s="5" t="n">
        <f aca="false">IF(C108="","",DATE(VALUE(MID(C108,7,4)),VALUE(MID(C108,4,2)),VALUE(MID(C108,1,2)))+TIME(VALUE(MID(C108,12,2)),VALUE(MID(C108,15,2)),0))</f>
        <v>44275.38125</v>
      </c>
      <c r="U108" s="3" t="str">
        <f aca="false">IFERROR(IF(ISNUMBER(VALUE(TRIM(MID(A108,FIND("-",A108)+1,FIND("km",A108)-FIND("-",A108)-1)))),"Distance + direction + city","Named-region"),"Named-region")</f>
        <v>Distance + direction + city</v>
      </c>
      <c r="V108" s="3" t="str">
        <f aca="false">LOWER(M108)</f>
        <v>mww</v>
      </c>
      <c r="W108" s="3" t="n">
        <f aca="false">COUNTIFS($A$2:$A$1001,A108,$C$2:$C$1001,C108)</f>
        <v>1</v>
      </c>
      <c r="X108" s="3" t="str">
        <f aca="false">IF(W108&gt;1,"Duplicate","Unique")</f>
        <v>Unique</v>
      </c>
      <c r="Y108" s="3" t="str">
        <f aca="false">IF(B108&lt;6.5,"&lt;6.5",IF(B108&lt;7,"6.5–6.9",IF(B108&lt;7.5,"7.0–7.4",IF(B108&lt;8,"7.5–7.9","8.0+"))))</f>
        <v>7.0–7.4</v>
      </c>
      <c r="Z108" s="3" t="n">
        <f aca="false">IF(T108="","",YEAR(T108))</f>
        <v>2021</v>
      </c>
    </row>
    <row r="109" customFormat="false" ht="13.8" hidden="false" customHeight="false" outlineLevel="0" collapsed="false">
      <c r="A109" s="3" t="s">
        <v>332</v>
      </c>
      <c r="B109" s="3" t="n">
        <v>6.6</v>
      </c>
      <c r="C109" s="3" t="s">
        <v>333</v>
      </c>
      <c r="D109" s="3" t="n">
        <v>5</v>
      </c>
      <c r="E109" s="3" t="n">
        <v>5</v>
      </c>
      <c r="F109" s="3" t="s">
        <v>21</v>
      </c>
      <c r="G109" s="3" t="n">
        <v>1</v>
      </c>
      <c r="H109" s="3" t="n">
        <v>672</v>
      </c>
      <c r="I109" s="3" t="s">
        <v>22</v>
      </c>
      <c r="J109" s="3" t="n">
        <v>0</v>
      </c>
      <c r="K109" s="3" t="n">
        <v>3.183</v>
      </c>
      <c r="L109" s="3" t="n">
        <v>18</v>
      </c>
      <c r="M109" s="3" t="s">
        <v>23</v>
      </c>
      <c r="N109" s="3" t="n">
        <v>13.23</v>
      </c>
      <c r="O109" s="3" t="n">
        <v>54.7018</v>
      </c>
      <c r="P109" s="3" t="n">
        <v>163.208</v>
      </c>
      <c r="Q109" s="3" t="s">
        <v>334</v>
      </c>
      <c r="R109" s="3"/>
      <c r="S109" s="3"/>
      <c r="T109" s="5" t="n">
        <f aca="false">IF(C109="","",DATE(VALUE(MID(C109,7,4)),VALUE(MID(C109,4,2)),VALUE(MID(C109,1,2)))+TIME(VALUE(MID(C109,12,2)),VALUE(MID(C109,15,2)),0))</f>
        <v>44271.7763888889</v>
      </c>
      <c r="U109" s="3" t="str">
        <f aca="false">IFERROR(IF(ISNUMBER(VALUE(TRIM(MID(A109,FIND("-",A109)+1,FIND("km",A109)-FIND("-",A109)-1)))),"Distance + direction + city","Named-region"),"Named-region")</f>
        <v>Distance + direction + city</v>
      </c>
      <c r="V109" s="3" t="str">
        <f aca="false">LOWER(M109)</f>
        <v>mww</v>
      </c>
      <c r="W109" s="3" t="n">
        <f aca="false">COUNTIFS($A$2:$A$1001,A109,$C$2:$C$1001,C109)</f>
        <v>1</v>
      </c>
      <c r="X109" s="3" t="str">
        <f aca="false">IF(W109&gt;1,"Duplicate","Unique")</f>
        <v>Unique</v>
      </c>
      <c r="Y109" s="3" t="str">
        <f aca="false">IF(B109&lt;6.5,"&lt;6.5",IF(B109&lt;7,"6.5–6.9",IF(B109&lt;7.5,"7.0–7.4",IF(B109&lt;8,"7.5–7.9","8.0+"))))</f>
        <v>6.5–6.9</v>
      </c>
      <c r="Z109" s="3" t="n">
        <f aca="false">IF(T109="","",YEAR(T109))</f>
        <v>2021</v>
      </c>
    </row>
    <row r="110" customFormat="false" ht="13.8" hidden="false" customHeight="false" outlineLevel="0" collapsed="false">
      <c r="A110" s="3" t="s">
        <v>227</v>
      </c>
      <c r="B110" s="3" t="n">
        <v>6.5</v>
      </c>
      <c r="C110" s="6" t="s">
        <v>335</v>
      </c>
      <c r="D110" s="3" t="n">
        <v>0</v>
      </c>
      <c r="E110" s="3" t="n">
        <v>4</v>
      </c>
      <c r="F110" s="3" t="s">
        <v>21</v>
      </c>
      <c r="G110" s="3" t="n">
        <v>0</v>
      </c>
      <c r="H110" s="3" t="n">
        <v>650</v>
      </c>
      <c r="I110" s="3" t="s">
        <v>22</v>
      </c>
      <c r="J110" s="3" t="n">
        <v>0</v>
      </c>
      <c r="K110" s="3" t="n">
        <v>11.764</v>
      </c>
      <c r="L110" s="3" t="n">
        <v>25</v>
      </c>
      <c r="M110" s="3" t="s">
        <v>154</v>
      </c>
      <c r="N110" s="3" t="n">
        <v>24</v>
      </c>
      <c r="O110" s="3" t="n">
        <v>-28.4792</v>
      </c>
      <c r="P110" s="3" t="n">
        <v>-176.619</v>
      </c>
      <c r="Q110" s="3" t="s">
        <v>99</v>
      </c>
      <c r="R110" s="3"/>
      <c r="S110" s="3"/>
      <c r="T110" s="5" t="n">
        <f aca="false">IF(C110="","",DATE(VALUE(MID(C110,7,4)),VALUE(MID(C110,4,2)),VALUE(MID(C110,1,2)))+TIME(VALUE(MID(C110,12,2)),VALUE(MID(C110,15,2)),0))</f>
        <v>44259.9666666667</v>
      </c>
      <c r="U110" s="3" t="str">
        <f aca="false">IFERROR(IF(ISNUMBER(VALUE(TRIM(MID(A110,FIND("-",A110)+1,FIND("km",A110)-FIND("-",A110)-1)))),"Distance + direction + city","Named-region"),"Named-region")</f>
        <v>Named-region</v>
      </c>
      <c r="V110" s="3" t="str">
        <f aca="false">LOWER(M110)</f>
        <v>mwb</v>
      </c>
      <c r="W110" s="3" t="n">
        <f aca="false">COUNTIFS($A$2:$A$1001,A110,$C$2:$C$1001,C110)</f>
        <v>1</v>
      </c>
      <c r="X110" s="3" t="str">
        <f aca="false">IF(W110&gt;1,"Duplicate","Unique")</f>
        <v>Unique</v>
      </c>
      <c r="Y110" s="3" t="str">
        <f aca="false">IF(B110&lt;6.5,"&lt;6.5",IF(B110&lt;7,"6.5–6.9",IF(B110&lt;7.5,"7.0–7.4",IF(B110&lt;8,"7.5–7.9","8.0+"))))</f>
        <v>6.5–6.9</v>
      </c>
      <c r="Z110" s="3" t="n">
        <f aca="false">IF(T110="","",YEAR(T110))</f>
        <v>2021</v>
      </c>
    </row>
    <row r="111" customFormat="false" ht="13.8" hidden="false" customHeight="false" outlineLevel="0" collapsed="false">
      <c r="A111" s="3" t="s">
        <v>336</v>
      </c>
      <c r="B111" s="3" t="n">
        <v>8.1</v>
      </c>
      <c r="C111" s="6" t="s">
        <v>337</v>
      </c>
      <c r="D111" s="3" t="n">
        <v>9</v>
      </c>
      <c r="E111" s="3" t="n">
        <v>8</v>
      </c>
      <c r="F111" s="3" t="s">
        <v>21</v>
      </c>
      <c r="G111" s="3" t="n">
        <v>1</v>
      </c>
      <c r="H111" s="3" t="n">
        <v>1021</v>
      </c>
      <c r="I111" s="3" t="s">
        <v>22</v>
      </c>
      <c r="J111" s="3" t="n">
        <v>0</v>
      </c>
      <c r="K111" s="3" t="n">
        <v>0.739</v>
      </c>
      <c r="L111" s="3" t="n">
        <v>21</v>
      </c>
      <c r="M111" s="3" t="s">
        <v>23</v>
      </c>
      <c r="N111" s="3" t="n">
        <v>28.93</v>
      </c>
      <c r="O111" s="3" t="n">
        <v>-29.7466</v>
      </c>
      <c r="P111" s="3" t="n">
        <v>-177.224</v>
      </c>
      <c r="Q111" s="3" t="s">
        <v>71</v>
      </c>
      <c r="R111" s="3"/>
      <c r="S111" s="3"/>
      <c r="T111" s="5" t="n">
        <f aca="false">IF(C111="","",DATE(VALUE(MID(C111,7,4)),VALUE(MID(C111,4,2)),VALUE(MID(C111,1,2)))+TIME(VALUE(MID(C111,12,2)),VALUE(MID(C111,15,2)),0))</f>
        <v>44259.8111111111</v>
      </c>
      <c r="U111" s="3" t="str">
        <f aca="false">IFERROR(IF(ISNUMBER(VALUE(TRIM(MID(A111,FIND("-",A111)+1,FIND("km",A111)-FIND("-",A111)-1)))),"Distance + direction + city","Named-region"),"Named-region")</f>
        <v>Named-region</v>
      </c>
      <c r="V111" s="3" t="str">
        <f aca="false">LOWER(M111)</f>
        <v>mww</v>
      </c>
      <c r="W111" s="3" t="n">
        <f aca="false">COUNTIFS($A$2:$A$1001,A111,$C$2:$C$1001,C111)</f>
        <v>1</v>
      </c>
      <c r="X111" s="3" t="str">
        <f aca="false">IF(W111&gt;1,"Duplicate","Unique")</f>
        <v>Unique</v>
      </c>
      <c r="Y111" s="3" t="str">
        <f aca="false">IF(B111&lt;6.5,"&lt;6.5",IF(B111&lt;7,"6.5–6.9",IF(B111&lt;7.5,"7.0–7.4",IF(B111&lt;8,"7.5–7.9","8.0+"))))</f>
        <v>8.0+</v>
      </c>
      <c r="Z111" s="3" t="n">
        <f aca="false">IF(T111="","",YEAR(T111))</f>
        <v>2021</v>
      </c>
    </row>
    <row r="112" customFormat="false" ht="13.8" hidden="false" customHeight="false" outlineLevel="0" collapsed="false">
      <c r="A112" s="3" t="s">
        <v>338</v>
      </c>
      <c r="B112" s="3" t="n">
        <v>7.4</v>
      </c>
      <c r="C112" s="6" t="s">
        <v>339</v>
      </c>
      <c r="D112" s="3" t="n">
        <v>3</v>
      </c>
      <c r="E112" s="3" t="n">
        <v>7</v>
      </c>
      <c r="F112" s="3" t="s">
        <v>21</v>
      </c>
      <c r="G112" s="3" t="n">
        <v>1</v>
      </c>
      <c r="H112" s="3" t="n">
        <v>843</v>
      </c>
      <c r="I112" s="3" t="s">
        <v>22</v>
      </c>
      <c r="J112" s="3" t="n">
        <v>0</v>
      </c>
      <c r="K112" s="3" t="n">
        <v>0.437</v>
      </c>
      <c r="L112" s="3" t="n">
        <v>30</v>
      </c>
      <c r="M112" s="3" t="s">
        <v>23</v>
      </c>
      <c r="N112" s="3" t="n">
        <v>43</v>
      </c>
      <c r="O112" s="3" t="n">
        <v>-29.6131</v>
      </c>
      <c r="P112" s="3" t="n">
        <v>-177.842</v>
      </c>
      <c r="Q112" s="3" t="s">
        <v>71</v>
      </c>
      <c r="R112" s="3"/>
      <c r="S112" s="3"/>
      <c r="T112" s="5" t="n">
        <f aca="false">IF(C112="","",DATE(VALUE(MID(C112,7,4)),VALUE(MID(C112,4,2)),VALUE(MID(C112,1,2)))+TIME(VALUE(MID(C112,12,2)),VALUE(MID(C112,15,2)),0))</f>
        <v>44259.7368055556</v>
      </c>
      <c r="U112" s="3" t="str">
        <f aca="false">IFERROR(IF(ISNUMBER(VALUE(TRIM(MID(A112,FIND("-",A112)+1,FIND("km",A112)-FIND("-",A112)-1)))),"Distance + direction + city","Named-region"),"Named-region")</f>
        <v>Named-region</v>
      </c>
      <c r="V112" s="3" t="str">
        <f aca="false">LOWER(M112)</f>
        <v>mww</v>
      </c>
      <c r="W112" s="3" t="n">
        <f aca="false">COUNTIFS($A$2:$A$1001,A112,$C$2:$C$1001,C112)</f>
        <v>1</v>
      </c>
      <c r="X112" s="3" t="str">
        <f aca="false">IF(W112&gt;1,"Duplicate","Unique")</f>
        <v>Unique</v>
      </c>
      <c r="Y112" s="3" t="str">
        <f aca="false">IF(B112&lt;6.5,"&lt;6.5",IF(B112&lt;7,"6.5–6.9",IF(B112&lt;7.5,"7.0–7.4",IF(B112&lt;8,"7.5–7.9","8.0+"))))</f>
        <v>7.0–7.4</v>
      </c>
      <c r="Z112" s="3" t="n">
        <f aca="false">IF(T112="","",YEAR(T112))</f>
        <v>2021</v>
      </c>
    </row>
    <row r="113" customFormat="false" ht="13.8" hidden="false" customHeight="false" outlineLevel="0" collapsed="false">
      <c r="A113" s="3" t="s">
        <v>340</v>
      </c>
      <c r="B113" s="3" t="n">
        <v>7.3</v>
      </c>
      <c r="C113" s="6" t="s">
        <v>341</v>
      </c>
      <c r="D113" s="3" t="n">
        <v>7</v>
      </c>
      <c r="E113" s="3" t="n">
        <v>6</v>
      </c>
      <c r="F113" s="3" t="s">
        <v>21</v>
      </c>
      <c r="G113" s="3" t="n">
        <v>1</v>
      </c>
      <c r="H113" s="3" t="n">
        <v>932</v>
      </c>
      <c r="I113" s="3" t="s">
        <v>22</v>
      </c>
      <c r="J113" s="3" t="n">
        <v>0</v>
      </c>
      <c r="K113" s="3" t="n">
        <v>0.918</v>
      </c>
      <c r="L113" s="3" t="n">
        <v>24</v>
      </c>
      <c r="M113" s="3" t="s">
        <v>23</v>
      </c>
      <c r="N113" s="3" t="n">
        <v>10</v>
      </c>
      <c r="O113" s="3" t="n">
        <v>-37.596</v>
      </c>
      <c r="P113" s="3" t="n">
        <v>179.544</v>
      </c>
      <c r="Q113" s="3" t="s">
        <v>342</v>
      </c>
      <c r="R113" s="3"/>
      <c r="S113" s="3"/>
      <c r="T113" s="5" t="n">
        <f aca="false">IF(C113="","",DATE(VALUE(MID(C113,7,4)),VALUE(MID(C113,4,2)),VALUE(MID(C113,1,2)))+TIME(VALUE(MID(C113,12,2)),VALUE(MID(C113,15,2)),0))</f>
        <v>44259.5604166667</v>
      </c>
      <c r="U113" s="3" t="str">
        <f aca="false">IFERROR(IF(ISNUMBER(VALUE(TRIM(MID(A113,FIND("-",A113)+1,FIND("km",A113)-FIND("-",A113)-1)))),"Distance + direction + city","Named-region"),"Named-region")</f>
        <v>Distance + direction + city</v>
      </c>
      <c r="V113" s="3" t="str">
        <f aca="false">LOWER(M113)</f>
        <v>mww</v>
      </c>
      <c r="W113" s="3" t="n">
        <f aca="false">COUNTIFS($A$2:$A$1001,A113,$C$2:$C$1001,C113)</f>
        <v>1</v>
      </c>
      <c r="X113" s="3" t="str">
        <f aca="false">IF(W113&gt;1,"Duplicate","Unique")</f>
        <v>Unique</v>
      </c>
      <c r="Y113" s="3" t="str">
        <f aca="false">IF(B113&lt;6.5,"&lt;6.5",IF(B113&lt;7,"6.5–6.9",IF(B113&lt;7.5,"7.0–7.4",IF(B113&lt;8,"7.5–7.9","8.0+"))))</f>
        <v>7.0–7.4</v>
      </c>
      <c r="Z113" s="3" t="n">
        <f aca="false">IF(T113="","",YEAR(T113))</f>
        <v>2021</v>
      </c>
    </row>
    <row r="114" customFormat="false" ht="13.8" hidden="false" customHeight="false" outlineLevel="0" collapsed="false">
      <c r="A114" s="3" t="s">
        <v>343</v>
      </c>
      <c r="B114" s="3" t="n">
        <v>7.1</v>
      </c>
      <c r="C114" s="3" t="s">
        <v>344</v>
      </c>
      <c r="D114" s="3" t="n">
        <v>9</v>
      </c>
      <c r="E114" s="3" t="n">
        <v>8</v>
      </c>
      <c r="F114" s="3" t="s">
        <v>95</v>
      </c>
      <c r="G114" s="3" t="n">
        <v>1</v>
      </c>
      <c r="H114" s="3" t="n">
        <v>1612</v>
      </c>
      <c r="I114" s="3" t="s">
        <v>22</v>
      </c>
      <c r="J114" s="3" t="n">
        <v>0</v>
      </c>
      <c r="K114" s="3" t="n">
        <v>3.085</v>
      </c>
      <c r="L114" s="3" t="n">
        <v>11</v>
      </c>
      <c r="M114" s="3" t="s">
        <v>23</v>
      </c>
      <c r="N114" s="3" t="n">
        <v>43.98</v>
      </c>
      <c r="O114" s="3" t="n">
        <v>37.6856</v>
      </c>
      <c r="P114" s="3" t="n">
        <v>141.992</v>
      </c>
      <c r="Q114" s="3" t="s">
        <v>217</v>
      </c>
      <c r="R114" s="3"/>
      <c r="S114" s="3"/>
      <c r="T114" s="5" t="n">
        <f aca="false">IF(C114="","",DATE(VALUE(MID(C114,7,4)),VALUE(MID(C114,4,2)),VALUE(MID(C114,1,2)))+TIME(VALUE(MID(C114,12,2)),VALUE(MID(C114,15,2)),0))</f>
        <v>44240.5881944444</v>
      </c>
      <c r="U114" s="3" t="str">
        <f aca="false">IFERROR(IF(ISNUMBER(VALUE(TRIM(MID(A114,FIND("-",A114)+1,FIND("km",A114)-FIND("-",A114)-1)))),"Distance + direction + city","Named-region"),"Named-region")</f>
        <v>Distance + direction + city</v>
      </c>
      <c r="V114" s="3" t="str">
        <f aca="false">LOWER(M114)</f>
        <v>mww</v>
      </c>
      <c r="W114" s="3" t="n">
        <f aca="false">COUNTIFS($A$2:$A$1001,A114,$C$2:$C$1001,C114)</f>
        <v>1</v>
      </c>
      <c r="X114" s="3" t="str">
        <f aca="false">IF(W114&gt;1,"Duplicate","Unique")</f>
        <v>Unique</v>
      </c>
      <c r="Y114" s="3" t="str">
        <f aca="false">IF(B114&lt;6.5,"&lt;6.5",IF(B114&lt;7,"6.5–6.9",IF(B114&lt;7.5,"7.0–7.4",IF(B114&lt;8,"7.5–7.9","8.0+"))))</f>
        <v>7.0–7.4</v>
      </c>
      <c r="Z114" s="3" t="n">
        <f aca="false">IF(T114="","",YEAR(T114))</f>
        <v>2021</v>
      </c>
    </row>
    <row r="115" customFormat="false" ht="13.8" hidden="false" customHeight="false" outlineLevel="0" collapsed="false">
      <c r="A115" s="3" t="s">
        <v>58</v>
      </c>
      <c r="B115" s="3" t="n">
        <v>7.7</v>
      </c>
      <c r="C115" s="6" t="s">
        <v>345</v>
      </c>
      <c r="D115" s="3" t="n">
        <v>9</v>
      </c>
      <c r="E115" s="3" t="n">
        <v>4</v>
      </c>
      <c r="F115" s="3" t="s">
        <v>21</v>
      </c>
      <c r="G115" s="3" t="n">
        <v>1</v>
      </c>
      <c r="H115" s="3" t="n">
        <v>918</v>
      </c>
      <c r="I115" s="3" t="s">
        <v>22</v>
      </c>
      <c r="J115" s="3" t="n">
        <v>0</v>
      </c>
      <c r="K115" s="3" t="n">
        <v>7.989</v>
      </c>
      <c r="L115" s="3" t="n">
        <v>15</v>
      </c>
      <c r="M115" s="3" t="s">
        <v>23</v>
      </c>
      <c r="N115" s="3" t="n">
        <v>10</v>
      </c>
      <c r="O115" s="3" t="n">
        <v>-23.2787</v>
      </c>
      <c r="P115" s="3" t="n">
        <v>171.489</v>
      </c>
      <c r="Q115" s="3" t="s">
        <v>57</v>
      </c>
      <c r="R115" s="3"/>
      <c r="S115" s="3"/>
      <c r="T115" s="5" t="n">
        <f aca="false">IF(C115="","",DATE(VALUE(MID(C115,7,4)),VALUE(MID(C115,4,2)),VALUE(MID(C115,1,2)))+TIME(VALUE(MID(C115,12,2)),VALUE(MID(C115,15,2)),0))</f>
        <v>44237.5548611111</v>
      </c>
      <c r="U115" s="3" t="str">
        <f aca="false">IFERROR(IF(ISNUMBER(VALUE(TRIM(MID(A115,FIND("-",A115)+1,FIND("km",A115)-FIND("-",A115)-1)))),"Distance + direction + city","Named-region"),"Named-region")</f>
        <v>Named-region</v>
      </c>
      <c r="V115" s="3" t="str">
        <f aca="false">LOWER(M115)</f>
        <v>mww</v>
      </c>
      <c r="W115" s="3" t="n">
        <f aca="false">COUNTIFS($A$2:$A$1001,A115,$C$2:$C$1001,C115)</f>
        <v>1</v>
      </c>
      <c r="X115" s="3" t="str">
        <f aca="false">IF(W115&gt;1,"Duplicate","Unique")</f>
        <v>Unique</v>
      </c>
      <c r="Y115" s="3" t="str">
        <f aca="false">IF(B115&lt;6.5,"&lt;6.5",IF(B115&lt;7,"6.5–6.9",IF(B115&lt;7.5,"7.0–7.4",IF(B115&lt;8,"7.5–7.9","8.0+"))))</f>
        <v>7.5–7.9</v>
      </c>
      <c r="Z115" s="3" t="n">
        <f aca="false">IF(T115="","",YEAR(T115))</f>
        <v>2021</v>
      </c>
    </row>
    <row r="116" customFormat="false" ht="13.8" hidden="false" customHeight="false" outlineLevel="0" collapsed="false">
      <c r="A116" s="3" t="s">
        <v>346</v>
      </c>
      <c r="B116" s="3" t="n">
        <v>6.9</v>
      </c>
      <c r="C116" s="3" t="s">
        <v>347</v>
      </c>
      <c r="D116" s="3" t="n">
        <v>9</v>
      </c>
      <c r="E116" s="3" t="n">
        <v>5</v>
      </c>
      <c r="F116" s="3" t="s">
        <v>21</v>
      </c>
      <c r="G116" s="3" t="n">
        <v>1</v>
      </c>
      <c r="H116" s="3" t="n">
        <v>739</v>
      </c>
      <c r="I116" s="3" t="s">
        <v>22</v>
      </c>
      <c r="J116" s="3" t="n">
        <v>0</v>
      </c>
      <c r="K116" s="3" t="n">
        <v>1.55</v>
      </c>
      <c r="L116" s="3" t="n">
        <v>16</v>
      </c>
      <c r="M116" s="3" t="s">
        <v>23</v>
      </c>
      <c r="N116" s="3" t="n">
        <v>15</v>
      </c>
      <c r="O116" s="3" t="n">
        <v>-61.8484</v>
      </c>
      <c r="P116" s="3" t="n">
        <v>-55.559</v>
      </c>
      <c r="Q116" s="3" t="s">
        <v>348</v>
      </c>
      <c r="R116" s="3"/>
      <c r="S116" s="3" t="s">
        <v>276</v>
      </c>
      <c r="T116" s="5" t="n">
        <f aca="false">IF(C116="","",DATE(VALUE(MID(C116,7,4)),VALUE(MID(C116,4,2)),VALUE(MID(C116,1,2)))+TIME(VALUE(MID(C116,12,2)),VALUE(MID(C116,15,2)),0))</f>
        <v>44219.9833333333</v>
      </c>
      <c r="U116" s="3" t="str">
        <f aca="false">IFERROR(IF(ISNUMBER(VALUE(TRIM(MID(A116,FIND("-",A116)+1,FIND("km",A116)-FIND("-",A116)-1)))),"Distance + direction + city","Named-region"),"Named-region")</f>
        <v>Named-region</v>
      </c>
      <c r="V116" s="3" t="str">
        <f aca="false">LOWER(M116)</f>
        <v>mww</v>
      </c>
      <c r="W116" s="3" t="n">
        <f aca="false">COUNTIFS($A$2:$A$1001,A116,$C$2:$C$1001,C116)</f>
        <v>1</v>
      </c>
      <c r="X116" s="3" t="str">
        <f aca="false">IF(W116&gt;1,"Duplicate","Unique")</f>
        <v>Unique</v>
      </c>
      <c r="Y116" s="3" t="str">
        <f aca="false">IF(B116&lt;6.5,"&lt;6.5",IF(B116&lt;7,"6.5–6.9",IF(B116&lt;7.5,"7.0–7.4",IF(B116&lt;8,"7.5–7.9","8.0+"))))</f>
        <v>6.5–6.9</v>
      </c>
      <c r="Z116" s="3" t="n">
        <f aca="false">IF(T116="","",YEAR(T116))</f>
        <v>2021</v>
      </c>
    </row>
    <row r="117" customFormat="false" ht="13.8" hidden="false" customHeight="false" outlineLevel="0" collapsed="false">
      <c r="A117" s="3" t="s">
        <v>349</v>
      </c>
      <c r="B117" s="3" t="n">
        <v>7</v>
      </c>
      <c r="C117" s="3" t="s">
        <v>350</v>
      </c>
      <c r="D117" s="3" t="n">
        <v>7</v>
      </c>
      <c r="E117" s="3" t="n">
        <v>5</v>
      </c>
      <c r="F117" s="3" t="s">
        <v>21</v>
      </c>
      <c r="G117" s="3" t="n">
        <v>1</v>
      </c>
      <c r="H117" s="3" t="n">
        <v>802</v>
      </c>
      <c r="I117" s="3" t="s">
        <v>22</v>
      </c>
      <c r="J117" s="3" t="n">
        <v>0</v>
      </c>
      <c r="K117" s="3" t="n">
        <v>2.821</v>
      </c>
      <c r="L117" s="3" t="n">
        <v>15</v>
      </c>
      <c r="M117" s="3" t="s">
        <v>23</v>
      </c>
      <c r="N117" s="3" t="n">
        <v>80</v>
      </c>
      <c r="O117" s="3" t="n">
        <v>5.0074</v>
      </c>
      <c r="P117" s="3" t="n">
        <v>127.517</v>
      </c>
      <c r="Q117" s="3" t="s">
        <v>297</v>
      </c>
      <c r="R117" s="3"/>
      <c r="S117" s="3"/>
      <c r="T117" s="5" t="n">
        <f aca="false">IF(C117="","",DATE(VALUE(MID(C117,7,4)),VALUE(MID(C117,4,2)),VALUE(MID(C117,1,2)))+TIME(VALUE(MID(C117,12,2)),VALUE(MID(C117,15,2)),0))</f>
        <v>44217.5159722222</v>
      </c>
      <c r="U117" s="3" t="str">
        <f aca="false">IFERROR(IF(ISNUMBER(VALUE(TRIM(MID(A117,FIND("-",A117)+1,FIND("km",A117)-FIND("-",A117)-1)))),"Distance + direction + city","Named-region"),"Named-region")</f>
        <v>Distance + direction + city</v>
      </c>
      <c r="V117" s="3" t="str">
        <f aca="false">LOWER(M117)</f>
        <v>mww</v>
      </c>
      <c r="W117" s="3" t="n">
        <f aca="false">COUNTIFS($A$2:$A$1001,A117,$C$2:$C$1001,C117)</f>
        <v>1</v>
      </c>
      <c r="X117" s="3" t="str">
        <f aca="false">IF(W117&gt;1,"Duplicate","Unique")</f>
        <v>Unique</v>
      </c>
      <c r="Y117" s="3" t="str">
        <f aca="false">IF(B117&lt;6.5,"&lt;6.5",IF(B117&lt;7,"6.5–6.9",IF(B117&lt;7.5,"7.0–7.4",IF(B117&lt;8,"7.5–7.9","8.0+"))))</f>
        <v>7.0–7.4</v>
      </c>
      <c r="Z117" s="3" t="n">
        <f aca="false">IF(T117="","",YEAR(T117))</f>
        <v>2021</v>
      </c>
    </row>
    <row r="118" customFormat="false" ht="13.8" hidden="false" customHeight="false" outlineLevel="0" collapsed="false">
      <c r="A118" s="3" t="s">
        <v>351</v>
      </c>
      <c r="B118" s="3" t="n">
        <v>6.7</v>
      </c>
      <c r="C118" s="6" t="s">
        <v>352</v>
      </c>
      <c r="D118" s="3" t="n">
        <v>8</v>
      </c>
      <c r="E118" s="3" t="n">
        <v>8</v>
      </c>
      <c r="F118" s="3" t="s">
        <v>21</v>
      </c>
      <c r="G118" s="3" t="n">
        <v>0</v>
      </c>
      <c r="H118" s="3" t="n">
        <v>776</v>
      </c>
      <c r="I118" s="3" t="s">
        <v>22</v>
      </c>
      <c r="J118" s="3" t="n">
        <v>0</v>
      </c>
      <c r="K118" s="3" t="n">
        <v>2.043</v>
      </c>
      <c r="L118" s="3" t="n">
        <v>22</v>
      </c>
      <c r="M118" s="3" t="s">
        <v>23</v>
      </c>
      <c r="N118" s="3" t="n">
        <v>10</v>
      </c>
      <c r="O118" s="3" t="n">
        <v>51.2407</v>
      </c>
      <c r="P118" s="3" t="n">
        <v>100.443</v>
      </c>
      <c r="Q118" s="3" t="s">
        <v>353</v>
      </c>
      <c r="R118" s="3" t="s">
        <v>80</v>
      </c>
      <c r="S118" s="3" t="s">
        <v>354</v>
      </c>
      <c r="T118" s="5" t="n">
        <f aca="false">IF(C118="","",DATE(VALUE(MID(C118,7,4)),VALUE(MID(C118,4,2)),VALUE(MID(C118,1,2)))+TIME(VALUE(MID(C118,12,2)),VALUE(MID(C118,15,2)),0))</f>
        <v>44207.8972222222</v>
      </c>
      <c r="U118" s="3" t="str">
        <f aca="false">IFERROR(IF(ISNUMBER(VALUE(TRIM(MID(A118,FIND("-",A118)+1,FIND("km",A118)-FIND("-",A118)-1)))),"Distance + direction + city","Named-region"),"Named-region")</f>
        <v>Distance + direction + city</v>
      </c>
      <c r="V118" s="3" t="str">
        <f aca="false">LOWER(M118)</f>
        <v>mww</v>
      </c>
      <c r="W118" s="3" t="n">
        <f aca="false">COUNTIFS($A$2:$A$1001,A118,$C$2:$C$1001,C118)</f>
        <v>1</v>
      </c>
      <c r="X118" s="3" t="str">
        <f aca="false">IF(W118&gt;1,"Duplicate","Unique")</f>
        <v>Unique</v>
      </c>
      <c r="Y118" s="3" t="str">
        <f aca="false">IF(B118&lt;6.5,"&lt;6.5",IF(B118&lt;7,"6.5–6.9",IF(B118&lt;7.5,"7.0–7.4",IF(B118&lt;8,"7.5–7.9","8.0+"))))</f>
        <v>6.5–6.9</v>
      </c>
      <c r="Z118" s="3" t="n">
        <f aca="false">IF(T118="","",YEAR(T118))</f>
        <v>2021</v>
      </c>
    </row>
    <row r="119" customFormat="false" ht="13.8" hidden="false" customHeight="false" outlineLevel="0" collapsed="false">
      <c r="A119" s="3" t="s">
        <v>355</v>
      </c>
      <c r="B119" s="3" t="n">
        <v>6.7</v>
      </c>
      <c r="C119" s="3" t="s">
        <v>356</v>
      </c>
      <c r="D119" s="3" t="n">
        <v>5</v>
      </c>
      <c r="E119" s="3" t="n">
        <v>5</v>
      </c>
      <c r="F119" s="3" t="s">
        <v>21</v>
      </c>
      <c r="G119" s="3" t="n">
        <v>1</v>
      </c>
      <c r="H119" s="3" t="n">
        <v>776</v>
      </c>
      <c r="I119" s="3" t="s">
        <v>22</v>
      </c>
      <c r="J119" s="3" t="n">
        <v>0</v>
      </c>
      <c r="K119" s="3" t="n">
        <v>1.319</v>
      </c>
      <c r="L119" s="3" t="n">
        <v>19</v>
      </c>
      <c r="M119" s="3" t="s">
        <v>23</v>
      </c>
      <c r="N119" s="3" t="n">
        <v>10</v>
      </c>
      <c r="O119" s="3" t="n">
        <v>-39.3264</v>
      </c>
      <c r="P119" s="3" t="n">
        <v>-74.9067</v>
      </c>
      <c r="Q119" s="3" t="s">
        <v>357</v>
      </c>
      <c r="R119" s="3"/>
      <c r="S119" s="3"/>
      <c r="T119" s="5" t="n">
        <f aca="false">IF(C119="","",DATE(VALUE(MID(C119,7,4)),VALUE(MID(C119,4,2)),VALUE(MID(C119,1,2)))+TIME(VALUE(MID(C119,12,2)),VALUE(MID(C119,15,2)),0))</f>
        <v>44192.9020833333</v>
      </c>
      <c r="U119" s="3" t="str">
        <f aca="false">IFERROR(IF(ISNUMBER(VALUE(TRIM(MID(A119,FIND("-",A119)+1,FIND("km",A119)-FIND("-",A119)-1)))),"Distance + direction + city","Named-region"),"Named-region")</f>
        <v>Distance + direction + city</v>
      </c>
      <c r="V119" s="3" t="str">
        <f aca="false">LOWER(M119)</f>
        <v>mww</v>
      </c>
      <c r="W119" s="3" t="n">
        <f aca="false">COUNTIFS($A$2:$A$1001,A119,$C$2:$C$1001,C119)</f>
        <v>1</v>
      </c>
      <c r="X119" s="3" t="str">
        <f aca="false">IF(W119&gt;1,"Duplicate","Unique")</f>
        <v>Unique</v>
      </c>
      <c r="Y119" s="3" t="str">
        <f aca="false">IF(B119&lt;6.5,"&lt;6.5",IF(B119&lt;7,"6.5–6.9",IF(B119&lt;7.5,"7.0–7.4",IF(B119&lt;8,"7.5–7.9","8.0+"))))</f>
        <v>6.5–6.9</v>
      </c>
      <c r="Z119" s="3" t="n">
        <f aca="false">IF(T119="","",YEAR(T119))</f>
        <v>2020</v>
      </c>
    </row>
    <row r="120" customFormat="false" ht="13.8" hidden="false" customHeight="false" outlineLevel="0" collapsed="false">
      <c r="A120" s="3" t="s">
        <v>358</v>
      </c>
      <c r="B120" s="3" t="n">
        <v>7</v>
      </c>
      <c r="C120" s="3" t="s">
        <v>359</v>
      </c>
      <c r="D120" s="3" t="n">
        <v>8</v>
      </c>
      <c r="E120" s="3" t="n">
        <v>7</v>
      </c>
      <c r="F120" s="3" t="s">
        <v>95</v>
      </c>
      <c r="G120" s="3" t="n">
        <v>0</v>
      </c>
      <c r="H120" s="3" t="n">
        <v>1527</v>
      </c>
      <c r="I120" s="3" t="s">
        <v>22</v>
      </c>
      <c r="J120" s="3" t="n">
        <v>0</v>
      </c>
      <c r="K120" s="3" t="n">
        <v>1.518</v>
      </c>
      <c r="L120" s="3" t="n">
        <v>18</v>
      </c>
      <c r="M120" s="3" t="s">
        <v>23</v>
      </c>
      <c r="N120" s="3" t="n">
        <v>21</v>
      </c>
      <c r="O120" s="3" t="n">
        <v>37.8973</v>
      </c>
      <c r="P120" s="3" t="n">
        <v>26.7953</v>
      </c>
      <c r="Q120" s="3" t="s">
        <v>360</v>
      </c>
      <c r="R120" s="3" t="s">
        <v>361</v>
      </c>
      <c r="S120" s="3" t="s">
        <v>362</v>
      </c>
      <c r="T120" s="5" t="n">
        <f aca="false">IF(C120="","",DATE(VALUE(MID(C120,7,4)),VALUE(MID(C120,4,2)),VALUE(MID(C120,1,2)))+TIME(VALUE(MID(C120,12,2)),VALUE(MID(C120,15,2)),0))</f>
        <v>44134.49375</v>
      </c>
      <c r="U120" s="3" t="str">
        <f aca="false">IFERROR(IF(ISNUMBER(VALUE(TRIM(MID(A120,FIND("-",A120)+1,FIND("km",A120)-FIND("-",A120)-1)))),"Distance + direction + city","Named-region"),"Named-region")</f>
        <v>Distance + direction + city</v>
      </c>
      <c r="V120" s="3" t="str">
        <f aca="false">LOWER(M120)</f>
        <v>mww</v>
      </c>
      <c r="W120" s="3" t="n">
        <f aca="false">COUNTIFS($A$2:$A$1001,A120,$C$2:$C$1001,C120)</f>
        <v>1</v>
      </c>
      <c r="X120" s="3" t="str">
        <f aca="false">IF(W120&gt;1,"Duplicate","Unique")</f>
        <v>Unique</v>
      </c>
      <c r="Y120" s="3" t="str">
        <f aca="false">IF(B120&lt;6.5,"&lt;6.5",IF(B120&lt;7,"6.5–6.9",IF(B120&lt;7.5,"7.0–7.4",IF(B120&lt;8,"7.5–7.9","8.0+"))))</f>
        <v>7.0–7.4</v>
      </c>
      <c r="Z120" s="3" t="n">
        <f aca="false">IF(T120="","",YEAR(T120))</f>
        <v>2020</v>
      </c>
    </row>
    <row r="121" customFormat="false" ht="13.8" hidden="false" customHeight="false" outlineLevel="0" collapsed="false">
      <c r="A121" s="3" t="s">
        <v>363</v>
      </c>
      <c r="B121" s="3" t="n">
        <v>7.6</v>
      </c>
      <c r="C121" s="3" t="s">
        <v>364</v>
      </c>
      <c r="D121" s="3" t="n">
        <v>9</v>
      </c>
      <c r="E121" s="3" t="n">
        <v>7</v>
      </c>
      <c r="F121" s="3" t="s">
        <v>28</v>
      </c>
      <c r="G121" s="3" t="n">
        <v>1</v>
      </c>
      <c r="H121" s="3" t="n">
        <v>1165</v>
      </c>
      <c r="I121" s="3" t="s">
        <v>22</v>
      </c>
      <c r="J121" s="3" t="n">
        <v>0</v>
      </c>
      <c r="K121" s="3" t="n">
        <v>0.23</v>
      </c>
      <c r="L121" s="3" t="n">
        <v>36</v>
      </c>
      <c r="M121" s="3" t="s">
        <v>23</v>
      </c>
      <c r="N121" s="3" t="n">
        <v>28.37</v>
      </c>
      <c r="O121" s="3" t="n">
        <v>54.662</v>
      </c>
      <c r="P121" s="3" t="n">
        <v>-159.675</v>
      </c>
      <c r="Q121" s="3" t="s">
        <v>37</v>
      </c>
      <c r="R121" s="3" t="s">
        <v>164</v>
      </c>
      <c r="S121" s="3" t="s">
        <v>261</v>
      </c>
      <c r="T121" s="5" t="n">
        <f aca="false">IF(C121="","",DATE(VALUE(MID(C121,7,4)),VALUE(MID(C121,4,2)),VALUE(MID(C121,1,2)))+TIME(VALUE(MID(C121,12,2)),VALUE(MID(C121,15,2)),0))</f>
        <v>44123.8708333333</v>
      </c>
      <c r="U121" s="3" t="str">
        <f aca="false">IFERROR(IF(ISNUMBER(VALUE(TRIM(MID(A121,FIND("-",A121)+1,FIND("km",A121)-FIND("-",A121)-1)))),"Distance + direction + city","Named-region"),"Named-region")</f>
        <v>Distance + direction + city</v>
      </c>
      <c r="V121" s="3" t="str">
        <f aca="false">LOWER(M121)</f>
        <v>mww</v>
      </c>
      <c r="W121" s="3" t="n">
        <f aca="false">COUNTIFS($A$2:$A$1001,A121,$C$2:$C$1001,C121)</f>
        <v>1</v>
      </c>
      <c r="X121" s="3" t="str">
        <f aca="false">IF(W121&gt;1,"Duplicate","Unique")</f>
        <v>Unique</v>
      </c>
      <c r="Y121" s="3" t="str">
        <f aca="false">IF(B121&lt;6.5,"&lt;6.5",IF(B121&lt;7,"6.5–6.9",IF(B121&lt;7.5,"7.0–7.4",IF(B121&lt;8,"7.5–7.9","8.0+"))))</f>
        <v>7.5–7.9</v>
      </c>
      <c r="Z121" s="3" t="n">
        <f aca="false">IF(T121="","",YEAR(T121))</f>
        <v>2020</v>
      </c>
    </row>
    <row r="122" customFormat="false" ht="13.8" hidden="false" customHeight="false" outlineLevel="0" collapsed="false">
      <c r="A122" s="3" t="s">
        <v>365</v>
      </c>
      <c r="B122" s="3" t="n">
        <v>6.9</v>
      </c>
      <c r="C122" s="3" t="s">
        <v>366</v>
      </c>
      <c r="D122" s="3" t="n">
        <v>0</v>
      </c>
      <c r="E122" s="3" t="n">
        <v>3</v>
      </c>
      <c r="F122" s="3" t="s">
        <v>21</v>
      </c>
      <c r="G122" s="3" t="n">
        <v>1</v>
      </c>
      <c r="H122" s="3" t="n">
        <v>732</v>
      </c>
      <c r="I122" s="3" t="s">
        <v>22</v>
      </c>
      <c r="J122" s="3" t="n">
        <v>0</v>
      </c>
      <c r="K122" s="3" t="n">
        <v>11.255</v>
      </c>
      <c r="L122" s="3" t="n">
        <v>16</v>
      </c>
      <c r="M122" s="3" t="s">
        <v>23</v>
      </c>
      <c r="N122" s="3" t="n">
        <v>10</v>
      </c>
      <c r="O122" s="3" t="n">
        <v>0.9604</v>
      </c>
      <c r="P122" s="3" t="n">
        <v>-26.8332</v>
      </c>
      <c r="Q122" s="3" t="s">
        <v>367</v>
      </c>
      <c r="R122" s="3"/>
      <c r="S122" s="3"/>
      <c r="T122" s="5" t="n">
        <f aca="false">IF(C122="","",DATE(VALUE(MID(C122,7,4)),VALUE(MID(C122,4,2)),VALUE(MID(C122,1,2)))+TIME(VALUE(MID(C122,12,2)),VALUE(MID(C122,15,2)),0))</f>
        <v>44092.9048611111</v>
      </c>
      <c r="U122" s="3" t="str">
        <f aca="false">IFERROR(IF(ISNUMBER(VALUE(TRIM(MID(A122,FIND("-",A122)+1,FIND("km",A122)-FIND("-",A122)-1)))),"Distance + direction + city","Named-region"),"Named-region")</f>
        <v>Named-region</v>
      </c>
      <c r="V122" s="3" t="str">
        <f aca="false">LOWER(M122)</f>
        <v>mww</v>
      </c>
      <c r="W122" s="3" t="n">
        <f aca="false">COUNTIFS($A$2:$A$1001,A122,$C$2:$C$1001,C122)</f>
        <v>1</v>
      </c>
      <c r="X122" s="3" t="str">
        <f aca="false">IF(W122&gt;1,"Duplicate","Unique")</f>
        <v>Unique</v>
      </c>
      <c r="Y122" s="3" t="str">
        <f aca="false">IF(B122&lt;6.5,"&lt;6.5",IF(B122&lt;7,"6.5–6.9",IF(B122&lt;7.5,"7.0–7.4",IF(B122&lt;8,"7.5–7.9","8.0+"))))</f>
        <v>6.5–6.9</v>
      </c>
      <c r="Z122" s="3" t="n">
        <f aca="false">IF(T122="","",YEAR(T122))</f>
        <v>2020</v>
      </c>
    </row>
    <row r="123" customFormat="false" ht="13.8" hidden="false" customHeight="false" outlineLevel="0" collapsed="false">
      <c r="A123" s="3" t="s">
        <v>368</v>
      </c>
      <c r="B123" s="3" t="n">
        <v>6.5</v>
      </c>
      <c r="C123" s="6" t="s">
        <v>369</v>
      </c>
      <c r="D123" s="3" t="n">
        <v>6</v>
      </c>
      <c r="E123" s="3" t="n">
        <v>6</v>
      </c>
      <c r="F123" s="3" t="s">
        <v>21</v>
      </c>
      <c r="G123" s="3" t="n">
        <v>0</v>
      </c>
      <c r="H123" s="3" t="n">
        <v>674</v>
      </c>
      <c r="I123" s="3" t="s">
        <v>22</v>
      </c>
      <c r="J123" s="3" t="n">
        <v>0</v>
      </c>
      <c r="K123" s="3" t="n">
        <v>0.388</v>
      </c>
      <c r="L123" s="3" t="n">
        <v>49</v>
      </c>
      <c r="M123" s="3" t="s">
        <v>23</v>
      </c>
      <c r="N123" s="3" t="n">
        <v>16</v>
      </c>
      <c r="O123" s="3" t="n">
        <v>-27.9285</v>
      </c>
      <c r="P123" s="3" t="n">
        <v>-71.3937</v>
      </c>
      <c r="Q123" s="3" t="s">
        <v>370</v>
      </c>
      <c r="R123" s="3"/>
      <c r="S123" s="3"/>
      <c r="T123" s="5" t="n">
        <f aca="false">IF(C123="","",DATE(VALUE(MID(C123,7,4)),VALUE(MID(C123,4,2)),VALUE(MID(C123,1,2)))+TIME(VALUE(MID(C123,12,2)),VALUE(MID(C123,15,2)),0))</f>
        <v>44075.88125</v>
      </c>
      <c r="U123" s="3" t="str">
        <f aca="false">IFERROR(IF(ISNUMBER(VALUE(TRIM(MID(A123,FIND("-",A123)+1,FIND("km",A123)-FIND("-",A123)-1)))),"Distance + direction + city","Named-region"),"Named-region")</f>
        <v>Distance + direction + city</v>
      </c>
      <c r="V123" s="3" t="str">
        <f aca="false">LOWER(M123)</f>
        <v>mww</v>
      </c>
      <c r="W123" s="3" t="n">
        <f aca="false">COUNTIFS($A$2:$A$1001,A123,$C$2:$C$1001,C123)</f>
        <v>1</v>
      </c>
      <c r="X123" s="3" t="str">
        <f aca="false">IF(W123&gt;1,"Duplicate","Unique")</f>
        <v>Unique</v>
      </c>
      <c r="Y123" s="3" t="str">
        <f aca="false">IF(B123&lt;6.5,"&lt;6.5",IF(B123&lt;7,"6.5–6.9",IF(B123&lt;7.5,"7.0–7.4",IF(B123&lt;8,"7.5–7.9","8.0+"))))</f>
        <v>6.5–6.9</v>
      </c>
      <c r="Z123" s="3" t="n">
        <f aca="false">IF(T123="","",YEAR(T123))</f>
        <v>2020</v>
      </c>
    </row>
    <row r="124" customFormat="false" ht="13.8" hidden="false" customHeight="false" outlineLevel="0" collapsed="false">
      <c r="A124" s="3" t="s">
        <v>371</v>
      </c>
      <c r="B124" s="3" t="n">
        <v>6.8</v>
      </c>
      <c r="C124" s="6" t="s">
        <v>372</v>
      </c>
      <c r="D124" s="3" t="n">
        <v>6</v>
      </c>
      <c r="E124" s="3" t="n">
        <v>7</v>
      </c>
      <c r="F124" s="3" t="s">
        <v>21</v>
      </c>
      <c r="G124" s="3" t="n">
        <v>1</v>
      </c>
      <c r="H124" s="3" t="n">
        <v>824</v>
      </c>
      <c r="I124" s="3" t="s">
        <v>22</v>
      </c>
      <c r="J124" s="3" t="n">
        <v>0</v>
      </c>
      <c r="K124" s="3" t="n">
        <v>0.312</v>
      </c>
      <c r="L124" s="3" t="n">
        <v>69</v>
      </c>
      <c r="M124" s="3" t="s">
        <v>23</v>
      </c>
      <c r="N124" s="3" t="n">
        <v>21</v>
      </c>
      <c r="O124" s="3" t="n">
        <v>-28.013</v>
      </c>
      <c r="P124" s="3" t="n">
        <v>-71.1958</v>
      </c>
      <c r="Q124" s="3" t="s">
        <v>370</v>
      </c>
      <c r="R124" s="3"/>
      <c r="S124" s="3" t="s">
        <v>373</v>
      </c>
      <c r="T124" s="5" t="n">
        <f aca="false">IF(C124="","",DATE(VALUE(MID(C124,7,4)),VALUE(MID(C124,4,2)),VALUE(MID(C124,1,2)))+TIME(VALUE(MID(C124,12,2)),VALUE(MID(C124,15,2)),0))</f>
        <v>44075.1729166667</v>
      </c>
      <c r="U124" s="3" t="str">
        <f aca="false">IFERROR(IF(ISNUMBER(VALUE(TRIM(MID(A124,FIND("-",A124)+1,FIND("km",A124)-FIND("-",A124)-1)))),"Distance + direction + city","Named-region"),"Named-region")</f>
        <v>Distance + direction + city</v>
      </c>
      <c r="V124" s="3" t="str">
        <f aca="false">LOWER(M124)</f>
        <v>mww</v>
      </c>
      <c r="W124" s="3" t="n">
        <f aca="false">COUNTIFS($A$2:$A$1001,A124,$C$2:$C$1001,C124)</f>
        <v>1</v>
      </c>
      <c r="X124" s="3" t="str">
        <f aca="false">IF(W124&gt;1,"Duplicate","Unique")</f>
        <v>Unique</v>
      </c>
      <c r="Y124" s="3" t="str">
        <f aca="false">IF(B124&lt;6.5,"&lt;6.5",IF(B124&lt;7,"6.5–6.9",IF(B124&lt;7.5,"7.0–7.4",IF(B124&lt;8,"7.5–7.9","8.0+"))))</f>
        <v>6.5–6.9</v>
      </c>
      <c r="Z124" s="3" t="n">
        <f aca="false">IF(T124="","",YEAR(T124))</f>
        <v>2020</v>
      </c>
    </row>
    <row r="125" customFormat="false" ht="13.8" hidden="false" customHeight="false" outlineLevel="0" collapsed="false">
      <c r="A125" s="3" t="s">
        <v>374</v>
      </c>
      <c r="B125" s="3" t="n">
        <v>6.5</v>
      </c>
      <c r="C125" s="3" t="s">
        <v>375</v>
      </c>
      <c r="D125" s="3" t="n">
        <v>4</v>
      </c>
      <c r="E125" s="3" t="n">
        <v>5</v>
      </c>
      <c r="F125" s="3" t="s">
        <v>21</v>
      </c>
      <c r="G125" s="3" t="n">
        <v>0</v>
      </c>
      <c r="H125" s="3" t="n">
        <v>651</v>
      </c>
      <c r="I125" s="3" t="s">
        <v>22</v>
      </c>
      <c r="J125" s="3" t="n">
        <v>0</v>
      </c>
      <c r="K125" s="3" t="n">
        <v>15.394</v>
      </c>
      <c r="L125" s="3" t="n">
        <v>31</v>
      </c>
      <c r="M125" s="3" t="s">
        <v>23</v>
      </c>
      <c r="N125" s="3" t="n">
        <v>10</v>
      </c>
      <c r="O125" s="3" t="n">
        <v>0.8696</v>
      </c>
      <c r="P125" s="3" t="n">
        <v>-29.7046</v>
      </c>
      <c r="Q125" s="3" t="s">
        <v>367</v>
      </c>
      <c r="R125" s="3"/>
      <c r="S125" s="3"/>
      <c r="T125" s="5" t="n">
        <f aca="false">IF(C125="","",DATE(VALUE(MID(C125,7,4)),VALUE(MID(C125,4,2)),VALUE(MID(C125,1,2)))+TIME(VALUE(MID(C125,12,2)),VALUE(MID(C125,15,2)),0))</f>
        <v>44073.8888888889</v>
      </c>
      <c r="U125" s="3" t="str">
        <f aca="false">IFERROR(IF(ISNUMBER(VALUE(TRIM(MID(A125,FIND("-",A125)+1,FIND("km",A125)-FIND("-",A125)-1)))),"Distance + direction + city","Named-region"),"Named-region")</f>
        <v>Named-region</v>
      </c>
      <c r="V125" s="3" t="str">
        <f aca="false">LOWER(M125)</f>
        <v>mww</v>
      </c>
      <c r="W125" s="3" t="n">
        <f aca="false">COUNTIFS($A$2:$A$1001,A125,$C$2:$C$1001,C125)</f>
        <v>1</v>
      </c>
      <c r="X125" s="3" t="str">
        <f aca="false">IF(W125&gt;1,"Duplicate","Unique")</f>
        <v>Unique</v>
      </c>
      <c r="Y125" s="3" t="str">
        <f aca="false">IF(B125&lt;6.5,"&lt;6.5",IF(B125&lt;7,"6.5–6.9",IF(B125&lt;7.5,"7.0–7.4",IF(B125&lt;8,"7.5–7.9","8.0+"))))</f>
        <v>6.5–6.9</v>
      </c>
      <c r="Z125" s="3" t="n">
        <f aca="false">IF(T125="","",YEAR(T125))</f>
        <v>2020</v>
      </c>
    </row>
    <row r="126" customFormat="false" ht="13.8" hidden="false" customHeight="false" outlineLevel="0" collapsed="false">
      <c r="A126" s="3" t="s">
        <v>376</v>
      </c>
      <c r="B126" s="3" t="n">
        <v>6.9</v>
      </c>
      <c r="C126" s="3" t="s">
        <v>377</v>
      </c>
      <c r="D126" s="3" t="n">
        <v>4</v>
      </c>
      <c r="E126" s="3" t="n">
        <v>3</v>
      </c>
      <c r="F126" s="3" t="s">
        <v>21</v>
      </c>
      <c r="G126" s="3" t="n">
        <v>0</v>
      </c>
      <c r="H126" s="3" t="n">
        <v>749</v>
      </c>
      <c r="I126" s="3" t="s">
        <v>22</v>
      </c>
      <c r="J126" s="3" t="n">
        <v>0</v>
      </c>
      <c r="K126" s="3" t="n">
        <v>2.267</v>
      </c>
      <c r="L126" s="3" t="n">
        <v>20</v>
      </c>
      <c r="M126" s="3" t="s">
        <v>23</v>
      </c>
      <c r="N126" s="3" t="n">
        <v>624</v>
      </c>
      <c r="O126" s="3" t="n">
        <v>-6.6704</v>
      </c>
      <c r="P126" s="3" t="n">
        <v>123.493</v>
      </c>
      <c r="Q126" s="3" t="s">
        <v>378</v>
      </c>
      <c r="R126" s="3"/>
      <c r="S126" s="3" t="s">
        <v>68</v>
      </c>
      <c r="T126" s="5" t="n">
        <f aca="false">IF(C126="","",DATE(VALUE(MID(C126,7,4)),VALUE(MID(C126,4,2)),VALUE(MID(C126,1,2)))+TIME(VALUE(MID(C126,12,2)),VALUE(MID(C126,15,2)),0))</f>
        <v>44064.1729166667</v>
      </c>
      <c r="U126" s="3" t="str">
        <f aca="false">IFERROR(IF(ISNUMBER(VALUE(TRIM(MID(A126,FIND("-",A126)+1,FIND("km",A126)-FIND("-",A126)-1)))),"Distance + direction + city","Named-region"),"Named-region")</f>
        <v>Distance + direction + city</v>
      </c>
      <c r="V126" s="3" t="str">
        <f aca="false">LOWER(M126)</f>
        <v>mww</v>
      </c>
      <c r="W126" s="3" t="n">
        <f aca="false">COUNTIFS($A$2:$A$1001,A126,$C$2:$C$1001,C126)</f>
        <v>1</v>
      </c>
      <c r="X126" s="3" t="str">
        <f aca="false">IF(W126&gt;1,"Duplicate","Unique")</f>
        <v>Unique</v>
      </c>
      <c r="Y126" s="3" t="str">
        <f aca="false">IF(B126&lt;6.5,"&lt;6.5",IF(B126&lt;7,"6.5–6.9",IF(B126&lt;7.5,"7.0–7.4",IF(B126&lt;8,"7.5–7.9","8.0+"))))</f>
        <v>6.5–6.9</v>
      </c>
      <c r="Z126" s="3" t="n">
        <f aca="false">IF(T126="","",YEAR(T126))</f>
        <v>2020</v>
      </c>
    </row>
    <row r="127" customFormat="false" ht="13.8" hidden="false" customHeight="false" outlineLevel="0" collapsed="false">
      <c r="A127" s="3" t="s">
        <v>379</v>
      </c>
      <c r="B127" s="3" t="n">
        <v>6.9</v>
      </c>
      <c r="C127" s="3" t="s">
        <v>380</v>
      </c>
      <c r="D127" s="3" t="n">
        <v>4</v>
      </c>
      <c r="E127" s="3" t="n">
        <v>4</v>
      </c>
      <c r="F127" s="3" t="s">
        <v>21</v>
      </c>
      <c r="G127" s="3" t="n">
        <v>0</v>
      </c>
      <c r="H127" s="3" t="n">
        <v>735</v>
      </c>
      <c r="I127" s="3" t="s">
        <v>22</v>
      </c>
      <c r="J127" s="3" t="n">
        <v>0</v>
      </c>
      <c r="K127" s="3" t="n">
        <v>1.716</v>
      </c>
      <c r="L127" s="3" t="n">
        <v>25</v>
      </c>
      <c r="M127" s="3" t="s">
        <v>23</v>
      </c>
      <c r="N127" s="3" t="n">
        <v>26</v>
      </c>
      <c r="O127" s="3" t="n">
        <v>-4.2791</v>
      </c>
      <c r="P127" s="3" t="n">
        <v>101.215</v>
      </c>
      <c r="Q127" s="3" t="s">
        <v>143</v>
      </c>
      <c r="R127" s="3"/>
      <c r="S127" s="3" t="s">
        <v>68</v>
      </c>
      <c r="T127" s="5" t="n">
        <f aca="false">IF(C127="","",DATE(VALUE(MID(C127,7,4)),VALUE(MID(C127,4,2)),VALUE(MID(C127,1,2)))+TIME(VALUE(MID(C127,12,2)),VALUE(MID(C127,15,2)),0))</f>
        <v>44061.9368055556</v>
      </c>
      <c r="U127" s="3" t="str">
        <f aca="false">IFERROR(IF(ISNUMBER(VALUE(TRIM(MID(A127,FIND("-",A127)+1,FIND("km",A127)-FIND("-",A127)-1)))),"Distance + direction + city","Named-region"),"Named-region")</f>
        <v>Distance + direction + city</v>
      </c>
      <c r="V127" s="3" t="str">
        <f aca="false">LOWER(M127)</f>
        <v>mww</v>
      </c>
      <c r="W127" s="3" t="n">
        <f aca="false">COUNTIFS($A$2:$A$1001,A127,$C$2:$C$1001,C127)</f>
        <v>1</v>
      </c>
      <c r="X127" s="3" t="str">
        <f aca="false">IF(W127&gt;1,"Duplicate","Unique")</f>
        <v>Unique</v>
      </c>
      <c r="Y127" s="3" t="str">
        <f aca="false">IF(B127&lt;6.5,"&lt;6.5",IF(B127&lt;7,"6.5–6.9",IF(B127&lt;7.5,"7.0–7.4",IF(B127&lt;8,"7.5–7.9","8.0+"))))</f>
        <v>6.5–6.9</v>
      </c>
      <c r="Z127" s="3" t="n">
        <f aca="false">IF(T127="","",YEAR(T127))</f>
        <v>2020</v>
      </c>
    </row>
    <row r="128" customFormat="false" ht="13.8" hidden="false" customHeight="false" outlineLevel="0" collapsed="false">
      <c r="A128" s="3" t="s">
        <v>381</v>
      </c>
      <c r="B128" s="3" t="n">
        <v>6.8</v>
      </c>
      <c r="C128" s="3" t="s">
        <v>382</v>
      </c>
      <c r="D128" s="3" t="n">
        <v>5</v>
      </c>
      <c r="E128" s="3" t="n">
        <v>4</v>
      </c>
      <c r="F128" s="3" t="s">
        <v>21</v>
      </c>
      <c r="G128" s="3" t="n">
        <v>0</v>
      </c>
      <c r="H128" s="3" t="n">
        <v>716</v>
      </c>
      <c r="I128" s="3" t="s">
        <v>22</v>
      </c>
      <c r="J128" s="3" t="n">
        <v>0</v>
      </c>
      <c r="K128" s="3" t="n">
        <v>1.816</v>
      </c>
      <c r="L128" s="3" t="n">
        <v>34</v>
      </c>
      <c r="M128" s="3" t="s">
        <v>23</v>
      </c>
      <c r="N128" s="3" t="n">
        <v>22</v>
      </c>
      <c r="O128" s="3" t="n">
        <v>-4.3724</v>
      </c>
      <c r="P128" s="3" t="n">
        <v>101.095</v>
      </c>
      <c r="Q128" s="3" t="s">
        <v>143</v>
      </c>
      <c r="R128" s="3"/>
      <c r="S128" s="3" t="s">
        <v>68</v>
      </c>
      <c r="T128" s="5" t="n">
        <f aca="false">IF(C128="","",DATE(VALUE(MID(C128,7,4)),VALUE(MID(C128,4,2)),VALUE(MID(C128,1,2)))+TIME(VALUE(MID(C128,12,2)),VALUE(MID(C128,15,2)),0))</f>
        <v>44061.9326388889</v>
      </c>
      <c r="U128" s="3" t="str">
        <f aca="false">IFERROR(IF(ISNUMBER(VALUE(TRIM(MID(A128,FIND("-",A128)+1,FIND("km",A128)-FIND("-",A128)-1)))),"Distance + direction + city","Named-region"),"Named-region")</f>
        <v>Distance + direction + city</v>
      </c>
      <c r="V128" s="3" t="str">
        <f aca="false">LOWER(M128)</f>
        <v>mww</v>
      </c>
      <c r="W128" s="3" t="n">
        <f aca="false">COUNTIFS($A$2:$A$1001,A128,$C$2:$C$1001,C128)</f>
        <v>1</v>
      </c>
      <c r="X128" s="3" t="str">
        <f aca="false">IF(W128&gt;1,"Duplicate","Unique")</f>
        <v>Unique</v>
      </c>
      <c r="Y128" s="3" t="str">
        <f aca="false">IF(B128&lt;6.5,"&lt;6.5",IF(B128&lt;7,"6.5–6.9",IF(B128&lt;7.5,"7.0–7.4",IF(B128&lt;8,"7.5–7.9","8.0+"))))</f>
        <v>6.5–6.9</v>
      </c>
      <c r="Z128" s="3" t="n">
        <f aca="false">IF(T128="","",YEAR(T128))</f>
        <v>2020</v>
      </c>
    </row>
    <row r="129" customFormat="false" ht="13.8" hidden="false" customHeight="false" outlineLevel="0" collapsed="false">
      <c r="A129" s="3" t="s">
        <v>383</v>
      </c>
      <c r="B129" s="3" t="n">
        <v>6.6</v>
      </c>
      <c r="C129" s="3" t="s">
        <v>384</v>
      </c>
      <c r="D129" s="3" t="n">
        <v>9</v>
      </c>
      <c r="E129" s="3" t="n">
        <v>8</v>
      </c>
      <c r="F129" s="3" t="s">
        <v>28</v>
      </c>
      <c r="G129" s="3" t="n">
        <v>1</v>
      </c>
      <c r="H129" s="3" t="n">
        <v>784</v>
      </c>
      <c r="I129" s="3" t="s">
        <v>22</v>
      </c>
      <c r="J129" s="3" t="n">
        <v>0</v>
      </c>
      <c r="K129" s="3" t="n">
        <v>5.128</v>
      </c>
      <c r="L129" s="3" t="n">
        <v>14</v>
      </c>
      <c r="M129" s="3" t="s">
        <v>23</v>
      </c>
      <c r="N129" s="3" t="n">
        <v>10</v>
      </c>
      <c r="O129" s="3" t="n">
        <v>12.0065</v>
      </c>
      <c r="P129" s="3" t="n">
        <v>124.13</v>
      </c>
      <c r="Q129" s="3" t="s">
        <v>385</v>
      </c>
      <c r="R129" s="3"/>
      <c r="S129" s="3" t="s">
        <v>191</v>
      </c>
      <c r="T129" s="5" t="n">
        <f aca="false">IF(C129="","",DATE(VALUE(MID(C129,7,4)),VALUE(MID(C129,4,2)),VALUE(MID(C129,1,2)))+TIME(VALUE(MID(C129,12,2)),VALUE(MID(C129,15,2)),0))</f>
        <v>44061.0020833333</v>
      </c>
      <c r="U129" s="3" t="str">
        <f aca="false">IFERROR(IF(ISNUMBER(VALUE(TRIM(MID(A129,FIND("-",A129)+1,FIND("km",A129)-FIND("-",A129)-1)))),"Distance + direction + city","Named-region"),"Named-region")</f>
        <v>Distance + direction + city</v>
      </c>
      <c r="V129" s="3" t="str">
        <f aca="false">LOWER(M129)</f>
        <v>mww</v>
      </c>
      <c r="W129" s="3" t="n">
        <f aca="false">COUNTIFS($A$2:$A$1001,A129,$C$2:$C$1001,C129)</f>
        <v>1</v>
      </c>
      <c r="X129" s="3" t="str">
        <f aca="false">IF(W129&gt;1,"Duplicate","Unique")</f>
        <v>Unique</v>
      </c>
      <c r="Y129" s="3" t="str">
        <f aca="false">IF(B129&lt;6.5,"&lt;6.5",IF(B129&lt;7,"6.5–6.9",IF(B129&lt;7.5,"7.0–7.4",IF(B129&lt;8,"7.5–7.9","8.0+"))))</f>
        <v>6.5–6.9</v>
      </c>
      <c r="Z129" s="3" t="n">
        <f aca="false">IF(T129="","",YEAR(T129))</f>
        <v>2020</v>
      </c>
    </row>
    <row r="130" customFormat="false" ht="13.8" hidden="false" customHeight="false" outlineLevel="0" collapsed="false">
      <c r="A130" s="3" t="s">
        <v>386</v>
      </c>
      <c r="B130" s="3" t="n">
        <v>7.8</v>
      </c>
      <c r="C130" s="3" t="s">
        <v>387</v>
      </c>
      <c r="D130" s="3" t="n">
        <v>9</v>
      </c>
      <c r="E130" s="3" t="n">
        <v>7</v>
      </c>
      <c r="F130" s="3" t="s">
        <v>21</v>
      </c>
      <c r="G130" s="3" t="n">
        <v>1</v>
      </c>
      <c r="H130" s="3" t="n">
        <v>1111</v>
      </c>
      <c r="I130" s="3" t="s">
        <v>22</v>
      </c>
      <c r="J130" s="3" t="n">
        <v>0</v>
      </c>
      <c r="K130" s="3" t="n">
        <v>0.621</v>
      </c>
      <c r="L130" s="3" t="n">
        <v>60</v>
      </c>
      <c r="M130" s="3" t="s">
        <v>23</v>
      </c>
      <c r="N130" s="3" t="n">
        <v>28</v>
      </c>
      <c r="O130" s="3" t="n">
        <v>55.1079</v>
      </c>
      <c r="P130" s="3" t="n">
        <v>-158.477</v>
      </c>
      <c r="Q130" s="3" t="s">
        <v>289</v>
      </c>
      <c r="R130" s="3"/>
      <c r="S130" s="3"/>
      <c r="T130" s="5" t="n">
        <f aca="false">IF(C130="","",DATE(VALUE(MID(C130,7,4)),VALUE(MID(C130,4,2)),VALUE(MID(C130,1,2)))+TIME(VALUE(MID(C130,12,2)),VALUE(MID(C130,15,2)),0))</f>
        <v>44034.2583333333</v>
      </c>
      <c r="U130" s="3" t="str">
        <f aca="false">IFERROR(IF(ISNUMBER(VALUE(TRIM(MID(A130,FIND("-",A130)+1,FIND("km",A130)-FIND("-",A130)-1)))),"Distance + direction + city","Named-region"),"Named-region")</f>
        <v>Distance + direction + city</v>
      </c>
      <c r="V130" s="3" t="str">
        <f aca="false">LOWER(M130)</f>
        <v>mww</v>
      </c>
      <c r="W130" s="3" t="n">
        <f aca="false">COUNTIFS($A$2:$A$1001,A130,$C$2:$C$1001,C130)</f>
        <v>1</v>
      </c>
      <c r="X130" s="3" t="str">
        <f aca="false">IF(W130&gt;1,"Duplicate","Unique")</f>
        <v>Unique</v>
      </c>
      <c r="Y130" s="3" t="str">
        <f aca="false">IF(B130&lt;6.5,"&lt;6.5",IF(B130&lt;7,"6.5–6.9",IF(B130&lt;7.5,"7.0–7.4",IF(B130&lt;8,"7.5–7.9","8.0+"))))</f>
        <v>7.5–7.9</v>
      </c>
      <c r="Z130" s="3" t="n">
        <f aca="false">IF(T130="","",YEAR(T130))</f>
        <v>2020</v>
      </c>
    </row>
    <row r="131" customFormat="false" ht="13.8" hidden="false" customHeight="false" outlineLevel="0" collapsed="false">
      <c r="A131" s="3" t="s">
        <v>388</v>
      </c>
      <c r="B131" s="3" t="n">
        <v>7</v>
      </c>
      <c r="C131" s="3" t="s">
        <v>389</v>
      </c>
      <c r="D131" s="3" t="n">
        <v>6</v>
      </c>
      <c r="E131" s="3" t="n">
        <v>7</v>
      </c>
      <c r="F131" s="3" t="s">
        <v>21</v>
      </c>
      <c r="G131" s="3" t="n">
        <v>1</v>
      </c>
      <c r="H131" s="3" t="n">
        <v>820</v>
      </c>
      <c r="I131" s="3" t="s">
        <v>22</v>
      </c>
      <c r="J131" s="3" t="n">
        <v>0</v>
      </c>
      <c r="K131" s="3" t="n">
        <v>1.671</v>
      </c>
      <c r="L131" s="3" t="n">
        <v>18</v>
      </c>
      <c r="M131" s="3" t="s">
        <v>23</v>
      </c>
      <c r="N131" s="3" t="n">
        <v>73</v>
      </c>
      <c r="O131" s="3" t="n">
        <v>-7.847</v>
      </c>
      <c r="P131" s="3" t="n">
        <v>147.755</v>
      </c>
      <c r="Q131" s="3" t="s">
        <v>390</v>
      </c>
      <c r="R131" s="3"/>
      <c r="S131" s="3" t="s">
        <v>85</v>
      </c>
      <c r="T131" s="5" t="n">
        <f aca="false">IF(C131="","",DATE(VALUE(MID(C131,7,4)),VALUE(MID(C131,4,2)),VALUE(MID(C131,1,2)))+TIME(VALUE(MID(C131,12,2)),VALUE(MID(C131,15,2)),0))</f>
        <v>44029.1180555556</v>
      </c>
      <c r="U131" s="3" t="str">
        <f aca="false">IFERROR(IF(ISNUMBER(VALUE(TRIM(MID(A131,FIND("-",A131)+1,FIND("km",A131)-FIND("-",A131)-1)))),"Distance + direction + city","Named-region"),"Named-region")</f>
        <v>Distance + direction + city</v>
      </c>
      <c r="V131" s="3" t="str">
        <f aca="false">LOWER(M131)</f>
        <v>mww</v>
      </c>
      <c r="W131" s="3" t="n">
        <f aca="false">COUNTIFS($A$2:$A$1001,A131,$C$2:$C$1001,C131)</f>
        <v>1</v>
      </c>
      <c r="X131" s="3" t="str">
        <f aca="false">IF(W131&gt;1,"Duplicate","Unique")</f>
        <v>Unique</v>
      </c>
      <c r="Y131" s="3" t="str">
        <f aca="false">IF(B131&lt;6.5,"&lt;6.5",IF(B131&lt;7,"6.5–6.9",IF(B131&lt;7.5,"7.0–7.4",IF(B131&lt;8,"7.5–7.9","8.0+"))))</f>
        <v>7.0–7.4</v>
      </c>
      <c r="Z131" s="3" t="n">
        <f aca="false">IF(T131="","",YEAR(T131))</f>
        <v>2020</v>
      </c>
    </row>
    <row r="132" customFormat="false" ht="13.8" hidden="false" customHeight="false" outlineLevel="0" collapsed="false">
      <c r="A132" s="3" t="s">
        <v>391</v>
      </c>
      <c r="B132" s="3" t="n">
        <v>6.6</v>
      </c>
      <c r="C132" s="6" t="s">
        <v>392</v>
      </c>
      <c r="D132" s="3" t="n">
        <v>4</v>
      </c>
      <c r="E132" s="3" t="n">
        <v>2</v>
      </c>
      <c r="F132" s="3" t="s">
        <v>21</v>
      </c>
      <c r="G132" s="3" t="n">
        <v>0</v>
      </c>
      <c r="H132" s="3" t="n">
        <v>684</v>
      </c>
      <c r="I132" s="3" t="s">
        <v>22</v>
      </c>
      <c r="J132" s="3" t="n">
        <v>0</v>
      </c>
      <c r="K132" s="3" t="n">
        <v>1.458</v>
      </c>
      <c r="L132" s="3" t="n">
        <v>14</v>
      </c>
      <c r="M132" s="3" t="s">
        <v>23</v>
      </c>
      <c r="N132" s="3" t="n">
        <v>533.76</v>
      </c>
      <c r="O132" s="3" t="n">
        <v>-5.6368</v>
      </c>
      <c r="P132" s="3" t="n">
        <v>110.678</v>
      </c>
      <c r="Q132" s="3" t="s">
        <v>393</v>
      </c>
      <c r="R132" s="3"/>
      <c r="S132" s="3" t="s">
        <v>68</v>
      </c>
      <c r="T132" s="5" t="n">
        <f aca="false">IF(C132="","",DATE(VALUE(MID(C132,7,4)),VALUE(MID(C132,4,2)),VALUE(MID(C132,1,2)))+TIME(VALUE(MID(C132,12,2)),VALUE(MID(C132,15,2)),0))</f>
        <v>44018.9541666667</v>
      </c>
      <c r="U132" s="3" t="str">
        <f aca="false">IFERROR(IF(ISNUMBER(VALUE(TRIM(MID(A132,FIND("-",A132)+1,FIND("km",A132)-FIND("-",A132)-1)))),"Distance + direction + city","Named-region"),"Named-region")</f>
        <v>Distance + direction + city</v>
      </c>
      <c r="V132" s="3" t="str">
        <f aca="false">LOWER(M132)</f>
        <v>mww</v>
      </c>
      <c r="W132" s="3" t="n">
        <f aca="false">COUNTIFS($A$2:$A$1001,A132,$C$2:$C$1001,C132)</f>
        <v>1</v>
      </c>
      <c r="X132" s="3" t="str">
        <f aca="false">IF(W132&gt;1,"Duplicate","Unique")</f>
        <v>Unique</v>
      </c>
      <c r="Y132" s="3" t="str">
        <f aca="false">IF(B132&lt;6.5,"&lt;6.5",IF(B132&lt;7,"6.5–6.9",IF(B132&lt;7.5,"7.0–7.4",IF(B132&lt;8,"7.5–7.9","8.0+"))))</f>
        <v>6.5–6.9</v>
      </c>
      <c r="Z132" s="3" t="n">
        <f aca="false">IF(T132="","",YEAR(T132))</f>
        <v>2020</v>
      </c>
    </row>
    <row r="133" customFormat="false" ht="13.8" hidden="false" customHeight="false" outlineLevel="0" collapsed="false">
      <c r="A133" s="3" t="s">
        <v>394</v>
      </c>
      <c r="B133" s="3" t="n">
        <v>7.4</v>
      </c>
      <c r="C133" s="3" t="s">
        <v>395</v>
      </c>
      <c r="D133" s="3" t="n">
        <v>8</v>
      </c>
      <c r="E133" s="3" t="n">
        <v>8</v>
      </c>
      <c r="F133" s="3" t="s">
        <v>95</v>
      </c>
      <c r="G133" s="3" t="n">
        <v>1</v>
      </c>
      <c r="H133" s="3" t="n">
        <v>1494</v>
      </c>
      <c r="I133" s="3" t="s">
        <v>22</v>
      </c>
      <c r="J133" s="3" t="n">
        <v>0</v>
      </c>
      <c r="K133" s="3" t="n">
        <v>0.151</v>
      </c>
      <c r="L133" s="3" t="n">
        <v>30</v>
      </c>
      <c r="M133" s="3" t="s">
        <v>23</v>
      </c>
      <c r="N133" s="3" t="n">
        <v>20</v>
      </c>
      <c r="O133" s="3" t="n">
        <v>15.9163</v>
      </c>
      <c r="P133" s="3" t="n">
        <v>-95.9533</v>
      </c>
      <c r="Q133" s="3" t="s">
        <v>396</v>
      </c>
      <c r="R133" s="3" t="s">
        <v>164</v>
      </c>
      <c r="S133" s="3" t="s">
        <v>165</v>
      </c>
      <c r="T133" s="5" t="n">
        <f aca="false">IF(C133="","",DATE(VALUE(MID(C133,7,4)),VALUE(MID(C133,4,2)),VALUE(MID(C133,1,2)))+TIME(VALUE(MID(C133,12,2)),VALUE(MID(C133,15,2)),0))</f>
        <v>44005.6451388889</v>
      </c>
      <c r="U133" s="3" t="str">
        <f aca="false">IFERROR(IF(ISNUMBER(VALUE(TRIM(MID(A133,FIND("-",A133)+1,FIND("km",A133)-FIND("-",A133)-1)))),"Distance + direction + city","Named-region"),"Named-region")</f>
        <v>Distance + direction + city</v>
      </c>
      <c r="V133" s="3" t="str">
        <f aca="false">LOWER(M133)</f>
        <v>mww</v>
      </c>
      <c r="W133" s="3" t="n">
        <f aca="false">COUNTIFS($A$2:$A$1001,A133,$C$2:$C$1001,C133)</f>
        <v>1</v>
      </c>
      <c r="X133" s="3" t="str">
        <f aca="false">IF(W133&gt;1,"Duplicate","Unique")</f>
        <v>Unique</v>
      </c>
      <c r="Y133" s="3" t="str">
        <f aca="false">IF(B133&lt;6.5,"&lt;6.5",IF(B133&lt;7,"6.5–6.9",IF(B133&lt;7.5,"7.0–7.4",IF(B133&lt;8,"7.5–7.9","8.0+"))))</f>
        <v>7.0–7.4</v>
      </c>
      <c r="Z133" s="3" t="n">
        <f aca="false">IF(T133="","",YEAR(T133))</f>
        <v>2020</v>
      </c>
    </row>
    <row r="134" customFormat="false" ht="13.8" hidden="false" customHeight="false" outlineLevel="0" collapsed="false">
      <c r="A134" s="3" t="s">
        <v>397</v>
      </c>
      <c r="B134" s="3" t="n">
        <v>7.4</v>
      </c>
      <c r="C134" s="3" t="s">
        <v>398</v>
      </c>
      <c r="D134" s="3" t="n">
        <v>7</v>
      </c>
      <c r="E134" s="3" t="n">
        <v>7</v>
      </c>
      <c r="F134" s="3" t="s">
        <v>21</v>
      </c>
      <c r="G134" s="3" t="n">
        <v>1</v>
      </c>
      <c r="H134" s="3" t="n">
        <v>873</v>
      </c>
      <c r="I134" s="3" t="s">
        <v>22</v>
      </c>
      <c r="J134" s="3" t="n">
        <v>0</v>
      </c>
      <c r="K134" s="3" t="n">
        <v>4.035</v>
      </c>
      <c r="L134" s="3" t="n">
        <v>23</v>
      </c>
      <c r="M134" s="3" t="s">
        <v>23</v>
      </c>
      <c r="N134" s="3" t="n">
        <v>10</v>
      </c>
      <c r="O134" s="3" t="n">
        <v>-33.2938</v>
      </c>
      <c r="P134" s="3" t="n">
        <v>-177.838</v>
      </c>
      <c r="Q134" s="3" t="s">
        <v>187</v>
      </c>
      <c r="R134" s="3"/>
      <c r="S134" s="3"/>
      <c r="T134" s="5" t="n">
        <f aca="false">IF(C134="","",DATE(VALUE(MID(C134,7,4)),VALUE(MID(C134,4,2)),VALUE(MID(C134,1,2)))+TIME(VALUE(MID(C134,12,2)),VALUE(MID(C134,15,2)),0))</f>
        <v>44000.5340277778</v>
      </c>
      <c r="U134" s="3" t="str">
        <f aca="false">IFERROR(IF(ISNUMBER(VALUE(TRIM(MID(A134,FIND("-",A134)+1,FIND("km",A134)-FIND("-",A134)-1)))),"Distance + direction + city","Named-region"),"Named-region")</f>
        <v>Named-region</v>
      </c>
      <c r="V134" s="3" t="str">
        <f aca="false">LOWER(M134)</f>
        <v>mww</v>
      </c>
      <c r="W134" s="3" t="n">
        <f aca="false">COUNTIFS($A$2:$A$1001,A134,$C$2:$C$1001,C134)</f>
        <v>1</v>
      </c>
      <c r="X134" s="3" t="str">
        <f aca="false">IF(W134&gt;1,"Duplicate","Unique")</f>
        <v>Unique</v>
      </c>
      <c r="Y134" s="3" t="str">
        <f aca="false">IF(B134&lt;6.5,"&lt;6.5",IF(B134&lt;7,"6.5–6.9",IF(B134&lt;7.5,"7.0–7.4",IF(B134&lt;8,"7.5–7.9","8.0+"))))</f>
        <v>7.0–7.4</v>
      </c>
      <c r="Z134" s="3" t="n">
        <f aca="false">IF(T134="","",YEAR(T134))</f>
        <v>2020</v>
      </c>
    </row>
    <row r="135" customFormat="false" ht="13.8" hidden="false" customHeight="false" outlineLevel="0" collapsed="false">
      <c r="A135" s="3" t="s">
        <v>399</v>
      </c>
      <c r="B135" s="3" t="n">
        <v>6.6</v>
      </c>
      <c r="C135" s="3" t="s">
        <v>400</v>
      </c>
      <c r="D135" s="3" t="n">
        <v>5</v>
      </c>
      <c r="E135" s="3" t="n">
        <v>4</v>
      </c>
      <c r="F135" s="3" t="s">
        <v>21</v>
      </c>
      <c r="G135" s="3" t="n">
        <v>1</v>
      </c>
      <c r="H135" s="3" t="n">
        <v>734</v>
      </c>
      <c r="I135" s="3" t="s">
        <v>22</v>
      </c>
      <c r="J135" s="3" t="n">
        <v>0</v>
      </c>
      <c r="K135" s="3" t="n">
        <v>2.015</v>
      </c>
      <c r="L135" s="3" t="n">
        <v>18</v>
      </c>
      <c r="M135" s="3" t="s">
        <v>23</v>
      </c>
      <c r="N135" s="3" t="n">
        <v>165</v>
      </c>
      <c r="O135" s="3" t="n">
        <v>28.9386</v>
      </c>
      <c r="P135" s="3" t="n">
        <v>128.262</v>
      </c>
      <c r="Q135" s="3" t="s">
        <v>401</v>
      </c>
      <c r="R135" s="3"/>
      <c r="S135" s="3"/>
      <c r="T135" s="5" t="n">
        <f aca="false">IF(C135="","",DATE(VALUE(MID(C135,7,4)),VALUE(MID(C135,4,2)),VALUE(MID(C135,1,2)))+TIME(VALUE(MID(C135,12,2)),VALUE(MID(C135,15,2)),0))</f>
        <v>43995.6604166667</v>
      </c>
      <c r="U135" s="3" t="str">
        <f aca="false">IFERROR(IF(ISNUMBER(VALUE(TRIM(MID(A135,FIND("-",A135)+1,FIND("km",A135)-FIND("-",A135)-1)))),"Distance + direction + city","Named-region"),"Named-region")</f>
        <v>Distance + direction + city</v>
      </c>
      <c r="V135" s="3" t="str">
        <f aca="false">LOWER(M135)</f>
        <v>mww</v>
      </c>
      <c r="W135" s="3" t="n">
        <f aca="false">COUNTIFS($A$2:$A$1001,A135,$C$2:$C$1001,C135)</f>
        <v>1</v>
      </c>
      <c r="X135" s="3" t="str">
        <f aca="false">IF(W135&gt;1,"Duplicate","Unique")</f>
        <v>Unique</v>
      </c>
      <c r="Y135" s="3" t="str">
        <f aca="false">IF(B135&lt;6.5,"&lt;6.5",IF(B135&lt;7,"6.5–6.9",IF(B135&lt;7.5,"7.0–7.4",IF(B135&lt;8,"7.5–7.9","8.0+"))))</f>
        <v>6.5–6.9</v>
      </c>
      <c r="Z135" s="3" t="n">
        <f aca="false">IF(T135="","",YEAR(T135))</f>
        <v>2020</v>
      </c>
    </row>
    <row r="136" customFormat="false" ht="13.8" hidden="false" customHeight="false" outlineLevel="0" collapsed="false">
      <c r="A136" s="3" t="s">
        <v>402</v>
      </c>
      <c r="B136" s="3" t="n">
        <v>6.8</v>
      </c>
      <c r="C136" s="6" t="s">
        <v>403</v>
      </c>
      <c r="D136" s="3" t="n">
        <v>6</v>
      </c>
      <c r="E136" s="3" t="n">
        <v>6</v>
      </c>
      <c r="F136" s="3" t="s">
        <v>21</v>
      </c>
      <c r="G136" s="3" t="n">
        <v>1</v>
      </c>
      <c r="H136" s="3" t="n">
        <v>835</v>
      </c>
      <c r="I136" s="3" t="s">
        <v>22</v>
      </c>
      <c r="J136" s="3" t="n">
        <v>0</v>
      </c>
      <c r="K136" s="3" t="n">
        <v>1.164</v>
      </c>
      <c r="L136" s="3" t="n">
        <v>21</v>
      </c>
      <c r="M136" s="3" t="s">
        <v>23</v>
      </c>
      <c r="N136" s="3" t="n">
        <v>112</v>
      </c>
      <c r="O136" s="3" t="n">
        <v>-23.2966</v>
      </c>
      <c r="P136" s="3" t="n">
        <v>-68.4204</v>
      </c>
      <c r="Q136" s="3" t="s">
        <v>404</v>
      </c>
      <c r="R136" s="3" t="s">
        <v>33</v>
      </c>
      <c r="S136" s="3" t="s">
        <v>373</v>
      </c>
      <c r="T136" s="5" t="n">
        <f aca="false">IF(C136="","",DATE(VALUE(MID(C136,7,4)),VALUE(MID(C136,4,2)),VALUE(MID(C136,1,2)))+TIME(VALUE(MID(C136,12,2)),VALUE(MID(C136,15,2)),0))</f>
        <v>43985.3159722222</v>
      </c>
      <c r="U136" s="3" t="str">
        <f aca="false">IFERROR(IF(ISNUMBER(VALUE(TRIM(MID(A136,FIND("-",A136)+1,FIND("km",A136)-FIND("-",A136)-1)))),"Distance + direction + city","Named-region"),"Named-region")</f>
        <v>Distance + direction + city</v>
      </c>
      <c r="V136" s="3" t="str">
        <f aca="false">LOWER(M136)</f>
        <v>mww</v>
      </c>
      <c r="W136" s="3" t="n">
        <f aca="false">COUNTIFS($A$2:$A$1001,A136,$C$2:$C$1001,C136)</f>
        <v>1</v>
      </c>
      <c r="X136" s="3" t="str">
        <f aca="false">IF(W136&gt;1,"Duplicate","Unique")</f>
        <v>Unique</v>
      </c>
      <c r="Y136" s="3" t="str">
        <f aca="false">IF(B136&lt;6.5,"&lt;6.5",IF(B136&lt;7,"6.5–6.9",IF(B136&lt;7.5,"7.0–7.4",IF(B136&lt;8,"7.5–7.9","8.0+"))))</f>
        <v>6.5–6.9</v>
      </c>
      <c r="Z136" s="3" t="n">
        <f aca="false">IF(T136="","",YEAR(T136))</f>
        <v>2020</v>
      </c>
    </row>
    <row r="137" customFormat="false" ht="13.8" hidden="false" customHeight="false" outlineLevel="0" collapsed="false">
      <c r="A137" s="3" t="s">
        <v>405</v>
      </c>
      <c r="B137" s="3" t="n">
        <v>6.5</v>
      </c>
      <c r="C137" s="3" t="s">
        <v>406</v>
      </c>
      <c r="D137" s="3" t="n">
        <v>7</v>
      </c>
      <c r="E137" s="3" t="n">
        <v>8</v>
      </c>
      <c r="F137" s="3" t="s">
        <v>21</v>
      </c>
      <c r="G137" s="3" t="n">
        <v>0</v>
      </c>
      <c r="H137" s="3" t="n">
        <v>1320</v>
      </c>
      <c r="I137" s="3" t="s">
        <v>407</v>
      </c>
      <c r="J137" s="3" t="n">
        <v>27</v>
      </c>
      <c r="K137" s="3" t="n">
        <v>0.357</v>
      </c>
      <c r="L137" s="3" t="n">
        <v>55.79</v>
      </c>
      <c r="M137" s="3" t="s">
        <v>408</v>
      </c>
      <c r="N137" s="3" t="n">
        <v>2.7</v>
      </c>
      <c r="O137" s="3" t="n">
        <v>38.1689</v>
      </c>
      <c r="P137" s="3" t="n">
        <v>-117.85</v>
      </c>
      <c r="Q137" s="3" t="s">
        <v>409</v>
      </c>
      <c r="R137" s="3" t="s">
        <v>164</v>
      </c>
      <c r="S137" s="3" t="s">
        <v>261</v>
      </c>
      <c r="T137" s="5" t="n">
        <f aca="false">IF(C137="","",DATE(VALUE(MID(C137,7,4)),VALUE(MID(C137,4,2)),VALUE(MID(C137,1,2)))+TIME(VALUE(MID(C137,12,2)),VALUE(MID(C137,15,2)),0))</f>
        <v>43966.4604166667</v>
      </c>
      <c r="U137" s="3" t="str">
        <f aca="false">IFERROR(IF(ISNUMBER(VALUE(TRIM(MID(A137,FIND("-",A137)+1,FIND("km",A137)-FIND("-",A137)-1)))),"Distance + direction + city","Named-region"),"Named-region")</f>
        <v>Named-region</v>
      </c>
      <c r="V137" s="3" t="str">
        <f aca="false">LOWER(M137)</f>
        <v>ml</v>
      </c>
      <c r="W137" s="3" t="n">
        <f aca="false">COUNTIFS($A$2:$A$1001,A137,$C$2:$C$1001,C137)</f>
        <v>1</v>
      </c>
      <c r="X137" s="3" t="str">
        <f aca="false">IF(W137&gt;1,"Duplicate","Unique")</f>
        <v>Unique</v>
      </c>
      <c r="Y137" s="3" t="str">
        <f aca="false">IF(B137&lt;6.5,"&lt;6.5",IF(B137&lt;7,"6.5–6.9",IF(B137&lt;7.5,"7.0–7.4",IF(B137&lt;8,"7.5–7.9","8.0+"))))</f>
        <v>6.5–6.9</v>
      </c>
      <c r="Z137" s="3" t="n">
        <f aca="false">IF(T137="","",YEAR(T137))</f>
        <v>2020</v>
      </c>
    </row>
    <row r="138" customFormat="false" ht="13.8" hidden="false" customHeight="false" outlineLevel="0" collapsed="false">
      <c r="A138" s="3" t="s">
        <v>410</v>
      </c>
      <c r="B138" s="3" t="n">
        <v>6.6</v>
      </c>
      <c r="C138" s="6" t="s">
        <v>411</v>
      </c>
      <c r="D138" s="3" t="n">
        <v>4</v>
      </c>
      <c r="E138" s="3" t="n">
        <v>6</v>
      </c>
      <c r="F138" s="3" t="s">
        <v>21</v>
      </c>
      <c r="G138" s="3" t="n">
        <v>1</v>
      </c>
      <c r="H138" s="3" t="n">
        <v>671</v>
      </c>
      <c r="I138" s="3" t="s">
        <v>22</v>
      </c>
      <c r="J138" s="3" t="n">
        <v>0</v>
      </c>
      <c r="K138" s="3" t="n">
        <v>3.403</v>
      </c>
      <c r="L138" s="3" t="n">
        <v>12</v>
      </c>
      <c r="M138" s="3" t="s">
        <v>23</v>
      </c>
      <c r="N138" s="3" t="n">
        <v>107</v>
      </c>
      <c r="O138" s="3" t="n">
        <v>-12.0662</v>
      </c>
      <c r="P138" s="3" t="n">
        <v>166.648</v>
      </c>
      <c r="Q138" s="3" t="s">
        <v>412</v>
      </c>
      <c r="R138" s="3"/>
      <c r="S138" s="3"/>
      <c r="T138" s="5" t="n">
        <f aca="false">IF(C138="","",DATE(VALUE(MID(C138,7,4)),VALUE(MID(C138,4,2)),VALUE(MID(C138,1,2)))+TIME(VALUE(MID(C138,12,2)),VALUE(MID(C138,15,2)),0))</f>
        <v>43963.9451388889</v>
      </c>
      <c r="U138" s="3" t="str">
        <f aca="false">IFERROR(IF(ISNUMBER(VALUE(TRIM(MID(A138,FIND("-",A138)+1,FIND("km",A138)-FIND("-",A138)-1)))),"Distance + direction + city","Named-region"),"Named-region")</f>
        <v>Distance + direction + city</v>
      </c>
      <c r="V138" s="3" t="str">
        <f aca="false">LOWER(M138)</f>
        <v>mww</v>
      </c>
      <c r="W138" s="3" t="n">
        <f aca="false">COUNTIFS($A$2:$A$1001,A138,$C$2:$C$1001,C138)</f>
        <v>1</v>
      </c>
      <c r="X138" s="3" t="str">
        <f aca="false">IF(W138&gt;1,"Duplicate","Unique")</f>
        <v>Unique</v>
      </c>
      <c r="Y138" s="3" t="str">
        <f aca="false">IF(B138&lt;6.5,"&lt;6.5",IF(B138&lt;7,"6.5–6.9",IF(B138&lt;7.5,"7.0–7.4",IF(B138&lt;8,"7.5–7.9","8.0+"))))</f>
        <v>6.5–6.9</v>
      </c>
      <c r="Z138" s="3" t="n">
        <f aca="false">IF(T138="","",YEAR(T138))</f>
        <v>2020</v>
      </c>
    </row>
    <row r="139" customFormat="false" ht="13.8" hidden="false" customHeight="false" outlineLevel="0" collapsed="false">
      <c r="A139" s="3" t="s">
        <v>413</v>
      </c>
      <c r="B139" s="3" t="n">
        <v>6.8</v>
      </c>
      <c r="C139" s="6" t="s">
        <v>414</v>
      </c>
      <c r="D139" s="3" t="n">
        <v>4</v>
      </c>
      <c r="E139" s="3" t="n">
        <v>6</v>
      </c>
      <c r="F139" s="3" t="s">
        <v>21</v>
      </c>
      <c r="G139" s="3" t="n">
        <v>0</v>
      </c>
      <c r="H139" s="3" t="n">
        <v>738</v>
      </c>
      <c r="I139" s="3" t="s">
        <v>22</v>
      </c>
      <c r="J139" s="3" t="n">
        <v>0</v>
      </c>
      <c r="K139" s="3" t="n">
        <v>1.921</v>
      </c>
      <c r="L139" s="3" t="n">
        <v>16</v>
      </c>
      <c r="M139" s="3" t="s">
        <v>23</v>
      </c>
      <c r="N139" s="3" t="n">
        <v>96</v>
      </c>
      <c r="O139" s="3" t="n">
        <v>-6.7762</v>
      </c>
      <c r="P139" s="3" t="n">
        <v>129.785</v>
      </c>
      <c r="Q139" s="3" t="s">
        <v>415</v>
      </c>
      <c r="R139" s="3"/>
      <c r="S139" s="3" t="s">
        <v>68</v>
      </c>
      <c r="T139" s="5" t="n">
        <f aca="false">IF(C139="","",DATE(VALUE(MID(C139,7,4)),VALUE(MID(C139,4,2)),VALUE(MID(C139,1,2)))+TIME(VALUE(MID(C139,12,2)),VALUE(MID(C139,15,2)),0))</f>
        <v>43957.5784722222</v>
      </c>
      <c r="U139" s="3" t="str">
        <f aca="false">IFERROR(IF(ISNUMBER(VALUE(TRIM(MID(A139,FIND("-",A139)+1,FIND("km",A139)-FIND("-",A139)-1)))),"Distance + direction + city","Named-region"),"Named-region")</f>
        <v>Named-region</v>
      </c>
      <c r="V139" s="3" t="str">
        <f aca="false">LOWER(M139)</f>
        <v>mww</v>
      </c>
      <c r="W139" s="3" t="n">
        <f aca="false">COUNTIFS($A$2:$A$1001,A139,$C$2:$C$1001,C139)</f>
        <v>1</v>
      </c>
      <c r="X139" s="3" t="str">
        <f aca="false">IF(W139&gt;1,"Duplicate","Unique")</f>
        <v>Unique</v>
      </c>
      <c r="Y139" s="3" t="str">
        <f aca="false">IF(B139&lt;6.5,"&lt;6.5",IF(B139&lt;7,"6.5–6.9",IF(B139&lt;7.5,"7.0–7.4",IF(B139&lt;8,"7.5–7.9","8.0+"))))</f>
        <v>6.5–6.9</v>
      </c>
      <c r="Z139" s="3" t="n">
        <f aca="false">IF(T139="","",YEAR(T139))</f>
        <v>2020</v>
      </c>
    </row>
    <row r="140" customFormat="false" ht="13.8" hidden="false" customHeight="false" outlineLevel="0" collapsed="false">
      <c r="A140" s="3" t="s">
        <v>416</v>
      </c>
      <c r="B140" s="3" t="n">
        <v>6.5</v>
      </c>
      <c r="C140" s="6" t="s">
        <v>417</v>
      </c>
      <c r="D140" s="3" t="n">
        <v>7</v>
      </c>
      <c r="E140" s="3" t="n">
        <v>6</v>
      </c>
      <c r="F140" s="3" t="s">
        <v>21</v>
      </c>
      <c r="G140" s="3" t="n">
        <v>0</v>
      </c>
      <c r="H140" s="3" t="n">
        <v>678</v>
      </c>
      <c r="I140" s="3" t="s">
        <v>22</v>
      </c>
      <c r="J140" s="3" t="n">
        <v>0</v>
      </c>
      <c r="K140" s="3" t="n">
        <v>1.293</v>
      </c>
      <c r="L140" s="3" t="n">
        <v>19</v>
      </c>
      <c r="M140" s="3" t="s">
        <v>23</v>
      </c>
      <c r="N140" s="3" t="n">
        <v>10</v>
      </c>
      <c r="O140" s="3" t="n">
        <v>34.1818</v>
      </c>
      <c r="P140" s="3" t="n">
        <v>25.7101</v>
      </c>
      <c r="Q140" s="3" t="s">
        <v>418</v>
      </c>
      <c r="R140" s="3"/>
      <c r="S140" s="3"/>
      <c r="T140" s="5" t="n">
        <f aca="false">IF(C140="","",DATE(VALUE(MID(C140,7,4)),VALUE(MID(C140,4,2)),VALUE(MID(C140,1,2)))+TIME(VALUE(MID(C140,12,2)),VALUE(MID(C140,15,2)),0))</f>
        <v>43953.5354166667</v>
      </c>
      <c r="U140" s="3" t="str">
        <f aca="false">IFERROR(IF(ISNUMBER(VALUE(TRIM(MID(A140,FIND("-",A140)+1,FIND("km",A140)-FIND("-",A140)-1)))),"Distance + direction + city","Named-region"),"Named-region")</f>
        <v>Distance + direction + city</v>
      </c>
      <c r="V140" s="3" t="str">
        <f aca="false">LOWER(M140)</f>
        <v>mww</v>
      </c>
      <c r="W140" s="3" t="n">
        <f aca="false">COUNTIFS($A$2:$A$1001,A140,$C$2:$C$1001,C140)</f>
        <v>1</v>
      </c>
      <c r="X140" s="3" t="str">
        <f aca="false">IF(W140&gt;1,"Duplicate","Unique")</f>
        <v>Unique</v>
      </c>
      <c r="Y140" s="3" t="str">
        <f aca="false">IF(B140&lt;6.5,"&lt;6.5",IF(B140&lt;7,"6.5–6.9",IF(B140&lt;7.5,"7.0–7.4",IF(B140&lt;8,"7.5–7.9","8.0+"))))</f>
        <v>6.5–6.9</v>
      </c>
      <c r="Z140" s="3" t="n">
        <f aca="false">IF(T140="","",YEAR(T140))</f>
        <v>2020</v>
      </c>
    </row>
    <row r="141" customFormat="false" ht="13.8" hidden="false" customHeight="false" outlineLevel="0" collapsed="false">
      <c r="A141" s="3" t="s">
        <v>419</v>
      </c>
      <c r="B141" s="3" t="n">
        <v>6.5</v>
      </c>
      <c r="C141" s="3" t="s">
        <v>420</v>
      </c>
      <c r="D141" s="3" t="n">
        <v>8</v>
      </c>
      <c r="E141" s="3" t="n">
        <v>8</v>
      </c>
      <c r="F141" s="3" t="s">
        <v>21</v>
      </c>
      <c r="G141" s="3" t="n">
        <v>0</v>
      </c>
      <c r="H141" s="3" t="n">
        <v>1410</v>
      </c>
      <c r="I141" s="3" t="s">
        <v>22</v>
      </c>
      <c r="J141" s="3" t="n">
        <v>0</v>
      </c>
      <c r="K141" s="3" t="n">
        <v>0.885</v>
      </c>
      <c r="L141" s="3" t="n">
        <v>31</v>
      </c>
      <c r="M141" s="3" t="s">
        <v>23</v>
      </c>
      <c r="N141" s="3" t="n">
        <v>12.06</v>
      </c>
      <c r="O141" s="3" t="n">
        <v>44.4646</v>
      </c>
      <c r="P141" s="3" t="n">
        <v>-115.118</v>
      </c>
      <c r="Q141" s="3" t="s">
        <v>421</v>
      </c>
      <c r="R141" s="3" t="s">
        <v>164</v>
      </c>
      <c r="S141" s="3" t="s">
        <v>261</v>
      </c>
      <c r="T141" s="5" t="n">
        <f aca="false">IF(C141="","",DATE(VALUE(MID(C141,7,4)),VALUE(MID(C141,4,2)),VALUE(MID(C141,1,2)))+TIME(VALUE(MID(C141,12,2)),VALUE(MID(C141,15,2)),0))</f>
        <v>43921.9944444444</v>
      </c>
      <c r="U141" s="3" t="str">
        <f aca="false">IFERROR(IF(ISNUMBER(VALUE(TRIM(MID(A141,FIND("-",A141)+1,FIND("km",A141)-FIND("-",A141)-1)))),"Distance + direction + city","Named-region"),"Named-region")</f>
        <v>Named-region</v>
      </c>
      <c r="V141" s="3" t="str">
        <f aca="false">LOWER(M141)</f>
        <v>mww</v>
      </c>
      <c r="W141" s="3" t="n">
        <f aca="false">COUNTIFS($A$2:$A$1001,A141,$C$2:$C$1001,C141)</f>
        <v>1</v>
      </c>
      <c r="X141" s="3" t="str">
        <f aca="false">IF(W141&gt;1,"Duplicate","Unique")</f>
        <v>Unique</v>
      </c>
      <c r="Y141" s="3" t="str">
        <f aca="false">IF(B141&lt;6.5,"&lt;6.5",IF(B141&lt;7,"6.5–6.9",IF(B141&lt;7.5,"7.0–7.4",IF(B141&lt;8,"7.5–7.9","8.0+"))))</f>
        <v>6.5–6.9</v>
      </c>
      <c r="Z141" s="3" t="n">
        <f aca="false">IF(T141="","",YEAR(T141))</f>
        <v>2020</v>
      </c>
    </row>
    <row r="142" customFormat="false" ht="13.8" hidden="false" customHeight="false" outlineLevel="0" collapsed="false">
      <c r="A142" s="3" t="s">
        <v>422</v>
      </c>
      <c r="B142" s="3" t="n">
        <v>7.5</v>
      </c>
      <c r="C142" s="3" t="s">
        <v>423</v>
      </c>
      <c r="D142" s="3" t="n">
        <v>6</v>
      </c>
      <c r="E142" s="3" t="n">
        <v>5</v>
      </c>
      <c r="F142" s="3" t="s">
        <v>21</v>
      </c>
      <c r="G142" s="3" t="n">
        <v>1</v>
      </c>
      <c r="H142" s="3" t="n">
        <v>879</v>
      </c>
      <c r="I142" s="3" t="s">
        <v>22</v>
      </c>
      <c r="J142" s="3" t="n">
        <v>0</v>
      </c>
      <c r="K142" s="3" t="n">
        <v>4.109</v>
      </c>
      <c r="L142" s="3" t="n">
        <v>12</v>
      </c>
      <c r="M142" s="3" t="s">
        <v>23</v>
      </c>
      <c r="N142" s="3" t="n">
        <v>57.8</v>
      </c>
      <c r="O142" s="3" t="n">
        <v>48.9638</v>
      </c>
      <c r="P142" s="3" t="n">
        <v>157.695</v>
      </c>
      <c r="Q142" s="3" t="s">
        <v>424</v>
      </c>
      <c r="R142" s="3"/>
      <c r="S142" s="3"/>
      <c r="T142" s="5" t="n">
        <f aca="false">IF(C142="","",DATE(VALUE(MID(C142,7,4)),VALUE(MID(C142,4,2)),VALUE(MID(C142,1,2)))+TIME(VALUE(MID(C142,12,2)),VALUE(MID(C142,15,2)),0))</f>
        <v>43915.1173611111</v>
      </c>
      <c r="U142" s="3" t="str">
        <f aca="false">IFERROR(IF(ISNUMBER(VALUE(TRIM(MID(A142,FIND("-",A142)+1,FIND("km",A142)-FIND("-",A142)-1)))),"Distance + direction + city","Named-region"),"Named-region")</f>
        <v>Distance + direction + city</v>
      </c>
      <c r="V142" s="3" t="str">
        <f aca="false">LOWER(M142)</f>
        <v>mww</v>
      </c>
      <c r="W142" s="3" t="n">
        <f aca="false">COUNTIFS($A$2:$A$1001,A142,$C$2:$C$1001,C142)</f>
        <v>1</v>
      </c>
      <c r="X142" s="3" t="str">
        <f aca="false">IF(W142&gt;1,"Duplicate","Unique")</f>
        <v>Unique</v>
      </c>
      <c r="Y142" s="3" t="str">
        <f aca="false">IF(B142&lt;6.5,"&lt;6.5",IF(B142&lt;7,"6.5–6.9",IF(B142&lt;7.5,"7.0–7.4",IF(B142&lt;8,"7.5–7.9","8.0+"))))</f>
        <v>7.5–7.9</v>
      </c>
      <c r="Z142" s="3" t="n">
        <f aca="false">IF(T142="","",YEAR(T142))</f>
        <v>2020</v>
      </c>
    </row>
    <row r="143" customFormat="false" ht="13.8" hidden="false" customHeight="false" outlineLevel="0" collapsed="false">
      <c r="A143" s="3" t="s">
        <v>425</v>
      </c>
      <c r="B143" s="3" t="n">
        <v>7</v>
      </c>
      <c r="C143" s="3" t="s">
        <v>426</v>
      </c>
      <c r="D143" s="3" t="n">
        <v>5</v>
      </c>
      <c r="E143" s="3" t="n">
        <v>6</v>
      </c>
      <c r="F143" s="3" t="s">
        <v>28</v>
      </c>
      <c r="G143" s="3" t="n">
        <v>1</v>
      </c>
      <c r="H143" s="3" t="n">
        <v>770</v>
      </c>
      <c r="I143" s="3" t="s">
        <v>22</v>
      </c>
      <c r="J143" s="3" t="n">
        <v>0</v>
      </c>
      <c r="K143" s="3" t="n">
        <v>4.501</v>
      </c>
      <c r="L143" s="3" t="n">
        <v>25</v>
      </c>
      <c r="M143" s="3" t="s">
        <v>23</v>
      </c>
      <c r="N143" s="3" t="n">
        <v>143</v>
      </c>
      <c r="O143" s="3" t="n">
        <v>45.6161</v>
      </c>
      <c r="P143" s="3" t="n">
        <v>148.959</v>
      </c>
      <c r="Q143" s="3" t="s">
        <v>427</v>
      </c>
      <c r="R143" s="3" t="s">
        <v>80</v>
      </c>
      <c r="S143" s="3" t="s">
        <v>428</v>
      </c>
      <c r="T143" s="5" t="n">
        <f aca="false">IF(C143="","",DATE(VALUE(MID(C143,7,4)),VALUE(MID(C143,4,2)),VALUE(MID(C143,1,2)))+TIME(VALUE(MID(C143,12,2)),VALUE(MID(C143,15,2)),0))</f>
        <v>43874.4395833333</v>
      </c>
      <c r="U143" s="3" t="str">
        <f aca="false">IFERROR(IF(ISNUMBER(VALUE(TRIM(MID(A143,FIND("-",A143)+1,FIND("km",A143)-FIND("-",A143)-1)))),"Distance + direction + city","Named-region"),"Named-region")</f>
        <v>Distance + direction + city</v>
      </c>
      <c r="V143" s="3" t="str">
        <f aca="false">LOWER(M143)</f>
        <v>mww</v>
      </c>
      <c r="W143" s="3" t="n">
        <f aca="false">COUNTIFS($A$2:$A$1001,A143,$C$2:$C$1001,C143)</f>
        <v>1</v>
      </c>
      <c r="X143" s="3" t="str">
        <f aca="false">IF(W143&gt;1,"Duplicate","Unique")</f>
        <v>Unique</v>
      </c>
      <c r="Y143" s="3" t="str">
        <f aca="false">IF(B143&lt;6.5,"&lt;6.5",IF(B143&lt;7,"6.5–6.9",IF(B143&lt;7.5,"7.0–7.4",IF(B143&lt;8,"7.5–7.9","8.0+"))))</f>
        <v>7.0–7.4</v>
      </c>
      <c r="Z143" s="3" t="n">
        <f aca="false">IF(T143="","",YEAR(T143))</f>
        <v>2020</v>
      </c>
    </row>
    <row r="144" customFormat="false" ht="13.8" hidden="false" customHeight="false" outlineLevel="0" collapsed="false">
      <c r="A144" s="3" t="s">
        <v>429</v>
      </c>
      <c r="B144" s="3" t="n">
        <v>7.7</v>
      </c>
      <c r="C144" s="3" t="s">
        <v>430</v>
      </c>
      <c r="D144" s="3" t="n">
        <v>9</v>
      </c>
      <c r="E144" s="3" t="n">
        <v>6</v>
      </c>
      <c r="F144" s="3" t="s">
        <v>28</v>
      </c>
      <c r="G144" s="3" t="n">
        <v>1</v>
      </c>
      <c r="H144" s="3" t="n">
        <v>1812</v>
      </c>
      <c r="I144" s="3" t="s">
        <v>22</v>
      </c>
      <c r="J144" s="3" t="n">
        <v>0</v>
      </c>
      <c r="K144" s="3" t="n">
        <v>1.657</v>
      </c>
      <c r="L144" s="3" t="n">
        <v>26</v>
      </c>
      <c r="M144" s="3" t="s">
        <v>23</v>
      </c>
      <c r="N144" s="3" t="n">
        <v>14.86</v>
      </c>
      <c r="O144" s="3" t="n">
        <v>19.4193</v>
      </c>
      <c r="P144" s="3" t="n">
        <v>-78.756</v>
      </c>
      <c r="Q144" s="3" t="s">
        <v>431</v>
      </c>
      <c r="R144" s="3"/>
      <c r="S144" s="3"/>
      <c r="T144" s="5" t="n">
        <f aca="false">IF(C144="","",DATE(VALUE(MID(C144,7,4)),VALUE(MID(C144,4,2)),VALUE(MID(C144,1,2)))+TIME(VALUE(MID(C144,12,2)),VALUE(MID(C144,15,2)),0))</f>
        <v>43858.7986111111</v>
      </c>
      <c r="U144" s="3" t="str">
        <f aca="false">IFERROR(IF(ISNUMBER(VALUE(TRIM(MID(A144,FIND("-",A144)+1,FIND("km",A144)-FIND("-",A144)-1)))),"Distance + direction + city","Named-region"),"Named-region")</f>
        <v>Distance + direction + city</v>
      </c>
      <c r="V144" s="3" t="str">
        <f aca="false">LOWER(M144)</f>
        <v>mww</v>
      </c>
      <c r="W144" s="3" t="n">
        <f aca="false">COUNTIFS($A$2:$A$1001,A144,$C$2:$C$1001,C144)</f>
        <v>1</v>
      </c>
      <c r="X144" s="3" t="str">
        <f aca="false">IF(W144&gt;1,"Duplicate","Unique")</f>
        <v>Unique</v>
      </c>
      <c r="Y144" s="3" t="str">
        <f aca="false">IF(B144&lt;6.5,"&lt;6.5",IF(B144&lt;7,"6.5–6.9",IF(B144&lt;7.5,"7.0–7.4",IF(B144&lt;8,"7.5–7.9","8.0+"))))</f>
        <v>7.5–7.9</v>
      </c>
      <c r="Z144" s="3" t="n">
        <f aca="false">IF(T144="","",YEAR(T144))</f>
        <v>2020</v>
      </c>
    </row>
    <row r="145" customFormat="false" ht="13.8" hidden="false" customHeight="false" outlineLevel="0" collapsed="false">
      <c r="A145" s="3" t="s">
        <v>432</v>
      </c>
      <c r="B145" s="3" t="n">
        <v>6.7</v>
      </c>
      <c r="C145" s="3" t="s">
        <v>433</v>
      </c>
      <c r="D145" s="3" t="n">
        <v>8</v>
      </c>
      <c r="E145" s="3" t="n">
        <v>9</v>
      </c>
      <c r="F145" s="3" t="s">
        <v>95</v>
      </c>
      <c r="G145" s="3" t="n">
        <v>0</v>
      </c>
      <c r="H145" s="3" t="n">
        <v>1247</v>
      </c>
      <c r="I145" s="3" t="s">
        <v>22</v>
      </c>
      <c r="J145" s="3" t="n">
        <v>0</v>
      </c>
      <c r="K145" s="3" t="n">
        <v>0.87</v>
      </c>
      <c r="L145" s="3" t="n">
        <v>49</v>
      </c>
      <c r="M145" s="3" t="s">
        <v>23</v>
      </c>
      <c r="N145" s="3" t="n">
        <v>10</v>
      </c>
      <c r="O145" s="3" t="n">
        <v>38.4312</v>
      </c>
      <c r="P145" s="3" t="n">
        <v>39.0609</v>
      </c>
      <c r="Q145" s="3" t="s">
        <v>434</v>
      </c>
      <c r="R145" s="3" t="s">
        <v>80</v>
      </c>
      <c r="S145" s="3" t="s">
        <v>435</v>
      </c>
      <c r="T145" s="5" t="n">
        <f aca="false">IF(C145="","",DATE(VALUE(MID(C145,7,4)),VALUE(MID(C145,4,2)),VALUE(MID(C145,1,2)))+TIME(VALUE(MID(C145,12,2)),VALUE(MID(C145,15,2)),0))</f>
        <v>43854.7465277778</v>
      </c>
      <c r="U145" s="3" t="str">
        <f aca="false">IFERROR(IF(ISNUMBER(VALUE(TRIM(MID(A145,FIND("-",A145)+1,FIND("km",A145)-FIND("-",A145)-1)))),"Distance + direction + city","Named-region"),"Named-region")</f>
        <v>Distance + direction + city</v>
      </c>
      <c r="V145" s="3" t="str">
        <f aca="false">LOWER(M145)</f>
        <v>mww</v>
      </c>
      <c r="W145" s="3" t="n">
        <f aca="false">COUNTIFS($A$2:$A$1001,A145,$C$2:$C$1001,C145)</f>
        <v>1</v>
      </c>
      <c r="X145" s="3" t="str">
        <f aca="false">IF(W145&gt;1,"Duplicate","Unique")</f>
        <v>Unique</v>
      </c>
      <c r="Y145" s="3" t="str">
        <f aca="false">IF(B145&lt;6.5,"&lt;6.5",IF(B145&lt;7,"6.5–6.9",IF(B145&lt;7.5,"7.0–7.4",IF(B145&lt;8,"7.5–7.9","8.0+"))))</f>
        <v>6.5–6.9</v>
      </c>
      <c r="Z145" s="3" t="n">
        <f aca="false">IF(T145="","",YEAR(T145))</f>
        <v>2020</v>
      </c>
    </row>
    <row r="146" customFormat="false" ht="13.8" hidden="false" customHeight="false" outlineLevel="0" collapsed="false">
      <c r="A146" s="3" t="s">
        <v>436</v>
      </c>
      <c r="B146" s="3" t="n">
        <v>6.8</v>
      </c>
      <c r="C146" s="3" t="s">
        <v>437</v>
      </c>
      <c r="D146" s="3" t="n">
        <v>9</v>
      </c>
      <c r="E146" s="3" t="n">
        <v>7</v>
      </c>
      <c r="F146" s="3" t="s">
        <v>28</v>
      </c>
      <c r="G146" s="3" t="n">
        <v>1</v>
      </c>
      <c r="H146" s="3" t="n">
        <v>825</v>
      </c>
      <c r="I146" s="3" t="s">
        <v>22</v>
      </c>
      <c r="J146" s="3" t="n">
        <v>0</v>
      </c>
      <c r="K146" s="3" t="n">
        <v>0.546</v>
      </c>
      <c r="L146" s="3" t="n">
        <v>39</v>
      </c>
      <c r="M146" s="3" t="s">
        <v>23</v>
      </c>
      <c r="N146" s="3" t="n">
        <v>18</v>
      </c>
      <c r="O146" s="3" t="n">
        <v>6.6969</v>
      </c>
      <c r="P146" s="3" t="n">
        <v>125.174</v>
      </c>
      <c r="Q146" s="3" t="s">
        <v>438</v>
      </c>
      <c r="R146" s="3"/>
      <c r="S146" s="3" t="s">
        <v>191</v>
      </c>
      <c r="T146" s="5" t="n">
        <f aca="false">IF(C146="","",DATE(VALUE(MID(C146,7,4)),VALUE(MID(C146,4,2)),VALUE(MID(C146,1,2)))+TIME(VALUE(MID(C146,12,2)),VALUE(MID(C146,15,2)),0))</f>
        <v>43814.2576388889</v>
      </c>
      <c r="U146" s="3" t="str">
        <f aca="false">IFERROR(IF(ISNUMBER(VALUE(TRIM(MID(A146,FIND("-",A146)+1,FIND("km",A146)-FIND("-",A146)-1)))),"Distance + direction + city","Named-region"),"Named-region")</f>
        <v>Distance + direction + city</v>
      </c>
      <c r="V146" s="3" t="str">
        <f aca="false">LOWER(M146)</f>
        <v>mww</v>
      </c>
      <c r="W146" s="3" t="n">
        <f aca="false">COUNTIFS($A$2:$A$1001,A146,$C$2:$C$1001,C146)</f>
        <v>1</v>
      </c>
      <c r="X146" s="3" t="str">
        <f aca="false">IF(W146&gt;1,"Duplicate","Unique")</f>
        <v>Unique</v>
      </c>
      <c r="Y146" s="3" t="str">
        <f aca="false">IF(B146&lt;6.5,"&lt;6.5",IF(B146&lt;7,"6.5–6.9",IF(B146&lt;7.5,"7.0–7.4",IF(B146&lt;8,"7.5–7.9","8.0+"))))</f>
        <v>6.5–6.9</v>
      </c>
      <c r="Z146" s="3" t="n">
        <f aca="false">IF(T146="","",YEAR(T146))</f>
        <v>2019</v>
      </c>
    </row>
    <row r="147" customFormat="false" ht="13.8" hidden="false" customHeight="false" outlineLevel="0" collapsed="false">
      <c r="A147" s="3" t="s">
        <v>439</v>
      </c>
      <c r="B147" s="3" t="n">
        <v>7.1</v>
      </c>
      <c r="C147" s="3" t="s">
        <v>440</v>
      </c>
      <c r="D147" s="3" t="n">
        <v>6</v>
      </c>
      <c r="E147" s="3" t="n">
        <v>6</v>
      </c>
      <c r="F147" s="3" t="s">
        <v>21</v>
      </c>
      <c r="G147" s="3" t="n">
        <v>1</v>
      </c>
      <c r="H147" s="3" t="n">
        <v>799</v>
      </c>
      <c r="I147" s="3" t="s">
        <v>22</v>
      </c>
      <c r="J147" s="3" t="n">
        <v>0</v>
      </c>
      <c r="K147" s="3" t="n">
        <v>1.271</v>
      </c>
      <c r="L147" s="3" t="n">
        <v>11</v>
      </c>
      <c r="M147" s="3" t="s">
        <v>23</v>
      </c>
      <c r="N147" s="3" t="n">
        <v>33</v>
      </c>
      <c r="O147" s="3" t="n">
        <v>1.6213</v>
      </c>
      <c r="P147" s="3" t="n">
        <v>126.416</v>
      </c>
      <c r="Q147" s="3" t="s">
        <v>441</v>
      </c>
      <c r="R147" s="3"/>
      <c r="S147" s="3" t="s">
        <v>68</v>
      </c>
      <c r="T147" s="5" t="n">
        <f aca="false">IF(C147="","",DATE(VALUE(MID(C147,7,4)),VALUE(MID(C147,4,2)),VALUE(MID(C147,1,2)))+TIME(VALUE(MID(C147,12,2)),VALUE(MID(C147,15,2)),0))</f>
        <v>43783.6784722222</v>
      </c>
      <c r="U147" s="3" t="str">
        <f aca="false">IFERROR(IF(ISNUMBER(VALUE(TRIM(MID(A147,FIND("-",A147)+1,FIND("km",A147)-FIND("-",A147)-1)))),"Distance + direction + city","Named-region"),"Named-region")</f>
        <v>Distance + direction + city</v>
      </c>
      <c r="V147" s="3" t="str">
        <f aca="false">LOWER(M147)</f>
        <v>mww</v>
      </c>
      <c r="W147" s="3" t="n">
        <f aca="false">COUNTIFS($A$2:$A$1001,A147,$C$2:$C$1001,C147)</f>
        <v>1</v>
      </c>
      <c r="X147" s="3" t="str">
        <f aca="false">IF(W147&gt;1,"Duplicate","Unique")</f>
        <v>Unique</v>
      </c>
      <c r="Y147" s="3" t="str">
        <f aca="false">IF(B147&lt;6.5,"&lt;6.5",IF(B147&lt;7,"6.5–6.9",IF(B147&lt;7.5,"7.0–7.4",IF(B147&lt;8,"7.5–7.9","8.0+"))))</f>
        <v>7.0–7.4</v>
      </c>
      <c r="Z147" s="3" t="n">
        <f aca="false">IF(T147="","",YEAR(T147))</f>
        <v>2019</v>
      </c>
    </row>
    <row r="148" customFormat="false" ht="13.8" hidden="false" customHeight="false" outlineLevel="0" collapsed="false">
      <c r="A148" s="3" t="s">
        <v>442</v>
      </c>
      <c r="B148" s="3" t="n">
        <v>6.5</v>
      </c>
      <c r="C148" s="6" t="s">
        <v>443</v>
      </c>
      <c r="D148" s="3" t="n">
        <v>0</v>
      </c>
      <c r="E148" s="3" t="n">
        <v>2</v>
      </c>
      <c r="F148" s="3" t="s">
        <v>21</v>
      </c>
      <c r="G148" s="3" t="n">
        <v>0</v>
      </c>
      <c r="H148" s="3" t="n">
        <v>650</v>
      </c>
      <c r="I148" s="3" t="s">
        <v>22</v>
      </c>
      <c r="J148" s="3" t="n">
        <v>0</v>
      </c>
      <c r="K148" s="3" t="n">
        <v>4.765</v>
      </c>
      <c r="L148" s="3" t="n">
        <v>25</v>
      </c>
      <c r="M148" s="3" t="s">
        <v>23</v>
      </c>
      <c r="N148" s="3" t="n">
        <v>577</v>
      </c>
      <c r="O148" s="3" t="n">
        <v>-21.9449</v>
      </c>
      <c r="P148" s="3" t="n">
        <v>-179.511</v>
      </c>
      <c r="Q148" s="3" t="s">
        <v>444</v>
      </c>
      <c r="R148" s="3"/>
      <c r="S148" s="3"/>
      <c r="T148" s="5" t="n">
        <f aca="false">IF(C148="","",DATE(VALUE(MID(C148,7,4)),VALUE(MID(C148,4,2)),VALUE(MID(C148,1,2)))+TIME(VALUE(MID(C148,12,2)),VALUE(MID(C148,15,2)),0))</f>
        <v>43777.4472222222</v>
      </c>
      <c r="U148" s="3" t="str">
        <f aca="false">IFERROR(IF(ISNUMBER(VALUE(TRIM(MID(A148,FIND("-",A148)+1,FIND("km",A148)-FIND("-",A148)-1)))),"Distance + direction + city","Named-region"),"Named-region")</f>
        <v>Distance + direction + city</v>
      </c>
      <c r="V148" s="3" t="str">
        <f aca="false">LOWER(M148)</f>
        <v>mww</v>
      </c>
      <c r="W148" s="3" t="n">
        <f aca="false">COUNTIFS($A$2:$A$1001,A148,$C$2:$C$1001,C148)</f>
        <v>1</v>
      </c>
      <c r="X148" s="3" t="str">
        <f aca="false">IF(W148&gt;1,"Duplicate","Unique")</f>
        <v>Unique</v>
      </c>
      <c r="Y148" s="3" t="str">
        <f aca="false">IF(B148&lt;6.5,"&lt;6.5",IF(B148&lt;7,"6.5–6.9",IF(B148&lt;7.5,"7.0–7.4",IF(B148&lt;8,"7.5–7.9","8.0+"))))</f>
        <v>6.5–6.9</v>
      </c>
      <c r="Z148" s="3" t="n">
        <f aca="false">IF(T148="","",YEAR(T148))</f>
        <v>2019</v>
      </c>
    </row>
    <row r="149" customFormat="false" ht="13.8" hidden="false" customHeight="false" outlineLevel="0" collapsed="false">
      <c r="A149" s="3" t="s">
        <v>445</v>
      </c>
      <c r="B149" s="3" t="n">
        <v>6.6</v>
      </c>
      <c r="C149" s="6" t="s">
        <v>446</v>
      </c>
      <c r="D149" s="3" t="n">
        <v>4</v>
      </c>
      <c r="E149" s="3" t="n">
        <v>4</v>
      </c>
      <c r="F149" s="3" t="s">
        <v>21</v>
      </c>
      <c r="G149" s="3" t="n">
        <v>1</v>
      </c>
      <c r="H149" s="3" t="n">
        <v>673</v>
      </c>
      <c r="I149" s="3" t="s">
        <v>22</v>
      </c>
      <c r="J149" s="3" t="n">
        <v>0</v>
      </c>
      <c r="K149" s="3" t="n">
        <v>5.086</v>
      </c>
      <c r="L149" s="3" t="n">
        <v>48</v>
      </c>
      <c r="M149" s="3" t="s">
        <v>23</v>
      </c>
      <c r="N149" s="3" t="n">
        <v>10</v>
      </c>
      <c r="O149" s="3" t="n">
        <v>-18.5747</v>
      </c>
      <c r="P149" s="3" t="n">
        <v>-175.272</v>
      </c>
      <c r="Q149" s="3" t="s">
        <v>149</v>
      </c>
      <c r="R149" s="3"/>
      <c r="S149" s="3"/>
      <c r="T149" s="5" t="n">
        <f aca="false">IF(C149="","",DATE(VALUE(MID(C149,7,4)),VALUE(MID(C149,4,2)),VALUE(MID(C149,1,2)))+TIME(VALUE(MID(C149,12,2)),VALUE(MID(C149,15,2)),0))</f>
        <v>43773.9465277778</v>
      </c>
      <c r="U149" s="3" t="str">
        <f aca="false">IFERROR(IF(ISNUMBER(VALUE(TRIM(MID(A149,FIND("-",A149)+1,FIND("km",A149)-FIND("-",A149)-1)))),"Distance + direction + city","Named-region"),"Named-region")</f>
        <v>Distance + direction + city</v>
      </c>
      <c r="V149" s="3" t="str">
        <f aca="false">LOWER(M149)</f>
        <v>mww</v>
      </c>
      <c r="W149" s="3" t="n">
        <f aca="false">COUNTIFS($A$2:$A$1001,A149,$C$2:$C$1001,C149)</f>
        <v>1</v>
      </c>
      <c r="X149" s="3" t="str">
        <f aca="false">IF(W149&gt;1,"Duplicate","Unique")</f>
        <v>Unique</v>
      </c>
      <c r="Y149" s="3" t="str">
        <f aca="false">IF(B149&lt;6.5,"&lt;6.5",IF(B149&lt;7,"6.5–6.9",IF(B149&lt;7.5,"7.0–7.4",IF(B149&lt;8,"7.5–7.9","8.0+"))))</f>
        <v>6.5–6.9</v>
      </c>
      <c r="Z149" s="3" t="n">
        <f aca="false">IF(T149="","",YEAR(T149))</f>
        <v>2019</v>
      </c>
    </row>
    <row r="150" customFormat="false" ht="13.8" hidden="false" customHeight="false" outlineLevel="0" collapsed="false">
      <c r="A150" s="3" t="s">
        <v>447</v>
      </c>
      <c r="B150" s="3" t="n">
        <v>6.5</v>
      </c>
      <c r="C150" s="3" t="s">
        <v>448</v>
      </c>
      <c r="D150" s="3" t="n">
        <v>9</v>
      </c>
      <c r="E150" s="3" t="n">
        <v>7</v>
      </c>
      <c r="F150" s="3" t="s">
        <v>21</v>
      </c>
      <c r="G150" s="3" t="n">
        <v>1</v>
      </c>
      <c r="H150" s="3" t="n">
        <v>733</v>
      </c>
      <c r="I150" s="3" t="s">
        <v>22</v>
      </c>
      <c r="J150" s="3" t="n">
        <v>0</v>
      </c>
      <c r="K150" s="3" t="n">
        <v>0.428</v>
      </c>
      <c r="L150" s="3" t="n">
        <v>19</v>
      </c>
      <c r="M150" s="3" t="s">
        <v>23</v>
      </c>
      <c r="N150" s="3" t="n">
        <v>10</v>
      </c>
      <c r="O150" s="3" t="n">
        <v>6.9098</v>
      </c>
      <c r="P150" s="3" t="n">
        <v>125.178</v>
      </c>
      <c r="Q150" s="3" t="s">
        <v>449</v>
      </c>
      <c r="R150" s="3"/>
      <c r="S150" s="3" t="s">
        <v>191</v>
      </c>
      <c r="T150" s="5" t="n">
        <f aca="false">IF(C150="","",DATE(VALUE(MID(C150,7,4)),VALUE(MID(C150,4,2)),VALUE(MID(C150,1,2)))+TIME(VALUE(MID(C150,12,2)),VALUE(MID(C150,15,2)),0))</f>
        <v>43769.0493055556</v>
      </c>
      <c r="U150" s="3" t="str">
        <f aca="false">IFERROR(IF(ISNUMBER(VALUE(TRIM(MID(A150,FIND("-",A150)+1,FIND("km",A150)-FIND("-",A150)-1)))),"Distance + direction + city","Named-region"),"Named-region")</f>
        <v>Distance + direction + city</v>
      </c>
      <c r="V150" s="3" t="str">
        <f aca="false">LOWER(M150)</f>
        <v>mww</v>
      </c>
      <c r="W150" s="3" t="n">
        <f aca="false">COUNTIFS($A$2:$A$1001,A150,$C$2:$C$1001,C150)</f>
        <v>1</v>
      </c>
      <c r="X150" s="3" t="str">
        <f aca="false">IF(W150&gt;1,"Duplicate","Unique")</f>
        <v>Unique</v>
      </c>
      <c r="Y150" s="3" t="str">
        <f aca="false">IF(B150&lt;6.5,"&lt;6.5",IF(B150&lt;7,"6.5–6.9",IF(B150&lt;7.5,"7.0–7.4",IF(B150&lt;8,"7.5–7.9","8.0+"))))</f>
        <v>6.5–6.9</v>
      </c>
      <c r="Z150" s="3" t="n">
        <f aca="false">IF(T150="","",YEAR(T150))</f>
        <v>2019</v>
      </c>
    </row>
    <row r="151" customFormat="false" ht="13.8" hidden="false" customHeight="false" outlineLevel="0" collapsed="false">
      <c r="A151" s="3" t="s">
        <v>450</v>
      </c>
      <c r="B151" s="3" t="n">
        <v>6.6</v>
      </c>
      <c r="C151" s="3" t="s">
        <v>451</v>
      </c>
      <c r="D151" s="3" t="n">
        <v>9</v>
      </c>
      <c r="E151" s="3" t="n">
        <v>7</v>
      </c>
      <c r="F151" s="3" t="s">
        <v>28</v>
      </c>
      <c r="G151" s="3" t="n">
        <v>1</v>
      </c>
      <c r="H151" s="3" t="n">
        <v>780</v>
      </c>
      <c r="I151" s="3" t="s">
        <v>22</v>
      </c>
      <c r="J151" s="3" t="n">
        <v>0</v>
      </c>
      <c r="K151" s="3" t="n">
        <v>0.646</v>
      </c>
      <c r="L151" s="3" t="n">
        <v>24</v>
      </c>
      <c r="M151" s="3" t="s">
        <v>23</v>
      </c>
      <c r="N151" s="3" t="n">
        <v>15</v>
      </c>
      <c r="O151" s="3" t="n">
        <v>6.7567</v>
      </c>
      <c r="P151" s="3" t="n">
        <v>125.008</v>
      </c>
      <c r="Q151" s="3" t="s">
        <v>452</v>
      </c>
      <c r="R151" s="3"/>
      <c r="S151" s="3" t="s">
        <v>191</v>
      </c>
      <c r="T151" s="5" t="n">
        <f aca="false">IF(C151="","",DATE(VALUE(MID(C151,7,4)),VALUE(MID(C151,4,2)),VALUE(MID(C151,1,2)))+TIME(VALUE(MID(C151,12,2)),VALUE(MID(C151,15,2)),0))</f>
        <v>43767.0444444444</v>
      </c>
      <c r="U151" s="3" t="str">
        <f aca="false">IFERROR(IF(ISNUMBER(VALUE(TRIM(MID(A151,FIND("-",A151)+1,FIND("km",A151)-FIND("-",A151)-1)))),"Distance + direction + city","Named-region"),"Named-region")</f>
        <v>Distance + direction + city</v>
      </c>
      <c r="V151" s="3" t="str">
        <f aca="false">LOWER(M151)</f>
        <v>mww</v>
      </c>
      <c r="W151" s="3" t="n">
        <f aca="false">COUNTIFS($A$2:$A$1001,A151,$C$2:$C$1001,C151)</f>
        <v>1</v>
      </c>
      <c r="X151" s="3" t="str">
        <f aca="false">IF(W151&gt;1,"Duplicate","Unique")</f>
        <v>Unique</v>
      </c>
      <c r="Y151" s="3" t="str">
        <f aca="false">IF(B151&lt;6.5,"&lt;6.5",IF(B151&lt;7,"6.5–6.9",IF(B151&lt;7.5,"7.0–7.4",IF(B151&lt;8,"7.5–7.9","8.0+"))))</f>
        <v>6.5–6.9</v>
      </c>
      <c r="Z151" s="3" t="n">
        <f aca="false">IF(T151="","",YEAR(T151))</f>
        <v>2019</v>
      </c>
    </row>
    <row r="152" customFormat="false" ht="13.8" hidden="false" customHeight="false" outlineLevel="0" collapsed="false">
      <c r="A152" s="3" t="s">
        <v>453</v>
      </c>
      <c r="B152" s="3" t="n">
        <v>6.7</v>
      </c>
      <c r="C152" s="3" t="s">
        <v>454</v>
      </c>
      <c r="D152" s="3" t="n">
        <v>7</v>
      </c>
      <c r="E152" s="3" t="n">
        <v>6</v>
      </c>
      <c r="F152" s="3" t="s">
        <v>21</v>
      </c>
      <c r="G152" s="3" t="n">
        <v>1</v>
      </c>
      <c r="H152" s="3" t="n">
        <v>844</v>
      </c>
      <c r="I152" s="3" t="s">
        <v>22</v>
      </c>
      <c r="J152" s="3" t="n">
        <v>0</v>
      </c>
      <c r="K152" s="3" t="n">
        <v>1.269</v>
      </c>
      <c r="L152" s="3" t="n">
        <v>98</v>
      </c>
      <c r="M152" s="3" t="s">
        <v>23</v>
      </c>
      <c r="N152" s="3" t="n">
        <v>11</v>
      </c>
      <c r="O152" s="3" t="n">
        <v>-35.4758</v>
      </c>
      <c r="P152" s="3" t="n">
        <v>-73.163</v>
      </c>
      <c r="Q152" s="3" t="s">
        <v>455</v>
      </c>
      <c r="R152" s="3"/>
      <c r="S152" s="3"/>
      <c r="T152" s="5" t="n">
        <f aca="false">IF(C152="","",DATE(VALUE(MID(C152,7,4)),VALUE(MID(C152,4,2)),VALUE(MID(C152,1,2)))+TIME(VALUE(MID(C152,12,2)),VALUE(MID(C152,15,2)),0))</f>
        <v>43737.6645833333</v>
      </c>
      <c r="U152" s="3" t="str">
        <f aca="false">IFERROR(IF(ISNUMBER(VALUE(TRIM(MID(A152,FIND("-",A152)+1,FIND("km",A152)-FIND("-",A152)-1)))),"Distance + direction + city","Named-region"),"Named-region")</f>
        <v>Distance + direction + city</v>
      </c>
      <c r="V152" s="3" t="str">
        <f aca="false">LOWER(M152)</f>
        <v>mww</v>
      </c>
      <c r="W152" s="3" t="n">
        <f aca="false">COUNTIFS($A$2:$A$1001,A152,$C$2:$C$1001,C152)</f>
        <v>1</v>
      </c>
      <c r="X152" s="3" t="str">
        <f aca="false">IF(W152&gt;1,"Duplicate","Unique")</f>
        <v>Unique</v>
      </c>
      <c r="Y152" s="3" t="str">
        <f aca="false">IF(B152&lt;6.5,"&lt;6.5",IF(B152&lt;7,"6.5–6.9",IF(B152&lt;7.5,"7.0–7.4",IF(B152&lt;8,"7.5–7.9","8.0+"))))</f>
        <v>6.5–6.9</v>
      </c>
      <c r="Z152" s="3" t="n">
        <f aca="false">IF(T152="","",YEAR(T152))</f>
        <v>2019</v>
      </c>
    </row>
    <row r="153" customFormat="false" ht="13.8" hidden="false" customHeight="false" outlineLevel="0" collapsed="false">
      <c r="A153" s="3" t="s">
        <v>456</v>
      </c>
      <c r="B153" s="3" t="n">
        <v>6.5</v>
      </c>
      <c r="C153" s="3" t="s">
        <v>457</v>
      </c>
      <c r="D153" s="3" t="n">
        <v>7</v>
      </c>
      <c r="E153" s="3" t="n">
        <v>7</v>
      </c>
      <c r="F153" s="3" t="s">
        <v>28</v>
      </c>
      <c r="G153" s="3" t="n">
        <v>1</v>
      </c>
      <c r="H153" s="3" t="n">
        <v>656</v>
      </c>
      <c r="I153" s="3" t="s">
        <v>22</v>
      </c>
      <c r="J153" s="3" t="n">
        <v>0</v>
      </c>
      <c r="K153" s="3" t="n">
        <v>3.909</v>
      </c>
      <c r="L153" s="3" t="n">
        <v>15</v>
      </c>
      <c r="M153" s="3" t="s">
        <v>23</v>
      </c>
      <c r="N153" s="3" t="n">
        <v>12.26</v>
      </c>
      <c r="O153" s="3" t="n">
        <v>-3.4528</v>
      </c>
      <c r="P153" s="3" t="n">
        <v>128.37</v>
      </c>
      <c r="Q153" s="3" t="s">
        <v>458</v>
      </c>
      <c r="R153" s="3"/>
      <c r="S153" s="3" t="s">
        <v>68</v>
      </c>
      <c r="T153" s="5" t="n">
        <f aca="false">IF(C153="","",DATE(VALUE(MID(C153,7,4)),VALUE(MID(C153,4,2)),VALUE(MID(C153,1,2)))+TIME(VALUE(MID(C153,12,2)),VALUE(MID(C153,15,2)),0))</f>
        <v>43733.9902777778</v>
      </c>
      <c r="U153" s="3" t="str">
        <f aca="false">IFERROR(IF(ISNUMBER(VALUE(TRIM(MID(A153,FIND("-",A153)+1,FIND("km",A153)-FIND("-",A153)-1)))),"Distance + direction + city","Named-region"),"Named-region")</f>
        <v>Distance + direction + city</v>
      </c>
      <c r="V153" s="3" t="str">
        <f aca="false">LOWER(M153)</f>
        <v>mww</v>
      </c>
      <c r="W153" s="3" t="n">
        <f aca="false">COUNTIFS($A$2:$A$1001,A153,$C$2:$C$1001,C153)</f>
        <v>1</v>
      </c>
      <c r="X153" s="3" t="str">
        <f aca="false">IF(W153&gt;1,"Duplicate","Unique")</f>
        <v>Unique</v>
      </c>
      <c r="Y153" s="3" t="str">
        <f aca="false">IF(B153&lt;6.5,"&lt;6.5",IF(B153&lt;7,"6.5–6.9",IF(B153&lt;7.5,"7.0–7.4",IF(B153&lt;8,"7.5–7.9","8.0+"))))</f>
        <v>6.5–6.9</v>
      </c>
      <c r="Z153" s="3" t="n">
        <f aca="false">IF(T153="","",YEAR(T153))</f>
        <v>2019</v>
      </c>
    </row>
    <row r="154" customFormat="false" ht="13.8" hidden="false" customHeight="false" outlineLevel="0" collapsed="false">
      <c r="A154" s="3" t="s">
        <v>459</v>
      </c>
      <c r="B154" s="3" t="n">
        <v>6.6</v>
      </c>
      <c r="C154" s="6" t="s">
        <v>460</v>
      </c>
      <c r="D154" s="3" t="n">
        <v>2</v>
      </c>
      <c r="E154" s="3" t="n">
        <v>3</v>
      </c>
      <c r="F154" s="3"/>
      <c r="G154" s="3" t="n">
        <v>1</v>
      </c>
      <c r="H154" s="3" t="n">
        <v>671</v>
      </c>
      <c r="I154" s="3" t="s">
        <v>22</v>
      </c>
      <c r="J154" s="3" t="n">
        <v>0</v>
      </c>
      <c r="K154" s="3" t="n">
        <v>4.121</v>
      </c>
      <c r="L154" s="3" t="n">
        <v>19</v>
      </c>
      <c r="M154" s="3" t="s">
        <v>23</v>
      </c>
      <c r="N154" s="3" t="n">
        <v>591</v>
      </c>
      <c r="O154" s="3" t="n">
        <v>-20.3641</v>
      </c>
      <c r="P154" s="3" t="n">
        <v>-178.57</v>
      </c>
      <c r="Q154" s="3" t="s">
        <v>444</v>
      </c>
      <c r="R154" s="3"/>
      <c r="S154" s="3" t="s">
        <v>146</v>
      </c>
      <c r="T154" s="5" t="n">
        <f aca="false">IF(C154="","",DATE(VALUE(MID(C154,7,4)),VALUE(MID(C154,4,2)),VALUE(MID(C154,1,2)))+TIME(VALUE(MID(C154,12,2)),VALUE(MID(C154,15,2)),0))</f>
        <v>43709.6625</v>
      </c>
      <c r="U154" s="3" t="str">
        <f aca="false">IFERROR(IF(ISNUMBER(VALUE(TRIM(MID(A154,FIND("-",A154)+1,FIND("km",A154)-FIND("-",A154)-1)))),"Distance + direction + city","Named-region"),"Named-region")</f>
        <v>Distance + direction + city</v>
      </c>
      <c r="V154" s="3" t="str">
        <f aca="false">LOWER(M154)</f>
        <v>mww</v>
      </c>
      <c r="W154" s="3" t="n">
        <f aca="false">COUNTIFS($A$2:$A$1001,A154,$C$2:$C$1001,C154)</f>
        <v>1</v>
      </c>
      <c r="X154" s="3" t="str">
        <f aca="false">IF(W154&gt;1,"Duplicate","Unique")</f>
        <v>Unique</v>
      </c>
      <c r="Y154" s="3" t="str">
        <f aca="false">IF(B154&lt;6.5,"&lt;6.5",IF(B154&lt;7,"6.5–6.9",IF(B154&lt;7.5,"7.0–7.4",IF(B154&lt;8,"7.5–7.9","8.0+"))))</f>
        <v>6.5–6.9</v>
      </c>
      <c r="Z154" s="3" t="n">
        <f aca="false">IF(T154="","",YEAR(T154))</f>
        <v>2019</v>
      </c>
    </row>
    <row r="155" customFormat="false" ht="13.8" hidden="false" customHeight="false" outlineLevel="0" collapsed="false">
      <c r="A155" s="3" t="s">
        <v>461</v>
      </c>
      <c r="B155" s="3" t="n">
        <v>6.6</v>
      </c>
      <c r="C155" s="3" t="s">
        <v>462</v>
      </c>
      <c r="D155" s="3" t="n">
        <v>0</v>
      </c>
      <c r="E155" s="3" t="n">
        <v>4</v>
      </c>
      <c r="F155" s="3" t="s">
        <v>21</v>
      </c>
      <c r="G155" s="3" t="n">
        <v>1</v>
      </c>
      <c r="H155" s="3" t="n">
        <v>670</v>
      </c>
      <c r="I155" s="3" t="s">
        <v>22</v>
      </c>
      <c r="J155" s="3" t="n">
        <v>0</v>
      </c>
      <c r="K155" s="3" t="n">
        <v>12.896</v>
      </c>
      <c r="L155" s="3" t="n">
        <v>19</v>
      </c>
      <c r="M155" s="3" t="s">
        <v>23</v>
      </c>
      <c r="N155" s="3" t="n">
        <v>16</v>
      </c>
      <c r="O155" s="3" t="n">
        <v>-60.2152</v>
      </c>
      <c r="P155" s="3" t="n">
        <v>-26.5801</v>
      </c>
      <c r="Q155" s="3" t="s">
        <v>463</v>
      </c>
      <c r="R155" s="3"/>
      <c r="S155" s="3" t="s">
        <v>464</v>
      </c>
      <c r="T155" s="5" t="n">
        <f aca="false">IF(C155="","",DATE(VALUE(MID(C155,7,4)),VALUE(MID(C155,4,2)),VALUE(MID(C155,1,2)))+TIME(VALUE(MID(C155,12,2)),VALUE(MID(C155,15,2)),0))</f>
        <v>43704.9965277778</v>
      </c>
      <c r="U155" s="3" t="str">
        <f aca="false">IFERROR(IF(ISNUMBER(VALUE(TRIM(MID(A155,FIND("-",A155)+1,FIND("km",A155)-FIND("-",A155)-1)))),"Distance + direction + city","Named-region"),"Named-region")</f>
        <v>Distance + direction + city</v>
      </c>
      <c r="V155" s="3" t="str">
        <f aca="false">LOWER(M155)</f>
        <v>mww</v>
      </c>
      <c r="W155" s="3" t="n">
        <f aca="false">COUNTIFS($A$2:$A$1001,A155,$C$2:$C$1001,C155)</f>
        <v>1</v>
      </c>
      <c r="X155" s="3" t="str">
        <f aca="false">IF(W155&gt;1,"Duplicate","Unique")</f>
        <v>Unique</v>
      </c>
      <c r="Y155" s="3" t="str">
        <f aca="false">IF(B155&lt;6.5,"&lt;6.5",IF(B155&lt;7,"6.5–6.9",IF(B155&lt;7.5,"7.0–7.4",IF(B155&lt;8,"7.5–7.9","8.0+"))))</f>
        <v>6.5–6.9</v>
      </c>
      <c r="Z155" s="3" t="n">
        <f aca="false">IF(T155="","",YEAR(T155))</f>
        <v>2019</v>
      </c>
    </row>
    <row r="156" customFormat="false" ht="13.8" hidden="false" customHeight="false" outlineLevel="0" collapsed="false">
      <c r="A156" s="3" t="s">
        <v>465</v>
      </c>
      <c r="B156" s="3" t="n">
        <v>6.9</v>
      </c>
      <c r="C156" s="6" t="s">
        <v>466</v>
      </c>
      <c r="D156" s="3" t="n">
        <v>4</v>
      </c>
      <c r="E156" s="3" t="n">
        <v>6</v>
      </c>
      <c r="F156" s="3" t="s">
        <v>21</v>
      </c>
      <c r="G156" s="3" t="n">
        <v>0</v>
      </c>
      <c r="H156" s="3" t="n">
        <v>875</v>
      </c>
      <c r="I156" s="3" t="s">
        <v>22</v>
      </c>
      <c r="J156" s="3" t="n">
        <v>0</v>
      </c>
      <c r="K156" s="3" t="n">
        <v>2.839</v>
      </c>
      <c r="L156" s="3" t="n">
        <v>23</v>
      </c>
      <c r="M156" s="3" t="s">
        <v>23</v>
      </c>
      <c r="N156" s="3" t="n">
        <v>49</v>
      </c>
      <c r="O156" s="3" t="n">
        <v>-7.2822</v>
      </c>
      <c r="P156" s="3" t="n">
        <v>104.791</v>
      </c>
      <c r="Q156" s="3" t="s">
        <v>231</v>
      </c>
      <c r="R156" s="3"/>
      <c r="S156" s="3"/>
      <c r="T156" s="5" t="n">
        <f aca="false">IF(C156="","",DATE(VALUE(MID(C156,7,4)),VALUE(MID(C156,4,2)),VALUE(MID(C156,1,2)))+TIME(VALUE(MID(C156,12,2)),VALUE(MID(C156,15,2)),0))</f>
        <v>43679.5020833333</v>
      </c>
      <c r="U156" s="3" t="str">
        <f aca="false">IFERROR(IF(ISNUMBER(VALUE(TRIM(MID(A156,FIND("-",A156)+1,FIND("km",A156)-FIND("-",A156)-1)))),"Distance + direction + city","Named-region"),"Named-region")</f>
        <v>Distance + direction + city</v>
      </c>
      <c r="V156" s="3" t="str">
        <f aca="false">LOWER(M156)</f>
        <v>mww</v>
      </c>
      <c r="W156" s="3" t="n">
        <f aca="false">COUNTIFS($A$2:$A$1001,A156,$C$2:$C$1001,C156)</f>
        <v>1</v>
      </c>
      <c r="X156" s="3" t="str">
        <f aca="false">IF(W156&gt;1,"Duplicate","Unique")</f>
        <v>Unique</v>
      </c>
      <c r="Y156" s="3" t="str">
        <f aca="false">IF(B156&lt;6.5,"&lt;6.5",IF(B156&lt;7,"6.5–6.9",IF(B156&lt;7.5,"7.0–7.4",IF(B156&lt;8,"7.5–7.9","8.0+"))))</f>
        <v>6.5–6.9</v>
      </c>
      <c r="Z156" s="3" t="n">
        <f aca="false">IF(T156="","",YEAR(T156))</f>
        <v>2019</v>
      </c>
    </row>
    <row r="157" customFormat="false" ht="13.8" hidden="false" customHeight="false" outlineLevel="0" collapsed="false">
      <c r="A157" s="3" t="s">
        <v>467</v>
      </c>
      <c r="B157" s="3" t="n">
        <v>6.8</v>
      </c>
      <c r="C157" s="6" t="s">
        <v>468</v>
      </c>
      <c r="D157" s="3" t="n">
        <v>6</v>
      </c>
      <c r="E157" s="3" t="n">
        <v>6</v>
      </c>
      <c r="F157" s="3" t="s">
        <v>21</v>
      </c>
      <c r="G157" s="3" t="n">
        <v>1</v>
      </c>
      <c r="H157" s="3" t="n">
        <v>947</v>
      </c>
      <c r="I157" s="3" t="s">
        <v>22</v>
      </c>
      <c r="J157" s="3" t="n">
        <v>0</v>
      </c>
      <c r="K157" s="3" t="n">
        <v>0.817</v>
      </c>
      <c r="L157" s="3" t="n">
        <v>35</v>
      </c>
      <c r="M157" s="3" t="s">
        <v>23</v>
      </c>
      <c r="N157" s="3" t="n">
        <v>25</v>
      </c>
      <c r="O157" s="3" t="n">
        <v>-34.2364</v>
      </c>
      <c r="P157" s="3" t="n">
        <v>-72.3102</v>
      </c>
      <c r="Q157" s="3" t="s">
        <v>469</v>
      </c>
      <c r="R157" s="3"/>
      <c r="S157" s="3"/>
      <c r="T157" s="5" t="n">
        <f aca="false">IF(C157="","",DATE(VALUE(MID(C157,7,4)),VALUE(MID(C157,4,2)),VALUE(MID(C157,1,2)))+TIME(VALUE(MID(C157,12,2)),VALUE(MID(C157,15,2)),0))</f>
        <v>43678.7694444444</v>
      </c>
      <c r="U157" s="3" t="str">
        <f aca="false">IFERROR(IF(ISNUMBER(VALUE(TRIM(MID(A157,FIND("-",A157)+1,FIND("km",A157)-FIND("-",A157)-1)))),"Distance + direction + city","Named-region"),"Named-region")</f>
        <v>Distance + direction + city</v>
      </c>
      <c r="V157" s="3" t="str">
        <f aca="false">LOWER(M157)</f>
        <v>mww</v>
      </c>
      <c r="W157" s="3" t="n">
        <f aca="false">COUNTIFS($A$2:$A$1001,A157,$C$2:$C$1001,C157)</f>
        <v>1</v>
      </c>
      <c r="X157" s="3" t="str">
        <f aca="false">IF(W157&gt;1,"Duplicate","Unique")</f>
        <v>Unique</v>
      </c>
      <c r="Y157" s="3" t="str">
        <f aca="false">IF(B157&lt;6.5,"&lt;6.5",IF(B157&lt;7,"6.5–6.9",IF(B157&lt;7.5,"7.0–7.4",IF(B157&lt;8,"7.5–7.9","8.0+"))))</f>
        <v>6.5–6.9</v>
      </c>
      <c r="Z157" s="3" t="n">
        <f aca="false">IF(T157="","",YEAR(T157))</f>
        <v>2019</v>
      </c>
    </row>
    <row r="158" customFormat="false" ht="13.8" hidden="false" customHeight="false" outlineLevel="0" collapsed="false">
      <c r="A158" s="3" t="s">
        <v>470</v>
      </c>
      <c r="B158" s="3" t="n">
        <v>6.6</v>
      </c>
      <c r="C158" s="3" t="s">
        <v>471</v>
      </c>
      <c r="D158" s="3" t="n">
        <v>0</v>
      </c>
      <c r="E158" s="3" t="n">
        <v>4</v>
      </c>
      <c r="F158" s="3" t="s">
        <v>21</v>
      </c>
      <c r="G158" s="3" t="n">
        <v>1</v>
      </c>
      <c r="H158" s="3" t="n">
        <v>670</v>
      </c>
      <c r="I158" s="3" t="s">
        <v>22</v>
      </c>
      <c r="J158" s="3" t="n">
        <v>0</v>
      </c>
      <c r="K158" s="3" t="n">
        <v>6.024</v>
      </c>
      <c r="L158" s="3" t="n">
        <v>30</v>
      </c>
      <c r="M158" s="3" t="s">
        <v>23</v>
      </c>
      <c r="N158" s="3" t="n">
        <v>181</v>
      </c>
      <c r="O158" s="3" t="n">
        <v>-16.1985</v>
      </c>
      <c r="P158" s="3" t="n">
        <v>167.998</v>
      </c>
      <c r="Q158" s="3" t="s">
        <v>472</v>
      </c>
      <c r="R158" s="3"/>
      <c r="S158" s="3" t="s">
        <v>25</v>
      </c>
      <c r="T158" s="5" t="n">
        <f aca="false">IF(C158="","",DATE(VALUE(MID(C158,7,4)),VALUE(MID(C158,4,2)),VALUE(MID(C158,1,2)))+TIME(VALUE(MID(C158,12,2)),VALUE(MID(C158,15,2)),0))</f>
        <v>43677.6263888889</v>
      </c>
      <c r="U158" s="3" t="str">
        <f aca="false">IFERROR(IF(ISNUMBER(VALUE(TRIM(MID(A158,FIND("-",A158)+1,FIND("km",A158)-FIND("-",A158)-1)))),"Distance + direction + city","Named-region"),"Named-region")</f>
        <v>Distance + direction + city</v>
      </c>
      <c r="V158" s="3" t="str">
        <f aca="false">LOWER(M158)</f>
        <v>mww</v>
      </c>
      <c r="W158" s="3" t="n">
        <f aca="false">COUNTIFS($A$2:$A$1001,A158,$C$2:$C$1001,C158)</f>
        <v>1</v>
      </c>
      <c r="X158" s="3" t="str">
        <f aca="false">IF(W158&gt;1,"Duplicate","Unique")</f>
        <v>Unique</v>
      </c>
      <c r="Y158" s="3" t="str">
        <f aca="false">IF(B158&lt;6.5,"&lt;6.5",IF(B158&lt;7,"6.5–6.9",IF(B158&lt;7.5,"7.0–7.4",IF(B158&lt;8,"7.5–7.9","8.0+"))))</f>
        <v>6.5–6.9</v>
      </c>
      <c r="Z158" s="3" t="n">
        <f aca="false">IF(T158="","",YEAR(T158))</f>
        <v>2019</v>
      </c>
    </row>
    <row r="159" customFormat="false" ht="13.8" hidden="false" customHeight="false" outlineLevel="0" collapsed="false">
      <c r="A159" s="3" t="s">
        <v>473</v>
      </c>
      <c r="B159" s="3" t="n">
        <v>7.2</v>
      </c>
      <c r="C159" s="3" t="s">
        <v>474</v>
      </c>
      <c r="D159" s="3" t="n">
        <v>7</v>
      </c>
      <c r="E159" s="3" t="n">
        <v>7</v>
      </c>
      <c r="F159" s="3" t="s">
        <v>21</v>
      </c>
      <c r="G159" s="3" t="n">
        <v>1</v>
      </c>
      <c r="H159" s="3" t="n">
        <v>809</v>
      </c>
      <c r="I159" s="3" t="s">
        <v>22</v>
      </c>
      <c r="J159" s="3" t="n">
        <v>0</v>
      </c>
      <c r="K159" s="3" t="n">
        <v>1.504</v>
      </c>
      <c r="L159" s="3" t="n">
        <v>38</v>
      </c>
      <c r="M159" s="3" t="s">
        <v>23</v>
      </c>
      <c r="N159" s="3" t="n">
        <v>18.98</v>
      </c>
      <c r="O159" s="3" t="n">
        <v>-0.5858</v>
      </c>
      <c r="P159" s="3" t="n">
        <v>128.034</v>
      </c>
      <c r="Q159" s="3" t="s">
        <v>475</v>
      </c>
      <c r="R159" s="3"/>
      <c r="S159" s="3" t="s">
        <v>68</v>
      </c>
      <c r="T159" s="5" t="n">
        <f aca="false">IF(C159="","",DATE(VALUE(MID(C159,7,4)),VALUE(MID(C159,4,2)),VALUE(MID(C159,1,2)))+TIME(VALUE(MID(C159,12,2)),VALUE(MID(C159,15,2)),0))</f>
        <v>43660.3819444444</v>
      </c>
      <c r="U159" s="3" t="str">
        <f aca="false">IFERROR(IF(ISNUMBER(VALUE(TRIM(MID(A159,FIND("-",A159)+1,FIND("km",A159)-FIND("-",A159)-1)))),"Distance + direction + city","Named-region"),"Named-region")</f>
        <v>Distance + direction + city</v>
      </c>
      <c r="V159" s="3" t="str">
        <f aca="false">LOWER(M159)</f>
        <v>mww</v>
      </c>
      <c r="W159" s="3" t="n">
        <f aca="false">COUNTIFS($A$2:$A$1001,A159,$C$2:$C$1001,C159)</f>
        <v>1</v>
      </c>
      <c r="X159" s="3" t="str">
        <f aca="false">IF(W159&gt;1,"Duplicate","Unique")</f>
        <v>Unique</v>
      </c>
      <c r="Y159" s="3" t="str">
        <f aca="false">IF(B159&lt;6.5,"&lt;6.5",IF(B159&lt;7,"6.5–6.9",IF(B159&lt;7.5,"7.0–7.4",IF(B159&lt;8,"7.5–7.9","8.0+"))))</f>
        <v>7.0–7.4</v>
      </c>
      <c r="Z159" s="3" t="n">
        <f aca="false">IF(T159="","",YEAR(T159))</f>
        <v>2019</v>
      </c>
    </row>
    <row r="160" customFormat="false" ht="13.8" hidden="false" customHeight="false" outlineLevel="0" collapsed="false">
      <c r="A160" s="3" t="s">
        <v>476</v>
      </c>
      <c r="B160" s="3" t="n">
        <v>6.6</v>
      </c>
      <c r="C160" s="3" t="s">
        <v>477</v>
      </c>
      <c r="D160" s="3" t="n">
        <v>5</v>
      </c>
      <c r="E160" s="3" t="n">
        <v>5</v>
      </c>
      <c r="F160" s="3" t="s">
        <v>21</v>
      </c>
      <c r="G160" s="3" t="n">
        <v>0</v>
      </c>
      <c r="H160" s="3" t="n">
        <v>791</v>
      </c>
      <c r="I160" s="3" t="s">
        <v>22</v>
      </c>
      <c r="J160" s="3" t="n">
        <v>0</v>
      </c>
      <c r="K160" s="3" t="n">
        <v>2.978</v>
      </c>
      <c r="L160" s="3" t="n">
        <v>32</v>
      </c>
      <c r="M160" s="3" t="s">
        <v>23</v>
      </c>
      <c r="N160" s="3" t="n">
        <v>10</v>
      </c>
      <c r="O160" s="3" t="n">
        <v>-18.2242</v>
      </c>
      <c r="P160" s="3" t="n">
        <v>120.358</v>
      </c>
      <c r="Q160" s="3" t="s">
        <v>478</v>
      </c>
      <c r="R160" s="3"/>
      <c r="S160" s="3"/>
      <c r="T160" s="5" t="n">
        <f aca="false">IF(C160="","",DATE(VALUE(MID(C160,7,4)),VALUE(MID(C160,4,2)),VALUE(MID(C160,1,2)))+TIME(VALUE(MID(C160,12,2)),VALUE(MID(C160,15,2)),0))</f>
        <v>43660.2354166667</v>
      </c>
      <c r="U160" s="3" t="str">
        <f aca="false">IFERROR(IF(ISNUMBER(VALUE(TRIM(MID(A160,FIND("-",A160)+1,FIND("km",A160)-FIND("-",A160)-1)))),"Distance + direction + city","Named-region"),"Named-region")</f>
        <v>Distance + direction + city</v>
      </c>
      <c r="V160" s="3" t="str">
        <f aca="false">LOWER(M160)</f>
        <v>mww</v>
      </c>
      <c r="W160" s="3" t="n">
        <f aca="false">COUNTIFS($A$2:$A$1001,A160,$C$2:$C$1001,C160)</f>
        <v>1</v>
      </c>
      <c r="X160" s="3" t="str">
        <f aca="false">IF(W160&gt;1,"Duplicate","Unique")</f>
        <v>Unique</v>
      </c>
      <c r="Y160" s="3" t="str">
        <f aca="false">IF(B160&lt;6.5,"&lt;6.5",IF(B160&lt;7,"6.5–6.9",IF(B160&lt;7.5,"7.0–7.4",IF(B160&lt;8,"7.5–7.9","8.0+"))))</f>
        <v>6.5–6.9</v>
      </c>
      <c r="Z160" s="3" t="n">
        <f aca="false">IF(T160="","",YEAR(T160))</f>
        <v>2019</v>
      </c>
    </row>
    <row r="161" customFormat="false" ht="13.8" hidden="false" customHeight="false" outlineLevel="0" collapsed="false">
      <c r="A161" s="3" t="s">
        <v>479</v>
      </c>
      <c r="B161" s="3" t="n">
        <v>6.9</v>
      </c>
      <c r="C161" s="6" t="s">
        <v>480</v>
      </c>
      <c r="D161" s="3" t="n">
        <v>7</v>
      </c>
      <c r="E161" s="3" t="n">
        <v>5</v>
      </c>
      <c r="F161" s="3" t="s">
        <v>21</v>
      </c>
      <c r="G161" s="3" t="n">
        <v>0</v>
      </c>
      <c r="H161" s="3" t="n">
        <v>747</v>
      </c>
      <c r="I161" s="3" t="s">
        <v>22</v>
      </c>
      <c r="J161" s="3" t="n">
        <v>0</v>
      </c>
      <c r="K161" s="3" t="n">
        <v>1.205</v>
      </c>
      <c r="L161" s="3" t="n">
        <v>21</v>
      </c>
      <c r="M161" s="3" t="s">
        <v>23</v>
      </c>
      <c r="N161" s="3" t="n">
        <v>35</v>
      </c>
      <c r="O161" s="3" t="n">
        <v>0.5126</v>
      </c>
      <c r="P161" s="3" t="n">
        <v>126.189</v>
      </c>
      <c r="Q161" s="3" t="s">
        <v>481</v>
      </c>
      <c r="R161" s="3"/>
      <c r="S161" s="3" t="s">
        <v>68</v>
      </c>
      <c r="T161" s="5" t="n">
        <f aca="false">IF(C161="","",DATE(VALUE(MID(C161,7,4)),VALUE(MID(C161,4,2)),VALUE(MID(C161,1,2)))+TIME(VALUE(MID(C161,12,2)),VALUE(MID(C161,15,2)),0))</f>
        <v>43653.6305555556</v>
      </c>
      <c r="U161" s="3" t="str">
        <f aca="false">IFERROR(IF(ISNUMBER(VALUE(TRIM(MID(A161,FIND("-",A161)+1,FIND("km",A161)-FIND("-",A161)-1)))),"Distance + direction + city","Named-region"),"Named-region")</f>
        <v>Distance + direction + city</v>
      </c>
      <c r="V161" s="3" t="str">
        <f aca="false">LOWER(M161)</f>
        <v>mww</v>
      </c>
      <c r="W161" s="3" t="n">
        <f aca="false">COUNTIFS($A$2:$A$1001,A161,$C$2:$C$1001,C161)</f>
        <v>1</v>
      </c>
      <c r="X161" s="3" t="str">
        <f aca="false">IF(W161&gt;1,"Duplicate","Unique")</f>
        <v>Unique</v>
      </c>
      <c r="Y161" s="3" t="str">
        <f aca="false">IF(B161&lt;6.5,"&lt;6.5",IF(B161&lt;7,"6.5–6.9",IF(B161&lt;7.5,"7.0–7.4",IF(B161&lt;8,"7.5–7.9","8.0+"))))</f>
        <v>6.5–6.9</v>
      </c>
      <c r="Z161" s="3" t="n">
        <f aca="false">IF(T161="","",YEAR(T161))</f>
        <v>2019</v>
      </c>
    </row>
    <row r="162" customFormat="false" ht="13.8" hidden="false" customHeight="false" outlineLevel="0" collapsed="false">
      <c r="A162" s="3" t="s">
        <v>482</v>
      </c>
      <c r="B162" s="3" t="n">
        <v>7.1</v>
      </c>
      <c r="C162" s="6" t="s">
        <v>483</v>
      </c>
      <c r="D162" s="3" t="n">
        <v>9</v>
      </c>
      <c r="E162" s="3" t="n">
        <v>9</v>
      </c>
      <c r="F162" s="3" t="s">
        <v>28</v>
      </c>
      <c r="G162" s="3" t="n">
        <v>0</v>
      </c>
      <c r="H162" s="3" t="n">
        <v>1646</v>
      </c>
      <c r="I162" s="3" t="s">
        <v>484</v>
      </c>
      <c r="J162" s="3" t="n">
        <v>77</v>
      </c>
      <c r="K162" s="3" t="n">
        <v>0.04616</v>
      </c>
      <c r="L162" s="3" t="n">
        <v>43</v>
      </c>
      <c r="M162" s="3" t="s">
        <v>485</v>
      </c>
      <c r="N162" s="3" t="n">
        <v>8</v>
      </c>
      <c r="O162" s="3" t="n">
        <v>35.7695</v>
      </c>
      <c r="P162" s="3" t="n">
        <v>-117.599</v>
      </c>
      <c r="Q162" s="3" t="s">
        <v>486</v>
      </c>
      <c r="R162" s="3" t="s">
        <v>164</v>
      </c>
      <c r="S162" s="3" t="s">
        <v>261</v>
      </c>
      <c r="T162" s="5" t="n">
        <f aca="false">IF(C162="","",DATE(VALUE(MID(C162,7,4)),VALUE(MID(C162,4,2)),VALUE(MID(C162,1,2)))+TIME(VALUE(MID(C162,12,2)),VALUE(MID(C162,15,2)),0))</f>
        <v>43652.1381944444</v>
      </c>
      <c r="U162" s="3" t="str">
        <f aca="false">IFERROR(IF(ISNUMBER(VALUE(TRIM(MID(A162,FIND("-",A162)+1,FIND("km",A162)-FIND("-",A162)-1)))),"Distance + direction + city","Named-region"),"Named-region")</f>
        <v>Distance + direction + city</v>
      </c>
      <c r="V162" s="3" t="str">
        <f aca="false">LOWER(M162)</f>
        <v>mw</v>
      </c>
      <c r="W162" s="3" t="n">
        <f aca="false">COUNTIFS($A$2:$A$1001,A162,$C$2:$C$1001,C162)</f>
        <v>1</v>
      </c>
      <c r="X162" s="3" t="str">
        <f aca="false">IF(W162&gt;1,"Duplicate","Unique")</f>
        <v>Unique</v>
      </c>
      <c r="Y162" s="3" t="str">
        <f aca="false">IF(B162&lt;6.5,"&lt;6.5",IF(B162&lt;7,"6.5–6.9",IF(B162&lt;7.5,"7.0–7.4",IF(B162&lt;8,"7.5–7.9","8.0+"))))</f>
        <v>7.0–7.4</v>
      </c>
      <c r="Z162" s="3" t="n">
        <f aca="false">IF(T162="","",YEAR(T162))</f>
        <v>2019</v>
      </c>
    </row>
    <row r="163" customFormat="false" ht="13.8" hidden="false" customHeight="false" outlineLevel="0" collapsed="false">
      <c r="A163" s="3" t="s">
        <v>487</v>
      </c>
      <c r="B163" s="3" t="n">
        <v>7.3</v>
      </c>
      <c r="C163" s="3" t="s">
        <v>488</v>
      </c>
      <c r="D163" s="3" t="n">
        <v>4</v>
      </c>
      <c r="E163" s="3" t="n">
        <v>6</v>
      </c>
      <c r="F163" s="3" t="s">
        <v>21</v>
      </c>
      <c r="G163" s="3" t="n">
        <v>1</v>
      </c>
      <c r="H163" s="3" t="n">
        <v>952</v>
      </c>
      <c r="I163" s="3" t="s">
        <v>22</v>
      </c>
      <c r="J163" s="3" t="n">
        <v>0</v>
      </c>
      <c r="K163" s="3" t="n">
        <v>2.629</v>
      </c>
      <c r="L163" s="3" t="n">
        <v>16</v>
      </c>
      <c r="M163" s="3" t="s">
        <v>23</v>
      </c>
      <c r="N163" s="3" t="n">
        <v>212</v>
      </c>
      <c r="O163" s="3" t="n">
        <v>-6.4078</v>
      </c>
      <c r="P163" s="3" t="n">
        <v>129.169</v>
      </c>
      <c r="Q163" s="3" t="s">
        <v>489</v>
      </c>
      <c r="R163" s="3"/>
      <c r="S163" s="3" t="s">
        <v>68</v>
      </c>
      <c r="T163" s="5" t="n">
        <f aca="false">IF(C163="","",DATE(VALUE(MID(C163,7,4)),VALUE(MID(C163,4,2)),VALUE(MID(C163,1,2)))+TIME(VALUE(MID(C163,12,2)),VALUE(MID(C163,15,2)),0))</f>
        <v>43640.1201388889</v>
      </c>
      <c r="U163" s="3" t="str">
        <f aca="false">IFERROR(IF(ISNUMBER(VALUE(TRIM(MID(A163,FIND("-",A163)+1,FIND("km",A163)-FIND("-",A163)-1)))),"Distance + direction + city","Named-region"),"Named-region")</f>
        <v>Distance + direction + city</v>
      </c>
      <c r="V163" s="3" t="str">
        <f aca="false">LOWER(M163)</f>
        <v>mww</v>
      </c>
      <c r="W163" s="3" t="n">
        <f aca="false">COUNTIFS($A$2:$A$1001,A163,$C$2:$C$1001,C163)</f>
        <v>1</v>
      </c>
      <c r="X163" s="3" t="str">
        <f aca="false">IF(W163&gt;1,"Duplicate","Unique")</f>
        <v>Unique</v>
      </c>
      <c r="Y163" s="3" t="str">
        <f aca="false">IF(B163&lt;6.5,"&lt;6.5",IF(B163&lt;7,"6.5–6.9",IF(B163&lt;7.5,"7.0–7.4",IF(B163&lt;8,"7.5–7.9","8.0+"))))</f>
        <v>7.0–7.4</v>
      </c>
      <c r="Z163" s="3" t="n">
        <f aca="false">IF(T163="","",YEAR(T163))</f>
        <v>2019</v>
      </c>
    </row>
    <row r="164" customFormat="false" ht="13.8" hidden="false" customHeight="false" outlineLevel="0" collapsed="false">
      <c r="A164" s="3" t="s">
        <v>490</v>
      </c>
      <c r="B164" s="3" t="n">
        <v>7.3</v>
      </c>
      <c r="C164" s="3" t="s">
        <v>491</v>
      </c>
      <c r="D164" s="3" t="n">
        <v>8</v>
      </c>
      <c r="E164" s="3" t="n">
        <v>6</v>
      </c>
      <c r="F164" s="3" t="s">
        <v>21</v>
      </c>
      <c r="G164" s="3" t="n">
        <v>1</v>
      </c>
      <c r="H164" s="3" t="n">
        <v>830</v>
      </c>
      <c r="I164" s="3" t="s">
        <v>22</v>
      </c>
      <c r="J164" s="3" t="n">
        <v>0</v>
      </c>
      <c r="K164" s="3" t="n">
        <v>1.402</v>
      </c>
      <c r="L164" s="3" t="n">
        <v>11</v>
      </c>
      <c r="M164" s="3" t="s">
        <v>23</v>
      </c>
      <c r="N164" s="3" t="n">
        <v>46</v>
      </c>
      <c r="O164" s="3" t="n">
        <v>-30.6441</v>
      </c>
      <c r="P164" s="3" t="n">
        <v>-178.1</v>
      </c>
      <c r="Q164" s="3" t="s">
        <v>492</v>
      </c>
      <c r="R164" s="3"/>
      <c r="S164" s="3"/>
      <c r="T164" s="5" t="n">
        <f aca="false">IF(C164="","",DATE(VALUE(MID(C164,7,4)),VALUE(MID(C164,4,2)),VALUE(MID(C164,1,2)))+TIME(VALUE(MID(C164,12,2)),VALUE(MID(C164,15,2)),0))</f>
        <v>43631.9548611111</v>
      </c>
      <c r="U164" s="3" t="str">
        <f aca="false">IFERROR(IF(ISNUMBER(VALUE(TRIM(MID(A164,FIND("-",A164)+1,FIND("km",A164)-FIND("-",A164)-1)))),"Distance + direction + city","Named-region"),"Named-region")</f>
        <v>Distance + direction + city</v>
      </c>
      <c r="V164" s="3" t="str">
        <f aca="false">LOWER(M164)</f>
        <v>mww</v>
      </c>
      <c r="W164" s="3" t="n">
        <f aca="false">COUNTIFS($A$2:$A$1001,A164,$C$2:$C$1001,C164)</f>
        <v>1</v>
      </c>
      <c r="X164" s="3" t="str">
        <f aca="false">IF(W164&gt;1,"Duplicate","Unique")</f>
        <v>Unique</v>
      </c>
      <c r="Y164" s="3" t="str">
        <f aca="false">IF(B164&lt;6.5,"&lt;6.5",IF(B164&lt;7,"6.5–6.9",IF(B164&lt;7.5,"7.0–7.4",IF(B164&lt;8,"7.5–7.9","8.0+"))))</f>
        <v>7.0–7.4</v>
      </c>
      <c r="Z164" s="3" t="n">
        <f aca="false">IF(T164="","",YEAR(T164))</f>
        <v>2019</v>
      </c>
    </row>
    <row r="165" customFormat="false" ht="13.8" hidden="false" customHeight="false" outlineLevel="0" collapsed="false">
      <c r="A165" s="3" t="s">
        <v>493</v>
      </c>
      <c r="B165" s="3" t="n">
        <v>6.6</v>
      </c>
      <c r="C165" s="3" t="s">
        <v>494</v>
      </c>
      <c r="D165" s="3" t="n">
        <v>7</v>
      </c>
      <c r="E165" s="3" t="n">
        <v>6</v>
      </c>
      <c r="F165" s="3" t="s">
        <v>28</v>
      </c>
      <c r="G165" s="3" t="n">
        <v>1</v>
      </c>
      <c r="H165" s="3" t="n">
        <v>886</v>
      </c>
      <c r="I165" s="3" t="s">
        <v>22</v>
      </c>
      <c r="J165" s="3" t="n">
        <v>0</v>
      </c>
      <c r="K165" s="3" t="n">
        <v>1.193</v>
      </c>
      <c r="L165" s="3" t="n">
        <v>22</v>
      </c>
      <c r="M165" s="3" t="s">
        <v>23</v>
      </c>
      <c r="N165" s="3" t="n">
        <v>57.92</v>
      </c>
      <c r="O165" s="3" t="n">
        <v>13.1994</v>
      </c>
      <c r="P165" s="3" t="n">
        <v>-89.3056</v>
      </c>
      <c r="Q165" s="3" t="s">
        <v>495</v>
      </c>
      <c r="R165" s="3"/>
      <c r="S165" s="3"/>
      <c r="T165" s="5" t="n">
        <f aca="false">IF(C165="","",DATE(VALUE(MID(C165,7,4)),VALUE(MID(C165,4,2)),VALUE(MID(C165,1,2)))+TIME(VALUE(MID(C165,12,2)),VALUE(MID(C165,15,2)),0))</f>
        <v>43615.3770833333</v>
      </c>
      <c r="U165" s="3" t="str">
        <f aca="false">IFERROR(IF(ISNUMBER(VALUE(TRIM(MID(A165,FIND("-",A165)+1,FIND("km",A165)-FIND("-",A165)-1)))),"Distance + direction + city","Named-region"),"Named-region")</f>
        <v>Distance + direction + city</v>
      </c>
      <c r="V165" s="3" t="str">
        <f aca="false">LOWER(M165)</f>
        <v>mww</v>
      </c>
      <c r="W165" s="3" t="n">
        <f aca="false">COUNTIFS($A$2:$A$1001,A165,$C$2:$C$1001,C165)</f>
        <v>1</v>
      </c>
      <c r="X165" s="3" t="str">
        <f aca="false">IF(W165&gt;1,"Duplicate","Unique")</f>
        <v>Unique</v>
      </c>
      <c r="Y165" s="3" t="str">
        <f aca="false">IF(B165&lt;6.5,"&lt;6.5",IF(B165&lt;7,"6.5–6.9",IF(B165&lt;7.5,"7.0–7.4",IF(B165&lt;8,"7.5–7.9","8.0+"))))</f>
        <v>6.5–6.9</v>
      </c>
      <c r="Z165" s="3" t="n">
        <f aca="false">IF(T165="","",YEAR(T165))</f>
        <v>2019</v>
      </c>
    </row>
    <row r="166" customFormat="false" ht="13.8" hidden="false" customHeight="false" outlineLevel="0" collapsed="false">
      <c r="A166" s="3" t="s">
        <v>496</v>
      </c>
      <c r="B166" s="3" t="n">
        <v>8</v>
      </c>
      <c r="C166" s="3" t="s">
        <v>497</v>
      </c>
      <c r="D166" s="3" t="n">
        <v>9</v>
      </c>
      <c r="E166" s="3" t="n">
        <v>8</v>
      </c>
      <c r="F166" s="3" t="s">
        <v>95</v>
      </c>
      <c r="G166" s="3" t="n">
        <v>1</v>
      </c>
      <c r="H166" s="3" t="n">
        <v>1890</v>
      </c>
      <c r="I166" s="3" t="s">
        <v>22</v>
      </c>
      <c r="J166" s="3" t="n">
        <v>0</v>
      </c>
      <c r="K166" s="3" t="n">
        <v>3.18</v>
      </c>
      <c r="L166" s="3" t="n">
        <v>17</v>
      </c>
      <c r="M166" s="3" t="s">
        <v>23</v>
      </c>
      <c r="N166" s="3" t="n">
        <v>122.57</v>
      </c>
      <c r="O166" s="3" t="n">
        <v>-5.8119</v>
      </c>
      <c r="P166" s="3" t="n">
        <v>-75.2697</v>
      </c>
      <c r="Q166" s="3" t="s">
        <v>498</v>
      </c>
      <c r="R166" s="3" t="s">
        <v>33</v>
      </c>
      <c r="S166" s="3" t="s">
        <v>199</v>
      </c>
      <c r="T166" s="5" t="n">
        <f aca="false">IF(C166="","",DATE(VALUE(MID(C166,7,4)),VALUE(MID(C166,4,2)),VALUE(MID(C166,1,2)))+TIME(VALUE(MID(C166,12,2)),VALUE(MID(C166,15,2)),0))</f>
        <v>43611.3201388889</v>
      </c>
      <c r="U166" s="3" t="str">
        <f aca="false">IFERROR(IF(ISNUMBER(VALUE(TRIM(MID(A166,FIND("-",A166)+1,FIND("km",A166)-FIND("-",A166)-1)))),"Distance + direction + city","Named-region"),"Named-region")</f>
        <v>Distance + direction + city</v>
      </c>
      <c r="V166" s="3" t="str">
        <f aca="false">LOWER(M166)</f>
        <v>mww</v>
      </c>
      <c r="W166" s="3" t="n">
        <f aca="false">COUNTIFS($A$2:$A$1001,A166,$C$2:$C$1001,C166)</f>
        <v>1</v>
      </c>
      <c r="X166" s="3" t="str">
        <f aca="false">IF(W166&gt;1,"Duplicate","Unique")</f>
        <v>Unique</v>
      </c>
      <c r="Y166" s="3" t="str">
        <f aca="false">IF(B166&lt;6.5,"&lt;6.5",IF(B166&lt;7,"6.5–6.9",IF(B166&lt;7.5,"7.0–7.4",IF(B166&lt;8,"7.5–7.9","8.0+"))))</f>
        <v>8.0+</v>
      </c>
      <c r="Z166" s="3" t="n">
        <f aca="false">IF(T166="","",YEAR(T166))</f>
        <v>2019</v>
      </c>
    </row>
    <row r="167" customFormat="false" ht="13.8" hidden="false" customHeight="false" outlineLevel="0" collapsed="false">
      <c r="A167" s="3" t="s">
        <v>499</v>
      </c>
      <c r="B167" s="3" t="n">
        <v>7.6</v>
      </c>
      <c r="C167" s="3" t="s">
        <v>500</v>
      </c>
      <c r="D167" s="3" t="n">
        <v>7</v>
      </c>
      <c r="E167" s="3" t="n">
        <v>7</v>
      </c>
      <c r="F167" s="3" t="s">
        <v>21</v>
      </c>
      <c r="G167" s="3" t="n">
        <v>1</v>
      </c>
      <c r="H167" s="3" t="n">
        <v>929</v>
      </c>
      <c r="I167" s="3" t="s">
        <v>22</v>
      </c>
      <c r="J167" s="3" t="n">
        <v>0</v>
      </c>
      <c r="K167" s="3" t="n">
        <v>0.453</v>
      </c>
      <c r="L167" s="3" t="n">
        <v>16</v>
      </c>
      <c r="M167" s="3" t="s">
        <v>23</v>
      </c>
      <c r="N167" s="3" t="n">
        <v>10</v>
      </c>
      <c r="O167" s="3" t="n">
        <v>-4.051</v>
      </c>
      <c r="P167" s="3" t="n">
        <v>152.597</v>
      </c>
      <c r="Q167" s="3" t="s">
        <v>501</v>
      </c>
      <c r="R167" s="3"/>
      <c r="S167" s="3" t="s">
        <v>85</v>
      </c>
      <c r="T167" s="5" t="n">
        <f aca="false">IF(C167="","",DATE(VALUE(MID(C167,7,4)),VALUE(MID(C167,4,2)),VALUE(MID(C167,1,2)))+TIME(VALUE(MID(C167,12,2)),VALUE(MID(C167,15,2)),0))</f>
        <v>43599.5402777778</v>
      </c>
      <c r="U167" s="3" t="str">
        <f aca="false">IFERROR(IF(ISNUMBER(VALUE(TRIM(MID(A167,FIND("-",A167)+1,FIND("km",A167)-FIND("-",A167)-1)))),"Distance + direction + city","Named-region"),"Named-region")</f>
        <v>Distance + direction + city</v>
      </c>
      <c r="V167" s="3" t="str">
        <f aca="false">LOWER(M167)</f>
        <v>mww</v>
      </c>
      <c r="W167" s="3" t="n">
        <f aca="false">COUNTIFS($A$2:$A$1001,A167,$C$2:$C$1001,C167)</f>
        <v>1</v>
      </c>
      <c r="X167" s="3" t="str">
        <f aca="false">IF(W167&gt;1,"Duplicate","Unique")</f>
        <v>Unique</v>
      </c>
      <c r="Y167" s="3" t="str">
        <f aca="false">IF(B167&lt;6.5,"&lt;6.5",IF(B167&lt;7,"6.5–6.9",IF(B167&lt;7.5,"7.0–7.4",IF(B167&lt;8,"7.5–7.9","8.0+"))))</f>
        <v>7.5–7.9</v>
      </c>
      <c r="Z167" s="3" t="n">
        <f aca="false">IF(T167="","",YEAR(T167))</f>
        <v>2019</v>
      </c>
    </row>
    <row r="168" customFormat="false" ht="13.8" hidden="false" customHeight="false" outlineLevel="0" collapsed="false">
      <c r="A168" s="3" t="s">
        <v>502</v>
      </c>
      <c r="B168" s="3" t="n">
        <v>7.1</v>
      </c>
      <c r="C168" s="6" t="s">
        <v>503</v>
      </c>
      <c r="D168" s="3" t="n">
        <v>7</v>
      </c>
      <c r="E168" s="3" t="n">
        <v>6</v>
      </c>
      <c r="F168" s="3" t="s">
        <v>28</v>
      </c>
      <c r="G168" s="3" t="n">
        <v>1</v>
      </c>
      <c r="H168" s="3" t="n">
        <v>826</v>
      </c>
      <c r="I168" s="3" t="s">
        <v>22</v>
      </c>
      <c r="J168" s="3" t="n">
        <v>0</v>
      </c>
      <c r="K168" s="3" t="n">
        <v>2.514</v>
      </c>
      <c r="L168" s="3" t="n">
        <v>16</v>
      </c>
      <c r="M168" s="3" t="s">
        <v>23</v>
      </c>
      <c r="N168" s="3" t="n">
        <v>146</v>
      </c>
      <c r="O168" s="3" t="n">
        <v>-6.9746</v>
      </c>
      <c r="P168" s="3" t="n">
        <v>146.449</v>
      </c>
      <c r="Q168" s="3" t="s">
        <v>504</v>
      </c>
      <c r="R168" s="3"/>
      <c r="S168" s="3" t="s">
        <v>85</v>
      </c>
      <c r="T168" s="5" t="n">
        <f aca="false">IF(C168="","",DATE(VALUE(MID(C168,7,4)),VALUE(MID(C168,4,2)),VALUE(MID(C168,1,2)))+TIME(VALUE(MID(C168,12,2)),VALUE(MID(C168,15,2)),0))</f>
        <v>43591.8881944444</v>
      </c>
      <c r="U168" s="3" t="str">
        <f aca="false">IFERROR(IF(ISNUMBER(VALUE(TRIM(MID(A168,FIND("-",A168)+1,FIND("km",A168)-FIND("-",A168)-1)))),"Distance + direction + city","Named-region"),"Named-region")</f>
        <v>Distance + direction + city</v>
      </c>
      <c r="V168" s="3" t="str">
        <f aca="false">LOWER(M168)</f>
        <v>mww</v>
      </c>
      <c r="W168" s="3" t="n">
        <f aca="false">COUNTIFS($A$2:$A$1001,A168,$C$2:$C$1001,C168)</f>
        <v>1</v>
      </c>
      <c r="X168" s="3" t="str">
        <f aca="false">IF(W168&gt;1,"Duplicate","Unique")</f>
        <v>Unique</v>
      </c>
      <c r="Y168" s="3" t="str">
        <f aca="false">IF(B168&lt;6.5,"&lt;6.5",IF(B168&lt;7,"6.5–6.9",IF(B168&lt;7.5,"7.0–7.4",IF(B168&lt;8,"7.5–7.9","8.0+"))))</f>
        <v>7.0–7.4</v>
      </c>
      <c r="Z168" s="3" t="n">
        <f aca="false">IF(T168="","",YEAR(T168))</f>
        <v>2019</v>
      </c>
    </row>
    <row r="169" customFormat="false" ht="13.8" hidden="false" customHeight="false" outlineLevel="0" collapsed="false">
      <c r="A169" s="3" t="s">
        <v>505</v>
      </c>
      <c r="B169" s="3" t="n">
        <v>6.8</v>
      </c>
      <c r="C169" s="6" t="s">
        <v>506</v>
      </c>
      <c r="D169" s="3" t="n">
        <v>5</v>
      </c>
      <c r="E169" s="3" t="n">
        <v>6</v>
      </c>
      <c r="F169" s="3" t="s">
        <v>21</v>
      </c>
      <c r="G169" s="3" t="n">
        <v>1</v>
      </c>
      <c r="H169" s="3" t="n">
        <v>717</v>
      </c>
      <c r="I169" s="3" t="s">
        <v>22</v>
      </c>
      <c r="J169" s="3" t="n">
        <v>0</v>
      </c>
      <c r="K169" s="3" t="n">
        <v>0.791</v>
      </c>
      <c r="L169" s="3" t="n">
        <v>28</v>
      </c>
      <c r="M169" s="3" t="s">
        <v>23</v>
      </c>
      <c r="N169" s="3" t="n">
        <v>15.46</v>
      </c>
      <c r="O169" s="3" t="n">
        <v>-1.8146</v>
      </c>
      <c r="P169" s="3" t="n">
        <v>122.58</v>
      </c>
      <c r="Q169" s="3" t="s">
        <v>507</v>
      </c>
      <c r="R169" s="3"/>
      <c r="S169" s="3" t="s">
        <v>68</v>
      </c>
      <c r="T169" s="5" t="n">
        <f aca="false">IF(C169="","",DATE(VALUE(MID(C169,7,4)),VALUE(MID(C169,4,2)),VALUE(MID(C169,1,2)))+TIME(VALUE(MID(C169,12,2)),VALUE(MID(C169,15,2)),0))</f>
        <v>43567.4861111111</v>
      </c>
      <c r="U169" s="3" t="str">
        <f aca="false">IFERROR(IF(ISNUMBER(VALUE(TRIM(MID(A169,FIND("-",A169)+1,FIND("km",A169)-FIND("-",A169)-1)))),"Distance + direction + city","Named-region"),"Named-region")</f>
        <v>Distance + direction + city</v>
      </c>
      <c r="V169" s="3" t="str">
        <f aca="false">LOWER(M169)</f>
        <v>mww</v>
      </c>
      <c r="W169" s="3" t="n">
        <f aca="false">COUNTIFS($A$2:$A$1001,A169,$C$2:$C$1001,C169)</f>
        <v>1</v>
      </c>
      <c r="X169" s="3" t="str">
        <f aca="false">IF(W169&gt;1,"Duplicate","Unique")</f>
        <v>Unique</v>
      </c>
      <c r="Y169" s="3" t="str">
        <f aca="false">IF(B169&lt;6.5,"&lt;6.5",IF(B169&lt;7,"6.5–6.9",IF(B169&lt;7.5,"7.0–7.4",IF(B169&lt;8,"7.5–7.9","8.0+"))))</f>
        <v>6.5–6.9</v>
      </c>
      <c r="Z169" s="3" t="n">
        <f aca="false">IF(T169="","",YEAR(T169))</f>
        <v>2019</v>
      </c>
    </row>
    <row r="170" customFormat="false" ht="13.8" hidden="false" customHeight="false" outlineLevel="0" collapsed="false">
      <c r="A170" s="3" t="s">
        <v>508</v>
      </c>
      <c r="B170" s="3" t="n">
        <v>6.5</v>
      </c>
      <c r="C170" s="6" t="s">
        <v>509</v>
      </c>
      <c r="D170" s="3" t="n">
        <v>0</v>
      </c>
      <c r="E170" s="3" t="n">
        <v>5</v>
      </c>
      <c r="F170" s="3" t="s">
        <v>21</v>
      </c>
      <c r="G170" s="3" t="n">
        <v>1</v>
      </c>
      <c r="H170" s="3" t="n">
        <v>650</v>
      </c>
      <c r="I170" s="3" t="s">
        <v>22</v>
      </c>
      <c r="J170" s="3" t="n">
        <v>0</v>
      </c>
      <c r="K170" s="3" t="n">
        <v>7.568</v>
      </c>
      <c r="L170" s="3" t="n">
        <v>18</v>
      </c>
      <c r="M170" s="3" t="s">
        <v>23</v>
      </c>
      <c r="N170" s="3" t="n">
        <v>38</v>
      </c>
      <c r="O170" s="3" t="n">
        <v>-58.6262</v>
      </c>
      <c r="P170" s="3" t="n">
        <v>-25.304</v>
      </c>
      <c r="Q170" s="3" t="s">
        <v>463</v>
      </c>
      <c r="R170" s="3"/>
      <c r="S170" s="3"/>
      <c r="T170" s="5" t="n">
        <f aca="false">IF(C170="","",DATE(VALUE(MID(C170,7,4)),VALUE(MID(C170,4,2)),VALUE(MID(C170,1,2)))+TIME(VALUE(MID(C170,12,2)),VALUE(MID(C170,15,2)),0))</f>
        <v>43564.7451388889</v>
      </c>
      <c r="U170" s="3" t="str">
        <f aca="false">IFERROR(IF(ISNUMBER(VALUE(TRIM(MID(A170,FIND("-",A170)+1,FIND("km",A170)-FIND("-",A170)-1)))),"Distance + direction + city","Named-region"),"Named-region")</f>
        <v>Distance + direction + city</v>
      </c>
      <c r="V170" s="3" t="str">
        <f aca="false">LOWER(M170)</f>
        <v>mww</v>
      </c>
      <c r="W170" s="3" t="n">
        <f aca="false">COUNTIFS($A$2:$A$1001,A170,$C$2:$C$1001,C170)</f>
        <v>1</v>
      </c>
      <c r="X170" s="3" t="str">
        <f aca="false">IF(W170&gt;1,"Duplicate","Unique")</f>
        <v>Unique</v>
      </c>
      <c r="Y170" s="3" t="str">
        <f aca="false">IF(B170&lt;6.5,"&lt;6.5",IF(B170&lt;7,"6.5–6.9",IF(B170&lt;7.5,"7.0–7.4",IF(B170&lt;8,"7.5–7.9","8.0+"))))</f>
        <v>6.5–6.9</v>
      </c>
      <c r="Z170" s="3" t="n">
        <f aca="false">IF(T170="","",YEAR(T170))</f>
        <v>2019</v>
      </c>
    </row>
    <row r="171" customFormat="false" ht="13.8" hidden="false" customHeight="false" outlineLevel="0" collapsed="false">
      <c r="A171" s="3" t="s">
        <v>510</v>
      </c>
      <c r="B171" s="3" t="n">
        <v>7</v>
      </c>
      <c r="C171" s="6" t="s">
        <v>511</v>
      </c>
      <c r="D171" s="3" t="n">
        <v>7</v>
      </c>
      <c r="E171" s="3" t="n">
        <v>4</v>
      </c>
      <c r="F171" s="3" t="s">
        <v>21</v>
      </c>
      <c r="G171" s="3" t="n">
        <v>1</v>
      </c>
      <c r="H171" s="3" t="n">
        <v>869</v>
      </c>
      <c r="I171" s="3" t="s">
        <v>22</v>
      </c>
      <c r="J171" s="3" t="n">
        <v>0</v>
      </c>
      <c r="K171" s="3" t="n">
        <v>2.501</v>
      </c>
      <c r="L171" s="3" t="n">
        <v>42</v>
      </c>
      <c r="M171" s="3" t="s">
        <v>23</v>
      </c>
      <c r="N171" s="3" t="n">
        <v>267</v>
      </c>
      <c r="O171" s="3" t="n">
        <v>-14.7131</v>
      </c>
      <c r="P171" s="3" t="n">
        <v>-70.1546</v>
      </c>
      <c r="Q171" s="3" t="s">
        <v>198</v>
      </c>
      <c r="R171" s="3" t="s">
        <v>33</v>
      </c>
      <c r="S171" s="3" t="s">
        <v>199</v>
      </c>
      <c r="T171" s="5" t="n">
        <f aca="false">IF(C171="","",DATE(VALUE(MID(C171,7,4)),VALUE(MID(C171,4,2)),VALUE(MID(C171,1,2)))+TIME(VALUE(MID(C171,12,2)),VALUE(MID(C171,15,2)),0))</f>
        <v>43525.3680555556</v>
      </c>
      <c r="U171" s="3" t="str">
        <f aca="false">IFERROR(IF(ISNUMBER(VALUE(TRIM(MID(A171,FIND("-",A171)+1,FIND("km",A171)-FIND("-",A171)-1)))),"Distance + direction + city","Named-region"),"Named-region")</f>
        <v>Distance + direction + city</v>
      </c>
      <c r="V171" s="3" t="str">
        <f aca="false">LOWER(M171)</f>
        <v>mww</v>
      </c>
      <c r="W171" s="3" t="n">
        <f aca="false">COUNTIFS($A$2:$A$1001,A171,$C$2:$C$1001,C171)</f>
        <v>1</v>
      </c>
      <c r="X171" s="3" t="str">
        <f aca="false">IF(W171&gt;1,"Duplicate","Unique")</f>
        <v>Unique</v>
      </c>
      <c r="Y171" s="3" t="str">
        <f aca="false">IF(B171&lt;6.5,"&lt;6.5",IF(B171&lt;7,"6.5–6.9",IF(B171&lt;7.5,"7.0–7.4",IF(B171&lt;8,"7.5–7.9","8.0+"))))</f>
        <v>7.0–7.4</v>
      </c>
      <c r="Z171" s="3" t="n">
        <f aca="false">IF(T171="","",YEAR(T171))</f>
        <v>2019</v>
      </c>
    </row>
    <row r="172" customFormat="false" ht="13.8" hidden="false" customHeight="false" outlineLevel="0" collapsed="false">
      <c r="A172" s="3" t="s">
        <v>512</v>
      </c>
      <c r="B172" s="3" t="n">
        <v>7.5</v>
      </c>
      <c r="C172" s="3" t="s">
        <v>513</v>
      </c>
      <c r="D172" s="3" t="n">
        <v>7</v>
      </c>
      <c r="E172" s="3" t="n">
        <v>7</v>
      </c>
      <c r="F172" s="3" t="s">
        <v>28</v>
      </c>
      <c r="G172" s="3" t="n">
        <v>1</v>
      </c>
      <c r="H172" s="3" t="n">
        <v>1145</v>
      </c>
      <c r="I172" s="3" t="s">
        <v>22</v>
      </c>
      <c r="J172" s="3" t="n">
        <v>0</v>
      </c>
      <c r="K172" s="3" t="n">
        <v>2.045</v>
      </c>
      <c r="L172" s="3" t="n">
        <v>15</v>
      </c>
      <c r="M172" s="3" t="s">
        <v>23</v>
      </c>
      <c r="N172" s="3" t="n">
        <v>145</v>
      </c>
      <c r="O172" s="3" t="n">
        <v>-2.1862</v>
      </c>
      <c r="P172" s="3" t="n">
        <v>-77.0505</v>
      </c>
      <c r="Q172" s="3" t="s">
        <v>514</v>
      </c>
      <c r="R172" s="3" t="s">
        <v>33</v>
      </c>
      <c r="S172" s="3" t="s">
        <v>96</v>
      </c>
      <c r="T172" s="5" t="n">
        <f aca="false">IF(C172="","",DATE(VALUE(MID(C172,7,4)),VALUE(MID(C172,4,2)),VALUE(MID(C172,1,2)))+TIME(VALUE(MID(C172,12,2)),VALUE(MID(C172,15,2)),0))</f>
        <v>43518.4284722222</v>
      </c>
      <c r="U172" s="3" t="str">
        <f aca="false">IFERROR(IF(ISNUMBER(VALUE(TRIM(MID(A172,FIND("-",A172)+1,FIND("km",A172)-FIND("-",A172)-1)))),"Distance + direction + city","Named-region"),"Named-region")</f>
        <v>Distance + direction + city</v>
      </c>
      <c r="V172" s="3" t="str">
        <f aca="false">LOWER(M172)</f>
        <v>mww</v>
      </c>
      <c r="W172" s="3" t="n">
        <f aca="false">COUNTIFS($A$2:$A$1001,A172,$C$2:$C$1001,C172)</f>
        <v>1</v>
      </c>
      <c r="X172" s="3" t="str">
        <f aca="false">IF(W172&gt;1,"Duplicate","Unique")</f>
        <v>Unique</v>
      </c>
      <c r="Y172" s="3" t="str">
        <f aca="false">IF(B172&lt;6.5,"&lt;6.5",IF(B172&lt;7,"6.5–6.9",IF(B172&lt;7.5,"7.0–7.4",IF(B172&lt;8,"7.5–7.9","8.0+"))))</f>
        <v>7.5–7.9</v>
      </c>
      <c r="Z172" s="3" t="n">
        <f aca="false">IF(T172="","",YEAR(T172))</f>
        <v>2019</v>
      </c>
    </row>
    <row r="173" customFormat="false" ht="13.8" hidden="false" customHeight="false" outlineLevel="0" collapsed="false">
      <c r="A173" s="3" t="s">
        <v>515</v>
      </c>
      <c r="B173" s="3" t="n">
        <v>6.7</v>
      </c>
      <c r="C173" s="6" t="s">
        <v>516</v>
      </c>
      <c r="D173" s="3" t="n">
        <v>6</v>
      </c>
      <c r="E173" s="3" t="n">
        <v>6</v>
      </c>
      <c r="F173" s="3" t="s">
        <v>28</v>
      </c>
      <c r="G173" s="3" t="n">
        <v>1</v>
      </c>
      <c r="H173" s="3" t="n">
        <v>909</v>
      </c>
      <c r="I173" s="3" t="s">
        <v>22</v>
      </c>
      <c r="J173" s="3" t="n">
        <v>0</v>
      </c>
      <c r="K173" s="3" t="n">
        <v>0.289</v>
      </c>
      <c r="L173" s="3" t="n">
        <v>43</v>
      </c>
      <c r="M173" s="3" t="s">
        <v>23</v>
      </c>
      <c r="N173" s="3" t="n">
        <v>66</v>
      </c>
      <c r="O173" s="3" t="n">
        <v>14.6802</v>
      </c>
      <c r="P173" s="3" t="n">
        <v>-92.4527</v>
      </c>
      <c r="Q173" s="3" t="s">
        <v>517</v>
      </c>
      <c r="R173" s="3"/>
      <c r="S173" s="3" t="s">
        <v>165</v>
      </c>
      <c r="T173" s="5" t="n">
        <f aca="false">IF(C173="","",DATE(VALUE(MID(C173,7,4)),VALUE(MID(C173,4,2)),VALUE(MID(C173,1,2)))+TIME(VALUE(MID(C173,12,2)),VALUE(MID(C173,15,2)),0))</f>
        <v>43497.6763888889</v>
      </c>
      <c r="U173" s="3" t="str">
        <f aca="false">IFERROR(IF(ISNUMBER(VALUE(TRIM(MID(A173,FIND("-",A173)+1,FIND("km",A173)-FIND("-",A173)-1)))),"Distance + direction + city","Named-region"),"Named-region")</f>
        <v>Distance + direction + city</v>
      </c>
      <c r="V173" s="3" t="str">
        <f aca="false">LOWER(M173)</f>
        <v>mww</v>
      </c>
      <c r="W173" s="3" t="n">
        <f aca="false">COUNTIFS($A$2:$A$1001,A173,$C$2:$C$1001,C173)</f>
        <v>1</v>
      </c>
      <c r="X173" s="3" t="str">
        <f aca="false">IF(W173&gt;1,"Duplicate","Unique")</f>
        <v>Unique</v>
      </c>
      <c r="Y173" s="3" t="str">
        <f aca="false">IF(B173&lt;6.5,"&lt;6.5",IF(B173&lt;7,"6.5–6.9",IF(B173&lt;7.5,"7.0–7.4",IF(B173&lt;8,"7.5–7.9","8.0+"))))</f>
        <v>6.5–6.9</v>
      </c>
      <c r="Z173" s="3" t="n">
        <f aca="false">IF(T173="","",YEAR(T173))</f>
        <v>2019</v>
      </c>
    </row>
    <row r="174" customFormat="false" ht="13.8" hidden="false" customHeight="false" outlineLevel="0" collapsed="false">
      <c r="A174" s="3" t="s">
        <v>518</v>
      </c>
      <c r="B174" s="3" t="n">
        <v>6.7</v>
      </c>
      <c r="C174" s="3" t="s">
        <v>519</v>
      </c>
      <c r="D174" s="3" t="n">
        <v>0</v>
      </c>
      <c r="E174" s="3" t="n">
        <v>3</v>
      </c>
      <c r="F174" s="3" t="s">
        <v>21</v>
      </c>
      <c r="G174" s="3" t="n">
        <v>0</v>
      </c>
      <c r="H174" s="3" t="n">
        <v>691</v>
      </c>
      <c r="I174" s="3" t="s">
        <v>22</v>
      </c>
      <c r="J174" s="3" t="n">
        <v>0</v>
      </c>
      <c r="K174" s="3" t="n">
        <v>7.527</v>
      </c>
      <c r="L174" s="3" t="n">
        <v>17</v>
      </c>
      <c r="M174" s="3" t="s">
        <v>23</v>
      </c>
      <c r="N174" s="3" t="n">
        <v>13</v>
      </c>
      <c r="O174" s="3" t="n">
        <v>-43.1219</v>
      </c>
      <c r="P174" s="3" t="n">
        <v>42.3568</v>
      </c>
      <c r="Q174" s="3" t="s">
        <v>520</v>
      </c>
      <c r="R174" s="3"/>
      <c r="S174" s="3"/>
      <c r="T174" s="5" t="n">
        <f aca="false">IF(C174="","",DATE(VALUE(MID(C174,7,4)),VALUE(MID(C174,4,2)),VALUE(MID(C174,1,2)))+TIME(VALUE(MID(C174,12,2)),VALUE(MID(C174,15,2)),0))</f>
        <v>43487.7923611111</v>
      </c>
      <c r="U174" s="3" t="str">
        <f aca="false">IFERROR(IF(ISNUMBER(VALUE(TRIM(MID(A174,FIND("-",A174)+1,FIND("km",A174)-FIND("-",A174)-1)))),"Distance + direction + city","Named-region"),"Named-region")</f>
        <v>Named-region</v>
      </c>
      <c r="V174" s="3" t="str">
        <f aca="false">LOWER(M174)</f>
        <v>mww</v>
      </c>
      <c r="W174" s="3" t="n">
        <f aca="false">COUNTIFS($A$2:$A$1001,A174,$C$2:$C$1001,C174)</f>
        <v>1</v>
      </c>
      <c r="X174" s="3" t="str">
        <f aca="false">IF(W174&gt;1,"Duplicate","Unique")</f>
        <v>Unique</v>
      </c>
      <c r="Y174" s="3" t="str">
        <f aca="false">IF(B174&lt;6.5,"&lt;6.5",IF(B174&lt;7,"6.5–6.9",IF(B174&lt;7.5,"7.0–7.4",IF(B174&lt;8,"7.5–7.9","8.0+"))))</f>
        <v>6.5–6.9</v>
      </c>
      <c r="Z174" s="3" t="n">
        <f aca="false">IF(T174="","",YEAR(T174))</f>
        <v>2019</v>
      </c>
    </row>
    <row r="175" customFormat="false" ht="13.8" hidden="false" customHeight="false" outlineLevel="0" collapsed="false">
      <c r="A175" s="3" t="s">
        <v>521</v>
      </c>
      <c r="B175" s="3" t="n">
        <v>6.7</v>
      </c>
      <c r="C175" s="3" t="s">
        <v>522</v>
      </c>
      <c r="D175" s="3" t="n">
        <v>8</v>
      </c>
      <c r="E175" s="3" t="n">
        <v>8</v>
      </c>
      <c r="F175" s="3" t="s">
        <v>95</v>
      </c>
      <c r="G175" s="3" t="n">
        <v>1</v>
      </c>
      <c r="H175" s="3" t="n">
        <v>1600</v>
      </c>
      <c r="I175" s="3" t="s">
        <v>22</v>
      </c>
      <c r="J175" s="3" t="n">
        <v>0</v>
      </c>
      <c r="K175" s="3" t="n">
        <v>0.173</v>
      </c>
      <c r="L175" s="3" t="n">
        <v>22</v>
      </c>
      <c r="M175" s="3" t="s">
        <v>23</v>
      </c>
      <c r="N175" s="3" t="n">
        <v>63</v>
      </c>
      <c r="O175" s="3" t="n">
        <v>-30.0404</v>
      </c>
      <c r="P175" s="3" t="n">
        <v>-71.3815</v>
      </c>
      <c r="Q175" s="3" t="s">
        <v>523</v>
      </c>
      <c r="R175" s="3" t="s">
        <v>33</v>
      </c>
      <c r="S175" s="3" t="s">
        <v>373</v>
      </c>
      <c r="T175" s="5" t="n">
        <f aca="false">IF(C175="","",DATE(VALUE(MID(C175,7,4)),VALUE(MID(C175,4,2)),VALUE(MID(C175,1,2)))+TIME(VALUE(MID(C175,12,2)),VALUE(MID(C175,15,2)),0))</f>
        <v>43485.0638888889</v>
      </c>
      <c r="U175" s="3" t="str">
        <f aca="false">IFERROR(IF(ISNUMBER(VALUE(TRIM(MID(A175,FIND("-",A175)+1,FIND("km",A175)-FIND("-",A175)-1)))),"Distance + direction + city","Named-region"),"Named-region")</f>
        <v>Distance + direction + city</v>
      </c>
      <c r="V175" s="3" t="str">
        <f aca="false">LOWER(M175)</f>
        <v>mww</v>
      </c>
      <c r="W175" s="3" t="n">
        <f aca="false">COUNTIFS($A$2:$A$1001,A175,$C$2:$C$1001,C175)</f>
        <v>1</v>
      </c>
      <c r="X175" s="3" t="str">
        <f aca="false">IF(W175&gt;1,"Duplicate","Unique")</f>
        <v>Unique</v>
      </c>
      <c r="Y175" s="3" t="str">
        <f aca="false">IF(B175&lt;6.5,"&lt;6.5",IF(B175&lt;7,"6.5–6.9",IF(B175&lt;7.5,"7.0–7.4",IF(B175&lt;8,"7.5–7.9","8.0+"))))</f>
        <v>6.5–6.9</v>
      </c>
      <c r="Z175" s="3" t="n">
        <f aca="false">IF(T175="","",YEAR(T175))</f>
        <v>2019</v>
      </c>
    </row>
    <row r="176" customFormat="false" ht="13.8" hidden="false" customHeight="false" outlineLevel="0" collapsed="false">
      <c r="A176" s="3" t="s">
        <v>524</v>
      </c>
      <c r="B176" s="3" t="n">
        <v>6.6</v>
      </c>
      <c r="C176" s="3" t="s">
        <v>525</v>
      </c>
      <c r="D176" s="3" t="n">
        <v>5</v>
      </c>
      <c r="E176" s="3" t="n">
        <v>4</v>
      </c>
      <c r="F176" s="3" t="s">
        <v>21</v>
      </c>
      <c r="G176" s="3" t="n">
        <v>1</v>
      </c>
      <c r="H176" s="3" t="n">
        <v>671</v>
      </c>
      <c r="I176" s="3" t="s">
        <v>22</v>
      </c>
      <c r="J176" s="3" t="n">
        <v>0</v>
      </c>
      <c r="K176" s="3" t="n">
        <v>7.818</v>
      </c>
      <c r="L176" s="3" t="n">
        <v>18</v>
      </c>
      <c r="M176" s="3" t="s">
        <v>23</v>
      </c>
      <c r="N176" s="3" t="n">
        <v>35</v>
      </c>
      <c r="O176" s="3" t="n">
        <v>-13.336</v>
      </c>
      <c r="P176" s="3" t="n">
        <v>166.875</v>
      </c>
      <c r="Q176" s="3" t="s">
        <v>24</v>
      </c>
      <c r="R176" s="3"/>
      <c r="S176" s="3" t="s">
        <v>25</v>
      </c>
      <c r="T176" s="5" t="n">
        <f aca="false">IF(C176="","",DATE(VALUE(MID(C176,7,4)),VALUE(MID(C176,4,2)),VALUE(MID(C176,1,2)))+TIME(VALUE(MID(C176,12,2)),VALUE(MID(C176,15,2)),0))</f>
        <v>43480.7541666667</v>
      </c>
      <c r="U176" s="3" t="str">
        <f aca="false">IFERROR(IF(ISNUMBER(VALUE(TRIM(MID(A176,FIND("-",A176)+1,FIND("km",A176)-FIND("-",A176)-1)))),"Distance + direction + city","Named-region"),"Named-region")</f>
        <v>Distance + direction + city</v>
      </c>
      <c r="V176" s="3" t="str">
        <f aca="false">LOWER(M176)</f>
        <v>mww</v>
      </c>
      <c r="W176" s="3" t="n">
        <f aca="false">COUNTIFS($A$2:$A$1001,A176,$C$2:$C$1001,C176)</f>
        <v>1</v>
      </c>
      <c r="X176" s="3" t="str">
        <f aca="false">IF(W176&gt;1,"Duplicate","Unique")</f>
        <v>Unique</v>
      </c>
      <c r="Y176" s="3" t="str">
        <f aca="false">IF(B176&lt;6.5,"&lt;6.5",IF(B176&lt;7,"6.5–6.9",IF(B176&lt;7.5,"7.0–7.4",IF(B176&lt;8,"7.5–7.9","8.0+"))))</f>
        <v>6.5–6.9</v>
      </c>
      <c r="Z176" s="3" t="n">
        <f aca="false">IF(T176="","",YEAR(T176))</f>
        <v>2019</v>
      </c>
    </row>
    <row r="177" customFormat="false" ht="13.8" hidden="false" customHeight="false" outlineLevel="0" collapsed="false">
      <c r="A177" s="3" t="s">
        <v>526</v>
      </c>
      <c r="B177" s="3" t="n">
        <v>6.6</v>
      </c>
      <c r="C177" s="6" t="s">
        <v>527</v>
      </c>
      <c r="D177" s="3" t="n">
        <v>2</v>
      </c>
      <c r="E177" s="3" t="n">
        <v>4</v>
      </c>
      <c r="F177" s="3" t="s">
        <v>21</v>
      </c>
      <c r="G177" s="3" t="n">
        <v>1</v>
      </c>
      <c r="H177" s="3" t="n">
        <v>672</v>
      </c>
      <c r="I177" s="3" t="s">
        <v>22</v>
      </c>
      <c r="J177" s="3" t="n">
        <v>0</v>
      </c>
      <c r="K177" s="3" t="n">
        <v>1.596</v>
      </c>
      <c r="L177" s="3" t="n">
        <v>33</v>
      </c>
      <c r="M177" s="3" t="s">
        <v>23</v>
      </c>
      <c r="N177" s="3" t="n">
        <v>43.21</v>
      </c>
      <c r="O177" s="3" t="n">
        <v>2.258</v>
      </c>
      <c r="P177" s="3" t="n">
        <v>126.758</v>
      </c>
      <c r="Q177" s="3" t="s">
        <v>528</v>
      </c>
      <c r="R177" s="3"/>
      <c r="S177" s="3" t="s">
        <v>68</v>
      </c>
      <c r="T177" s="5" t="n">
        <f aca="false">IF(C177="","",DATE(VALUE(MID(C177,7,4)),VALUE(MID(C177,4,2)),VALUE(MID(C177,1,2)))+TIME(VALUE(MID(C177,12,2)),VALUE(MID(C177,15,2)),0))</f>
        <v>43471.7270833333</v>
      </c>
      <c r="U177" s="3" t="str">
        <f aca="false">IFERROR(IF(ISNUMBER(VALUE(TRIM(MID(A177,FIND("-",A177)+1,FIND("km",A177)-FIND("-",A177)-1)))),"Distance + direction + city","Named-region"),"Named-region")</f>
        <v>Named-region</v>
      </c>
      <c r="V177" s="3" t="str">
        <f aca="false">LOWER(M177)</f>
        <v>mww</v>
      </c>
      <c r="W177" s="3" t="n">
        <f aca="false">COUNTIFS($A$2:$A$1001,A177,$C$2:$C$1001,C177)</f>
        <v>1</v>
      </c>
      <c r="X177" s="3" t="str">
        <f aca="false">IF(W177&gt;1,"Duplicate","Unique")</f>
        <v>Unique</v>
      </c>
      <c r="Y177" s="3" t="str">
        <f aca="false">IF(B177&lt;6.5,"&lt;6.5",IF(B177&lt;7,"6.5–6.9",IF(B177&lt;7.5,"7.0–7.4",IF(B177&lt;8,"7.5–7.9","8.0+"))))</f>
        <v>6.5–6.9</v>
      </c>
      <c r="Z177" s="3" t="n">
        <f aca="false">IF(T177="","",YEAR(T177))</f>
        <v>2019</v>
      </c>
    </row>
    <row r="178" customFormat="false" ht="13.8" hidden="false" customHeight="false" outlineLevel="0" collapsed="false">
      <c r="A178" s="3" t="s">
        <v>529</v>
      </c>
      <c r="B178" s="3" t="n">
        <v>6.8</v>
      </c>
      <c r="C178" s="6" t="s">
        <v>530</v>
      </c>
      <c r="D178" s="3" t="n">
        <v>3</v>
      </c>
      <c r="E178" s="3" t="n">
        <v>3</v>
      </c>
      <c r="F178" s="3" t="s">
        <v>21</v>
      </c>
      <c r="G178" s="3" t="n">
        <v>0</v>
      </c>
      <c r="H178" s="3" t="n">
        <v>715</v>
      </c>
      <c r="I178" s="3" t="s">
        <v>22</v>
      </c>
      <c r="J178" s="3" t="n">
        <v>0</v>
      </c>
      <c r="K178" s="3" t="n">
        <v>1.181</v>
      </c>
      <c r="L178" s="3" t="n">
        <v>16</v>
      </c>
      <c r="M178" s="3" t="s">
        <v>23</v>
      </c>
      <c r="N178" s="3" t="n">
        <v>570.41</v>
      </c>
      <c r="O178" s="3" t="n">
        <v>-8.144</v>
      </c>
      <c r="P178" s="3" t="n">
        <v>-71.587</v>
      </c>
      <c r="Q178" s="3" t="s">
        <v>531</v>
      </c>
      <c r="R178" s="3" t="s">
        <v>33</v>
      </c>
      <c r="S178" s="3" t="s">
        <v>195</v>
      </c>
      <c r="T178" s="5" t="n">
        <f aca="false">IF(C178="","",DATE(VALUE(MID(C178,7,4)),VALUE(MID(C178,4,2)),VALUE(MID(C178,1,2)))+TIME(VALUE(MID(C178,12,2)),VALUE(MID(C178,15,2)),0))</f>
        <v>43470.8090277778</v>
      </c>
      <c r="U178" s="3" t="str">
        <f aca="false">IFERROR(IF(ISNUMBER(VALUE(TRIM(MID(A178,FIND("-",A178)+1,FIND("km",A178)-FIND("-",A178)-1)))),"Distance + direction + city","Named-region"),"Named-region")</f>
        <v>Distance + direction + city</v>
      </c>
      <c r="V178" s="3" t="str">
        <f aca="false">LOWER(M178)</f>
        <v>mww</v>
      </c>
      <c r="W178" s="3" t="n">
        <f aca="false">COUNTIFS($A$2:$A$1001,A178,$C$2:$C$1001,C178)</f>
        <v>1</v>
      </c>
      <c r="X178" s="3" t="str">
        <f aca="false">IF(W178&gt;1,"Duplicate","Unique")</f>
        <v>Unique</v>
      </c>
      <c r="Y178" s="3" t="str">
        <f aca="false">IF(B178&lt;6.5,"&lt;6.5",IF(B178&lt;7,"6.5–6.9",IF(B178&lt;7.5,"7.0–7.4",IF(B178&lt;8,"7.5–7.9","8.0+"))))</f>
        <v>6.5–6.9</v>
      </c>
      <c r="Z178" s="3" t="n">
        <f aca="false">IF(T178="","",YEAR(T178))</f>
        <v>2019</v>
      </c>
    </row>
    <row r="179" customFormat="false" ht="13.8" hidden="false" customHeight="false" outlineLevel="0" collapsed="false">
      <c r="A179" s="3" t="s">
        <v>532</v>
      </c>
      <c r="B179" s="3" t="n">
        <v>7</v>
      </c>
      <c r="C179" s="3" t="s">
        <v>533</v>
      </c>
      <c r="D179" s="3" t="n">
        <v>5</v>
      </c>
      <c r="E179" s="3" t="n">
        <v>5</v>
      </c>
      <c r="F179" s="3" t="s">
        <v>21</v>
      </c>
      <c r="G179" s="3" t="n">
        <v>1</v>
      </c>
      <c r="H179" s="3" t="n">
        <v>803</v>
      </c>
      <c r="I179" s="3" t="s">
        <v>22</v>
      </c>
      <c r="J179" s="3" t="n">
        <v>0</v>
      </c>
      <c r="K179" s="3" t="n">
        <v>1.769</v>
      </c>
      <c r="L179" s="3" t="n">
        <v>21</v>
      </c>
      <c r="M179" s="3" t="s">
        <v>23</v>
      </c>
      <c r="N179" s="3" t="n">
        <v>60.21</v>
      </c>
      <c r="O179" s="3" t="n">
        <v>5.8983</v>
      </c>
      <c r="P179" s="3" t="n">
        <v>126.921</v>
      </c>
      <c r="Q179" s="3" t="s">
        <v>297</v>
      </c>
      <c r="R179" s="3"/>
      <c r="S179" s="3"/>
      <c r="T179" s="5" t="n">
        <f aca="false">IF(C179="","",DATE(VALUE(MID(C179,7,4)),VALUE(MID(C179,4,2)),VALUE(MID(C179,1,2)))+TIME(VALUE(MID(C179,12,2)),VALUE(MID(C179,15,2)),0))</f>
        <v>43463.1520833333</v>
      </c>
      <c r="U179" s="3" t="str">
        <f aca="false">IFERROR(IF(ISNUMBER(VALUE(TRIM(MID(A179,FIND("-",A179)+1,FIND("km",A179)-FIND("-",A179)-1)))),"Distance + direction + city","Named-region"),"Named-region")</f>
        <v>Distance + direction + city</v>
      </c>
      <c r="V179" s="3" t="str">
        <f aca="false">LOWER(M179)</f>
        <v>mww</v>
      </c>
      <c r="W179" s="3" t="n">
        <f aca="false">COUNTIFS($A$2:$A$1001,A179,$C$2:$C$1001,C179)</f>
        <v>1</v>
      </c>
      <c r="X179" s="3" t="str">
        <f aca="false">IF(W179&gt;1,"Duplicate","Unique")</f>
        <v>Unique</v>
      </c>
      <c r="Y179" s="3" t="str">
        <f aca="false">IF(B179&lt;6.5,"&lt;6.5",IF(B179&lt;7,"6.5–6.9",IF(B179&lt;7.5,"7.0–7.4",IF(B179&lt;8,"7.5–7.9","8.0+"))))</f>
        <v>7.0–7.4</v>
      </c>
      <c r="Z179" s="3" t="n">
        <f aca="false">IF(T179="","",YEAR(T179))</f>
        <v>2018</v>
      </c>
    </row>
    <row r="180" customFormat="false" ht="13.8" hidden="false" customHeight="false" outlineLevel="0" collapsed="false">
      <c r="A180" s="3" t="s">
        <v>534</v>
      </c>
      <c r="B180" s="3" t="n">
        <v>7.3</v>
      </c>
      <c r="C180" s="3" t="s">
        <v>535</v>
      </c>
      <c r="D180" s="3" t="n">
        <v>3</v>
      </c>
      <c r="E180" s="3" t="n">
        <v>7</v>
      </c>
      <c r="F180" s="3" t="s">
        <v>21</v>
      </c>
      <c r="G180" s="3" t="n">
        <v>1</v>
      </c>
      <c r="H180" s="3" t="n">
        <v>822</v>
      </c>
      <c r="I180" s="3" t="s">
        <v>22</v>
      </c>
      <c r="J180" s="3" t="n">
        <v>0</v>
      </c>
      <c r="K180" s="3" t="n">
        <v>4.126</v>
      </c>
      <c r="L180" s="3" t="n">
        <v>23</v>
      </c>
      <c r="M180" s="3" t="s">
        <v>23</v>
      </c>
      <c r="N180" s="3" t="n">
        <v>16.56</v>
      </c>
      <c r="O180" s="3" t="n">
        <v>55.0999</v>
      </c>
      <c r="P180" s="3" t="n">
        <v>164.699</v>
      </c>
      <c r="Q180" s="3" t="s">
        <v>334</v>
      </c>
      <c r="R180" s="3"/>
      <c r="S180" s="3"/>
      <c r="T180" s="5" t="n">
        <f aca="false">IF(C180="","",DATE(VALUE(MID(C180,7,4)),VALUE(MID(C180,4,2)),VALUE(MID(C180,1,2)))+TIME(VALUE(MID(C180,12,2)),VALUE(MID(C180,15,2)),0))</f>
        <v>43454.7090277778</v>
      </c>
      <c r="U180" s="3" t="str">
        <f aca="false">IFERROR(IF(ISNUMBER(VALUE(TRIM(MID(A180,FIND("-",A180)+1,FIND("km",A180)-FIND("-",A180)-1)))),"Distance + direction + city","Named-region"),"Named-region")</f>
        <v>Distance + direction + city</v>
      </c>
      <c r="V180" s="3" t="str">
        <f aca="false">LOWER(M180)</f>
        <v>mww</v>
      </c>
      <c r="W180" s="3" t="n">
        <f aca="false">COUNTIFS($A$2:$A$1001,A180,$C$2:$C$1001,C180)</f>
        <v>1</v>
      </c>
      <c r="X180" s="3" t="str">
        <f aca="false">IF(W180&gt;1,"Duplicate","Unique")</f>
        <v>Unique</v>
      </c>
      <c r="Y180" s="3" t="str">
        <f aca="false">IF(B180&lt;6.5,"&lt;6.5",IF(B180&lt;7,"6.5–6.9",IF(B180&lt;7.5,"7.0–7.4",IF(B180&lt;8,"7.5–7.9","8.0+"))))</f>
        <v>7.0–7.4</v>
      </c>
      <c r="Z180" s="3" t="n">
        <f aca="false">IF(T180="","",YEAR(T180))</f>
        <v>2018</v>
      </c>
    </row>
    <row r="181" customFormat="false" ht="13.8" hidden="false" customHeight="false" outlineLevel="0" collapsed="false">
      <c r="A181" s="3" t="s">
        <v>273</v>
      </c>
      <c r="B181" s="3" t="n">
        <v>7.1</v>
      </c>
      <c r="C181" s="6" t="s">
        <v>536</v>
      </c>
      <c r="D181" s="3" t="n">
        <v>0</v>
      </c>
      <c r="E181" s="3" t="n">
        <v>5</v>
      </c>
      <c r="F181" s="3" t="s">
        <v>21</v>
      </c>
      <c r="G181" s="3" t="n">
        <v>1</v>
      </c>
      <c r="H181" s="3" t="n">
        <v>776</v>
      </c>
      <c r="I181" s="3" t="s">
        <v>22</v>
      </c>
      <c r="J181" s="3" t="n">
        <v>0</v>
      </c>
      <c r="K181" s="3" t="n">
        <v>7.043</v>
      </c>
      <c r="L181" s="3" t="n">
        <v>20</v>
      </c>
      <c r="M181" s="3" t="s">
        <v>23</v>
      </c>
      <c r="N181" s="3" t="n">
        <v>133</v>
      </c>
      <c r="O181" s="3" t="n">
        <v>-58.5446</v>
      </c>
      <c r="P181" s="3" t="n">
        <v>-26.3856</v>
      </c>
      <c r="Q181" s="3" t="s">
        <v>275</v>
      </c>
      <c r="R181" s="3"/>
      <c r="S181" s="3" t="s">
        <v>537</v>
      </c>
      <c r="T181" s="5" t="n">
        <f aca="false">IF(C181="","",DATE(VALUE(MID(C181,7,4)),VALUE(MID(C181,4,2)),VALUE(MID(C181,1,2)))+TIME(VALUE(MID(C181,12,2)),VALUE(MID(C181,15,2)),0))</f>
        <v>43445.1013888889</v>
      </c>
      <c r="U181" s="3" t="str">
        <f aca="false">IFERROR(IF(ISNUMBER(VALUE(TRIM(MID(A181,FIND("-",A181)+1,FIND("km",A181)-FIND("-",A181)-1)))),"Distance + direction + city","Named-region"),"Named-region")</f>
        <v>Named-region</v>
      </c>
      <c r="V181" s="3" t="str">
        <f aca="false">LOWER(M181)</f>
        <v>mww</v>
      </c>
      <c r="W181" s="3" t="n">
        <f aca="false">COUNTIFS($A$2:$A$1001,A181,$C$2:$C$1001,C181)</f>
        <v>1</v>
      </c>
      <c r="X181" s="3" t="str">
        <f aca="false">IF(W181&gt;1,"Duplicate","Unique")</f>
        <v>Unique</v>
      </c>
      <c r="Y181" s="3" t="str">
        <f aca="false">IF(B181&lt;6.5,"&lt;6.5",IF(B181&lt;7,"6.5–6.9",IF(B181&lt;7.5,"7.0–7.4",IF(B181&lt;8,"7.5–7.9","8.0+"))))</f>
        <v>7.0–7.4</v>
      </c>
      <c r="Z181" s="3" t="n">
        <f aca="false">IF(T181="","",YEAR(T181))</f>
        <v>2018</v>
      </c>
    </row>
    <row r="182" customFormat="false" ht="13.8" hidden="false" customHeight="false" outlineLevel="0" collapsed="false">
      <c r="A182" s="3" t="s">
        <v>538</v>
      </c>
      <c r="B182" s="3" t="n">
        <v>6.6</v>
      </c>
      <c r="C182" s="6" t="s">
        <v>539</v>
      </c>
      <c r="D182" s="3" t="n">
        <v>0</v>
      </c>
      <c r="E182" s="3" t="n">
        <v>4</v>
      </c>
      <c r="F182" s="3" t="s">
        <v>21</v>
      </c>
      <c r="G182" s="3" t="n">
        <v>1</v>
      </c>
      <c r="H182" s="3" t="n">
        <v>670</v>
      </c>
      <c r="I182" s="3" t="s">
        <v>22</v>
      </c>
      <c r="J182" s="3" t="n">
        <v>0</v>
      </c>
      <c r="K182" s="3" t="n">
        <v>2.679</v>
      </c>
      <c r="L182" s="3" t="n">
        <v>31</v>
      </c>
      <c r="M182" s="3" t="s">
        <v>23</v>
      </c>
      <c r="N182" s="3" t="n">
        <v>10</v>
      </c>
      <c r="O182" s="3" t="n">
        <v>-22.0629</v>
      </c>
      <c r="P182" s="3" t="n">
        <v>169.733</v>
      </c>
      <c r="Q182" s="3" t="s">
        <v>211</v>
      </c>
      <c r="R182" s="3"/>
      <c r="S182" s="3"/>
      <c r="T182" s="5" t="n">
        <f aca="false">IF(C182="","",DATE(VALUE(MID(C182,7,4)),VALUE(MID(C182,4,2)),VALUE(MID(C182,1,2)))+TIME(VALUE(MID(C182,12,2)),VALUE(MID(C182,15,2)),0))</f>
        <v>43439.2798611111</v>
      </c>
      <c r="U182" s="3" t="str">
        <f aca="false">IFERROR(IF(ISNUMBER(VALUE(TRIM(MID(A182,FIND("-",A182)+1,FIND("km",A182)-FIND("-",A182)-1)))),"Distance + direction + city","Named-region"),"Named-region")</f>
        <v>Distance + direction + city</v>
      </c>
      <c r="V182" s="3" t="str">
        <f aca="false">LOWER(M182)</f>
        <v>mww</v>
      </c>
      <c r="W182" s="3" t="n">
        <f aca="false">COUNTIFS($A$2:$A$1001,A182,$C$2:$C$1001,C182)</f>
        <v>1</v>
      </c>
      <c r="X182" s="3" t="str">
        <f aca="false">IF(W182&gt;1,"Duplicate","Unique")</f>
        <v>Unique</v>
      </c>
      <c r="Y182" s="3" t="str">
        <f aca="false">IF(B182&lt;6.5,"&lt;6.5",IF(B182&lt;7,"6.5–6.9",IF(B182&lt;7.5,"7.0–7.4",IF(B182&lt;8,"7.5–7.9","8.0+"))))</f>
        <v>6.5–6.9</v>
      </c>
      <c r="Z182" s="3" t="n">
        <f aca="false">IF(T182="","",YEAR(T182))</f>
        <v>2018</v>
      </c>
    </row>
    <row r="183" customFormat="false" ht="13.8" hidden="false" customHeight="false" outlineLevel="0" collapsed="false">
      <c r="A183" s="3" t="s">
        <v>540</v>
      </c>
      <c r="B183" s="3" t="n">
        <v>7.5</v>
      </c>
      <c r="C183" s="6" t="s">
        <v>541</v>
      </c>
      <c r="D183" s="3" t="n">
        <v>3</v>
      </c>
      <c r="E183" s="3" t="n">
        <v>6</v>
      </c>
      <c r="F183" s="3" t="s">
        <v>21</v>
      </c>
      <c r="G183" s="3" t="n">
        <v>1</v>
      </c>
      <c r="H183" s="3" t="n">
        <v>871</v>
      </c>
      <c r="I183" s="3" t="s">
        <v>22</v>
      </c>
      <c r="J183" s="3" t="n">
        <v>0</v>
      </c>
      <c r="K183" s="3" t="n">
        <v>2.405</v>
      </c>
      <c r="L183" s="3" t="n">
        <v>18</v>
      </c>
      <c r="M183" s="3" t="s">
        <v>23</v>
      </c>
      <c r="N183" s="3" t="n">
        <v>10</v>
      </c>
      <c r="O183" s="3" t="n">
        <v>-21.9496</v>
      </c>
      <c r="P183" s="3" t="n">
        <v>169.427</v>
      </c>
      <c r="Q183" s="3" t="s">
        <v>211</v>
      </c>
      <c r="R183" s="3"/>
      <c r="S183" s="3"/>
      <c r="T183" s="5" t="n">
        <f aca="false">IF(C183="","",DATE(VALUE(MID(C183,7,4)),VALUE(MID(C183,4,2)),VALUE(MID(C183,1,2)))+TIME(VALUE(MID(C183,12,2)),VALUE(MID(C183,15,2)),0))</f>
        <v>43439.1791666667</v>
      </c>
      <c r="U183" s="3" t="str">
        <f aca="false">IFERROR(IF(ISNUMBER(VALUE(TRIM(MID(A183,FIND("-",A183)+1,FIND("km",A183)-FIND("-",A183)-1)))),"Distance + direction + city","Named-region"),"Named-region")</f>
        <v>Distance + direction + city</v>
      </c>
      <c r="V183" s="3" t="str">
        <f aca="false">LOWER(M183)</f>
        <v>mww</v>
      </c>
      <c r="W183" s="3" t="n">
        <f aca="false">COUNTIFS($A$2:$A$1001,A183,$C$2:$C$1001,C183)</f>
        <v>1</v>
      </c>
      <c r="X183" s="3" t="str">
        <f aca="false">IF(W183&gt;1,"Duplicate","Unique")</f>
        <v>Unique</v>
      </c>
      <c r="Y183" s="3" t="str">
        <f aca="false">IF(B183&lt;6.5,"&lt;6.5",IF(B183&lt;7,"6.5–6.9",IF(B183&lt;7.5,"7.0–7.4",IF(B183&lt;8,"7.5–7.9","8.0+"))))</f>
        <v>7.5–7.9</v>
      </c>
      <c r="Z183" s="3" t="n">
        <f aca="false">IF(T183="","",YEAR(T183))</f>
        <v>2018</v>
      </c>
    </row>
    <row r="184" customFormat="false" ht="13.8" hidden="false" customHeight="false" outlineLevel="0" collapsed="false">
      <c r="A184" s="3" t="s">
        <v>542</v>
      </c>
      <c r="B184" s="3" t="n">
        <v>7.1</v>
      </c>
      <c r="C184" s="3" t="s">
        <v>543</v>
      </c>
      <c r="D184" s="3" t="n">
        <v>8</v>
      </c>
      <c r="E184" s="3" t="n">
        <v>8</v>
      </c>
      <c r="F184" s="3" t="s">
        <v>95</v>
      </c>
      <c r="G184" s="3" t="n">
        <v>1</v>
      </c>
      <c r="H184" s="3" t="n">
        <v>1790</v>
      </c>
      <c r="I184" s="3" t="s">
        <v>259</v>
      </c>
      <c r="J184" s="3" t="n">
        <v>0</v>
      </c>
      <c r="K184" s="3" t="n">
        <v>0</v>
      </c>
      <c r="L184" s="3" t="n">
        <v>0</v>
      </c>
      <c r="M184" s="3" t="s">
        <v>485</v>
      </c>
      <c r="N184" s="3" t="n">
        <v>46.7</v>
      </c>
      <c r="O184" s="3" t="n">
        <v>61.3464</v>
      </c>
      <c r="P184" s="3" t="n">
        <v>-149.955</v>
      </c>
      <c r="Q184" s="3" t="s">
        <v>544</v>
      </c>
      <c r="R184" s="3" t="s">
        <v>164</v>
      </c>
      <c r="S184" s="3" t="s">
        <v>261</v>
      </c>
      <c r="T184" s="5" t="n">
        <f aca="false">IF(C184="","",DATE(VALUE(MID(C184,7,4)),VALUE(MID(C184,4,2)),VALUE(MID(C184,1,2)))+TIME(VALUE(MID(C184,12,2)),VALUE(MID(C184,15,2)),0))</f>
        <v>43434.7284722222</v>
      </c>
      <c r="U184" s="3" t="str">
        <f aca="false">IFERROR(IF(ISNUMBER(VALUE(TRIM(MID(A184,FIND("-",A184)+1,FIND("km",A184)-FIND("-",A184)-1)))),"Distance + direction + city","Named-region"),"Named-region")</f>
        <v>Distance + direction + city</v>
      </c>
      <c r="V184" s="3" t="str">
        <f aca="false">LOWER(M184)</f>
        <v>mw</v>
      </c>
      <c r="W184" s="3" t="n">
        <f aca="false">COUNTIFS($A$2:$A$1001,A184,$C$2:$C$1001,C184)</f>
        <v>1</v>
      </c>
      <c r="X184" s="3" t="str">
        <f aca="false">IF(W184&gt;1,"Duplicate","Unique")</f>
        <v>Unique</v>
      </c>
      <c r="Y184" s="3" t="str">
        <f aca="false">IF(B184&lt;6.5,"&lt;6.5",IF(B184&lt;7,"6.5–6.9",IF(B184&lt;7.5,"7.0–7.4",IF(B184&lt;8,"7.5–7.9","8.0+"))))</f>
        <v>7.0–7.4</v>
      </c>
      <c r="Z184" s="3" t="n">
        <f aca="false">IF(T184="","",YEAR(T184))</f>
        <v>2018</v>
      </c>
    </row>
    <row r="185" customFormat="false" ht="13.8" hidden="false" customHeight="false" outlineLevel="0" collapsed="false">
      <c r="A185" s="3" t="s">
        <v>545</v>
      </c>
      <c r="B185" s="3" t="n">
        <v>6.8</v>
      </c>
      <c r="C185" s="3" t="s">
        <v>546</v>
      </c>
      <c r="D185" s="3" t="n">
        <v>0</v>
      </c>
      <c r="E185" s="3" t="n">
        <v>3</v>
      </c>
      <c r="F185" s="3" t="s">
        <v>21</v>
      </c>
      <c r="G185" s="3" t="n">
        <v>1</v>
      </c>
      <c r="H185" s="3" t="n">
        <v>711</v>
      </c>
      <c r="I185" s="3" t="s">
        <v>22</v>
      </c>
      <c r="J185" s="3" t="n">
        <v>0</v>
      </c>
      <c r="K185" s="3" t="n">
        <v>2.879</v>
      </c>
      <c r="L185" s="3" t="n">
        <v>39</v>
      </c>
      <c r="M185" s="3" t="s">
        <v>23</v>
      </c>
      <c r="N185" s="3" t="n">
        <v>540</v>
      </c>
      <c r="O185" s="3" t="n">
        <v>-17.8735</v>
      </c>
      <c r="P185" s="3" t="n">
        <v>-178.927</v>
      </c>
      <c r="Q185" s="3" t="s">
        <v>547</v>
      </c>
      <c r="R185" s="3"/>
      <c r="S185" s="3" t="s">
        <v>146</v>
      </c>
      <c r="T185" s="5" t="n">
        <f aca="false">IF(C185="","",DATE(VALUE(MID(C185,7,4)),VALUE(MID(C185,4,2)),VALUE(MID(C185,1,2)))+TIME(VALUE(MID(C185,12,2)),VALUE(MID(C185,15,2)),0))</f>
        <v>43422.8506944444</v>
      </c>
      <c r="U185" s="3" t="str">
        <f aca="false">IFERROR(IF(ISNUMBER(VALUE(TRIM(MID(A185,FIND("-",A185)+1,FIND("km",A185)-FIND("-",A185)-1)))),"Distance + direction + city","Named-region"),"Named-region")</f>
        <v>Distance + direction + city</v>
      </c>
      <c r="V185" s="3" t="str">
        <f aca="false">LOWER(M185)</f>
        <v>mww</v>
      </c>
      <c r="W185" s="3" t="n">
        <f aca="false">COUNTIFS($A$2:$A$1001,A185,$C$2:$C$1001,C185)</f>
        <v>1</v>
      </c>
      <c r="X185" s="3" t="str">
        <f aca="false">IF(W185&gt;1,"Duplicate","Unique")</f>
        <v>Unique</v>
      </c>
      <c r="Y185" s="3" t="str">
        <f aca="false">IF(B185&lt;6.5,"&lt;6.5",IF(B185&lt;7,"6.5–6.9",IF(B185&lt;7.5,"7.0–7.4",IF(B185&lt;8,"7.5–7.9","8.0+"))))</f>
        <v>6.5–6.9</v>
      </c>
      <c r="Z185" s="3" t="n">
        <f aca="false">IF(T185="","",YEAR(T185))</f>
        <v>2018</v>
      </c>
    </row>
    <row r="186" customFormat="false" ht="13.8" hidden="false" customHeight="false" outlineLevel="0" collapsed="false">
      <c r="A186" s="3" t="s">
        <v>548</v>
      </c>
      <c r="B186" s="3" t="n">
        <v>6.7</v>
      </c>
      <c r="C186" s="6" t="s">
        <v>549</v>
      </c>
      <c r="D186" s="3" t="n">
        <v>3</v>
      </c>
      <c r="E186" s="3" t="n">
        <v>4</v>
      </c>
      <c r="F186" s="3" t="s">
        <v>21</v>
      </c>
      <c r="G186" s="3" t="n">
        <v>1</v>
      </c>
      <c r="H186" s="3" t="n">
        <v>693</v>
      </c>
      <c r="I186" s="3" t="s">
        <v>22</v>
      </c>
      <c r="J186" s="3" t="n">
        <v>0</v>
      </c>
      <c r="K186" s="3" t="n">
        <v>7.853</v>
      </c>
      <c r="L186" s="3" t="n">
        <v>19</v>
      </c>
      <c r="M186" s="3" t="s">
        <v>23</v>
      </c>
      <c r="N186" s="3" t="n">
        <v>10</v>
      </c>
      <c r="O186" s="3" t="n">
        <v>71.6312</v>
      </c>
      <c r="P186" s="3" t="n">
        <v>-11.2431</v>
      </c>
      <c r="Q186" s="3" t="s">
        <v>550</v>
      </c>
      <c r="R186" s="3"/>
      <c r="S186" s="3"/>
      <c r="T186" s="5" t="n">
        <f aca="false">IF(C186="","",DATE(VALUE(MID(C186,7,4)),VALUE(MID(C186,4,2)),VALUE(MID(C186,1,2)))+TIME(VALUE(MID(C186,12,2)),VALUE(MID(C186,15,2)),0))</f>
        <v>43413.0756944444</v>
      </c>
      <c r="U186" s="3" t="str">
        <f aca="false">IFERROR(IF(ISNUMBER(VALUE(TRIM(MID(A186,FIND("-",A186)+1,FIND("km",A186)-FIND("-",A186)-1)))),"Distance + direction + city","Named-region"),"Named-region")</f>
        <v>Distance + direction + city</v>
      </c>
      <c r="V186" s="3" t="str">
        <f aca="false">LOWER(M186)</f>
        <v>mww</v>
      </c>
      <c r="W186" s="3" t="n">
        <f aca="false">COUNTIFS($A$2:$A$1001,A186,$C$2:$C$1001,C186)</f>
        <v>1</v>
      </c>
      <c r="X186" s="3" t="str">
        <f aca="false">IF(W186&gt;1,"Duplicate","Unique")</f>
        <v>Unique</v>
      </c>
      <c r="Y186" s="3" t="str">
        <f aca="false">IF(B186&lt;6.5,"&lt;6.5",IF(B186&lt;7,"6.5–6.9",IF(B186&lt;7.5,"7.0–7.4",IF(B186&lt;8,"7.5–7.9","8.0+"))))</f>
        <v>6.5–6.9</v>
      </c>
      <c r="Z186" s="3" t="n">
        <f aca="false">IF(T186="","",YEAR(T186))</f>
        <v>2018</v>
      </c>
    </row>
    <row r="187" customFormat="false" ht="13.8" hidden="false" customHeight="false" outlineLevel="0" collapsed="false">
      <c r="A187" s="3" t="s">
        <v>551</v>
      </c>
      <c r="B187" s="3" t="n">
        <v>6.8</v>
      </c>
      <c r="C187" s="3" t="s">
        <v>552</v>
      </c>
      <c r="D187" s="3" t="n">
        <v>8</v>
      </c>
      <c r="E187" s="3" t="n">
        <v>7</v>
      </c>
      <c r="F187" s="3" t="s">
        <v>28</v>
      </c>
      <c r="G187" s="3" t="n">
        <v>0</v>
      </c>
      <c r="H187" s="3" t="n">
        <v>954</v>
      </c>
      <c r="I187" s="3" t="s">
        <v>22</v>
      </c>
      <c r="J187" s="3" t="n">
        <v>0</v>
      </c>
      <c r="K187" s="3" t="n">
        <v>2.268</v>
      </c>
      <c r="L187" s="3" t="n">
        <v>15</v>
      </c>
      <c r="M187" s="3" t="s">
        <v>23</v>
      </c>
      <c r="N187" s="3" t="n">
        <v>14</v>
      </c>
      <c r="O187" s="3" t="n">
        <v>37.5203</v>
      </c>
      <c r="P187" s="3" t="n">
        <v>20.5565</v>
      </c>
      <c r="Q187" s="3" t="s">
        <v>553</v>
      </c>
      <c r="R187" s="3" t="s">
        <v>361</v>
      </c>
      <c r="S187" s="3"/>
      <c r="T187" s="5" t="n">
        <f aca="false">IF(C187="","",DATE(VALUE(MID(C187,7,4)),VALUE(MID(C187,4,2)),VALUE(MID(C187,1,2)))+TIME(VALUE(MID(C187,12,2)),VALUE(MID(C187,15,2)),0))</f>
        <v>43398.9541666667</v>
      </c>
      <c r="U187" s="3" t="str">
        <f aca="false">IFERROR(IF(ISNUMBER(VALUE(TRIM(MID(A187,FIND("-",A187)+1,FIND("km",A187)-FIND("-",A187)-1)))),"Distance + direction + city","Named-region"),"Named-region")</f>
        <v>Distance + direction + city</v>
      </c>
      <c r="V187" s="3" t="str">
        <f aca="false">LOWER(M187)</f>
        <v>mww</v>
      </c>
      <c r="W187" s="3" t="n">
        <f aca="false">COUNTIFS($A$2:$A$1001,A187,$C$2:$C$1001,C187)</f>
        <v>1</v>
      </c>
      <c r="X187" s="3" t="str">
        <f aca="false">IF(W187&gt;1,"Duplicate","Unique")</f>
        <v>Unique</v>
      </c>
      <c r="Y187" s="3" t="str">
        <f aca="false">IF(B187&lt;6.5,"&lt;6.5",IF(B187&lt;7,"6.5–6.9",IF(B187&lt;7.5,"7.0–7.4",IF(B187&lt;8,"7.5–7.9","8.0+"))))</f>
        <v>6.5–6.9</v>
      </c>
      <c r="Z187" s="3" t="n">
        <f aca="false">IF(T187="","",YEAR(T187))</f>
        <v>2018</v>
      </c>
    </row>
    <row r="188" customFormat="false" ht="13.8" hidden="false" customHeight="false" outlineLevel="0" collapsed="false">
      <c r="A188" s="3" t="s">
        <v>554</v>
      </c>
      <c r="B188" s="3" t="n">
        <v>6.5</v>
      </c>
      <c r="C188" s="3" t="s">
        <v>555</v>
      </c>
      <c r="D188" s="3" t="n">
        <v>2</v>
      </c>
      <c r="E188" s="3" t="n">
        <v>4</v>
      </c>
      <c r="F188" s="3" t="s">
        <v>21</v>
      </c>
      <c r="G188" s="3" t="n">
        <v>0</v>
      </c>
      <c r="H188" s="3" t="n">
        <v>655</v>
      </c>
      <c r="I188" s="3" t="s">
        <v>22</v>
      </c>
      <c r="J188" s="3" t="n">
        <v>0</v>
      </c>
      <c r="K188" s="3" t="n">
        <v>1.692</v>
      </c>
      <c r="L188" s="3" t="n">
        <v>68</v>
      </c>
      <c r="M188" s="3" t="s">
        <v>23</v>
      </c>
      <c r="N188" s="3" t="n">
        <v>10</v>
      </c>
      <c r="O188" s="3" t="n">
        <v>49.297</v>
      </c>
      <c r="P188" s="3" t="n">
        <v>-129.724</v>
      </c>
      <c r="Q188" s="3" t="s">
        <v>556</v>
      </c>
      <c r="R188" s="3"/>
      <c r="S188" s="3"/>
      <c r="T188" s="5" t="n">
        <f aca="false">IF(C188="","",DATE(VALUE(MID(C188,7,4)),VALUE(MID(C188,4,2)),VALUE(MID(C188,1,2)))+TIME(VALUE(MID(C188,12,2)),VALUE(MID(C188,15,2)),0))</f>
        <v>43395.2652777778</v>
      </c>
      <c r="U188" s="3" t="str">
        <f aca="false">IFERROR(IF(ISNUMBER(VALUE(TRIM(MID(A188,FIND("-",A188)+1,FIND("km",A188)-FIND("-",A188)-1)))),"Distance + direction + city","Named-region"),"Named-region")</f>
        <v>Distance + direction + city</v>
      </c>
      <c r="V188" s="3" t="str">
        <f aca="false">LOWER(M188)</f>
        <v>mww</v>
      </c>
      <c r="W188" s="3" t="n">
        <f aca="false">COUNTIFS($A$2:$A$1001,A188,$C$2:$C$1001,C188)</f>
        <v>1</v>
      </c>
      <c r="X188" s="3" t="str">
        <f aca="false">IF(W188&gt;1,"Duplicate","Unique")</f>
        <v>Unique</v>
      </c>
      <c r="Y188" s="3" t="str">
        <f aca="false">IF(B188&lt;6.5,"&lt;6.5",IF(B188&lt;7,"6.5–6.9",IF(B188&lt;7.5,"7.0–7.4",IF(B188&lt;8,"7.5–7.9","8.0+"))))</f>
        <v>6.5–6.9</v>
      </c>
      <c r="Z188" s="3" t="n">
        <f aca="false">IF(T188="","",YEAR(T188))</f>
        <v>2018</v>
      </c>
    </row>
    <row r="189" customFormat="false" ht="13.8" hidden="false" customHeight="false" outlineLevel="0" collapsed="false">
      <c r="A189" s="3" t="s">
        <v>557</v>
      </c>
      <c r="B189" s="3" t="n">
        <v>6.8</v>
      </c>
      <c r="C189" s="3" t="s">
        <v>558</v>
      </c>
      <c r="D189" s="3" t="n">
        <v>4</v>
      </c>
      <c r="E189" s="3" t="n">
        <v>4</v>
      </c>
      <c r="F189" s="3" t="s">
        <v>21</v>
      </c>
      <c r="G189" s="3" t="n">
        <v>1</v>
      </c>
      <c r="H189" s="3" t="n">
        <v>776</v>
      </c>
      <c r="I189" s="3" t="s">
        <v>22</v>
      </c>
      <c r="J189" s="3" t="n">
        <v>0</v>
      </c>
      <c r="K189" s="3" t="n">
        <v>1.505</v>
      </c>
      <c r="L189" s="3" t="n">
        <v>36</v>
      </c>
      <c r="M189" s="3" t="s">
        <v>23</v>
      </c>
      <c r="N189" s="3" t="n">
        <v>10</v>
      </c>
      <c r="O189" s="3" t="n">
        <v>49.3346</v>
      </c>
      <c r="P189" s="3" t="n">
        <v>-129.289</v>
      </c>
      <c r="Q189" s="3" t="s">
        <v>556</v>
      </c>
      <c r="R189" s="3"/>
      <c r="S189" s="3"/>
      <c r="T189" s="5" t="n">
        <f aca="false">IF(C189="","",DATE(VALUE(MID(C189,7,4)),VALUE(MID(C189,4,2)),VALUE(MID(C189,1,2)))+TIME(VALUE(MID(C189,12,2)),VALUE(MID(C189,15,2)),0))</f>
        <v>43395.2611111111</v>
      </c>
      <c r="U189" s="3" t="str">
        <f aca="false">IFERROR(IF(ISNUMBER(VALUE(TRIM(MID(A189,FIND("-",A189)+1,FIND("km",A189)-FIND("-",A189)-1)))),"Distance + direction + city","Named-region"),"Named-region")</f>
        <v>Distance + direction + city</v>
      </c>
      <c r="V189" s="3" t="str">
        <f aca="false">LOWER(M189)</f>
        <v>mww</v>
      </c>
      <c r="W189" s="3" t="n">
        <f aca="false">COUNTIFS($A$2:$A$1001,A189,$C$2:$C$1001,C189)</f>
        <v>1</v>
      </c>
      <c r="X189" s="3" t="str">
        <f aca="false">IF(W189&gt;1,"Duplicate","Unique")</f>
        <v>Unique</v>
      </c>
      <c r="Y189" s="3" t="str">
        <f aca="false">IF(B189&lt;6.5,"&lt;6.5",IF(B189&lt;7,"6.5–6.9",IF(B189&lt;7.5,"7.0–7.4",IF(B189&lt;8,"7.5–7.9","8.0+"))))</f>
        <v>6.5–6.9</v>
      </c>
      <c r="Z189" s="3" t="n">
        <f aca="false">IF(T189="","",YEAR(T189))</f>
        <v>2018</v>
      </c>
    </row>
    <row r="190" customFormat="false" ht="13.8" hidden="false" customHeight="false" outlineLevel="0" collapsed="false">
      <c r="A190" s="3" t="s">
        <v>559</v>
      </c>
      <c r="B190" s="3" t="n">
        <v>6.5</v>
      </c>
      <c r="C190" s="3" t="s">
        <v>560</v>
      </c>
      <c r="D190" s="3" t="n">
        <v>3</v>
      </c>
      <c r="E190" s="3" t="n">
        <v>4</v>
      </c>
      <c r="F190" s="3" t="s">
        <v>21</v>
      </c>
      <c r="G190" s="3" t="n">
        <v>1</v>
      </c>
      <c r="H190" s="3" t="n">
        <v>669</v>
      </c>
      <c r="I190" s="3" t="s">
        <v>22</v>
      </c>
      <c r="J190" s="3" t="n">
        <v>0</v>
      </c>
      <c r="K190" s="3" t="n">
        <v>1.611</v>
      </c>
      <c r="L190" s="3" t="n">
        <v>63</v>
      </c>
      <c r="M190" s="3" t="s">
        <v>23</v>
      </c>
      <c r="N190" s="3" t="n">
        <v>10</v>
      </c>
      <c r="O190" s="3" t="n">
        <v>49.2586</v>
      </c>
      <c r="P190" s="3" t="n">
        <v>-129.412</v>
      </c>
      <c r="Q190" s="3" t="s">
        <v>556</v>
      </c>
      <c r="R190" s="3"/>
      <c r="S190" s="3"/>
      <c r="T190" s="5" t="n">
        <f aca="false">IF(C190="","",DATE(VALUE(MID(C190,7,4)),VALUE(MID(C190,4,2)),VALUE(MID(C190,1,2)))+TIME(VALUE(MID(C190,12,2)),VALUE(MID(C190,15,2)),0))</f>
        <v>43395.2354166667</v>
      </c>
      <c r="U190" s="3" t="str">
        <f aca="false">IFERROR(IF(ISNUMBER(VALUE(TRIM(MID(A190,FIND("-",A190)+1,FIND("km",A190)-FIND("-",A190)-1)))),"Distance + direction + city","Named-region"),"Named-region")</f>
        <v>Distance + direction + city</v>
      </c>
      <c r="V190" s="3" t="str">
        <f aca="false">LOWER(M190)</f>
        <v>mww</v>
      </c>
      <c r="W190" s="3" t="n">
        <f aca="false">COUNTIFS($A$2:$A$1001,A190,$C$2:$C$1001,C190)</f>
        <v>1</v>
      </c>
      <c r="X190" s="3" t="str">
        <f aca="false">IF(W190&gt;1,"Duplicate","Unique")</f>
        <v>Unique</v>
      </c>
      <c r="Y190" s="3" t="str">
        <f aca="false">IF(B190&lt;6.5,"&lt;6.5",IF(B190&lt;7,"6.5–6.9",IF(B190&lt;7.5,"7.0–7.4",IF(B190&lt;8,"7.5–7.9","8.0+"))))</f>
        <v>6.5–6.9</v>
      </c>
      <c r="Z190" s="3" t="n">
        <f aca="false">IF(T190="","",YEAR(T190))</f>
        <v>2018</v>
      </c>
    </row>
    <row r="191" customFormat="false" ht="13.8" hidden="false" customHeight="false" outlineLevel="0" collapsed="false">
      <c r="A191" s="3" t="s">
        <v>561</v>
      </c>
      <c r="B191" s="3" t="n">
        <v>6.5</v>
      </c>
      <c r="C191" s="3" t="s">
        <v>562</v>
      </c>
      <c r="D191" s="3" t="n">
        <v>0</v>
      </c>
      <c r="E191" s="3" t="n">
        <v>4</v>
      </c>
      <c r="F191" s="3" t="s">
        <v>21</v>
      </c>
      <c r="G191" s="3" t="n">
        <v>1</v>
      </c>
      <c r="H191" s="3" t="n">
        <v>650</v>
      </c>
      <c r="I191" s="3" t="s">
        <v>22</v>
      </c>
      <c r="J191" s="3" t="n">
        <v>0</v>
      </c>
      <c r="K191" s="3" t="n">
        <v>2.109</v>
      </c>
      <c r="L191" s="3" t="n">
        <v>22</v>
      </c>
      <c r="M191" s="3" t="s">
        <v>23</v>
      </c>
      <c r="N191" s="3" t="n">
        <v>17</v>
      </c>
      <c r="O191" s="3" t="n">
        <v>-21.7427</v>
      </c>
      <c r="P191" s="3" t="n">
        <v>169.522</v>
      </c>
      <c r="Q191" s="3" t="s">
        <v>211</v>
      </c>
      <c r="R191" s="3"/>
      <c r="S191" s="3"/>
      <c r="T191" s="5" t="n">
        <f aca="false">IF(C191="","",DATE(VALUE(MID(C191,7,4)),VALUE(MID(C191,4,2)),VALUE(MID(C191,1,2)))+TIME(VALUE(MID(C191,12,2)),VALUE(MID(C191,15,2)),0))</f>
        <v>43389.04375</v>
      </c>
      <c r="U191" s="3" t="str">
        <f aca="false">IFERROR(IF(ISNUMBER(VALUE(TRIM(MID(A191,FIND("-",A191)+1,FIND("km",A191)-FIND("-",A191)-1)))),"Distance + direction + city","Named-region"),"Named-region")</f>
        <v>Distance + direction + city</v>
      </c>
      <c r="V191" s="3" t="str">
        <f aca="false">LOWER(M191)</f>
        <v>mww</v>
      </c>
      <c r="W191" s="3" t="n">
        <f aca="false">COUNTIFS($A$2:$A$1001,A191,$C$2:$C$1001,C191)</f>
        <v>1</v>
      </c>
      <c r="X191" s="3" t="str">
        <f aca="false">IF(W191&gt;1,"Duplicate","Unique")</f>
        <v>Unique</v>
      </c>
      <c r="Y191" s="3" t="str">
        <f aca="false">IF(B191&lt;6.5,"&lt;6.5",IF(B191&lt;7,"6.5–6.9",IF(B191&lt;7.5,"7.0–7.4",IF(B191&lt;8,"7.5–7.9","8.0+"))))</f>
        <v>6.5–6.9</v>
      </c>
      <c r="Z191" s="3" t="n">
        <f aca="false">IF(T191="","",YEAR(T191))</f>
        <v>2018</v>
      </c>
    </row>
    <row r="192" customFormat="false" ht="13.8" hidden="false" customHeight="false" outlineLevel="0" collapsed="false">
      <c r="A192" s="3" t="s">
        <v>563</v>
      </c>
      <c r="B192" s="3" t="n">
        <v>6.7</v>
      </c>
      <c r="C192" s="3" t="s">
        <v>564</v>
      </c>
      <c r="D192" s="3" t="n">
        <v>0</v>
      </c>
      <c r="E192" s="3" t="n">
        <v>3</v>
      </c>
      <c r="F192" s="3" t="s">
        <v>21</v>
      </c>
      <c r="G192" s="3" t="n">
        <v>1</v>
      </c>
      <c r="H192" s="3" t="n">
        <v>691</v>
      </c>
      <c r="I192" s="3" t="s">
        <v>22</v>
      </c>
      <c r="J192" s="3" t="n">
        <v>0</v>
      </c>
      <c r="K192" s="3" t="n">
        <v>2.705</v>
      </c>
      <c r="L192" s="3" t="n">
        <v>17</v>
      </c>
      <c r="M192" s="3" t="s">
        <v>23</v>
      </c>
      <c r="N192" s="3" t="n">
        <v>461</v>
      </c>
      <c r="O192" s="3" t="n">
        <v>52.8549</v>
      </c>
      <c r="P192" s="3" t="n">
        <v>153.243</v>
      </c>
      <c r="Q192" s="3" t="s">
        <v>565</v>
      </c>
      <c r="R192" s="3"/>
      <c r="S192" s="3"/>
      <c r="T192" s="5" t="n">
        <f aca="false">IF(C192="","",DATE(VALUE(MID(C192,7,4)),VALUE(MID(C192,4,2)),VALUE(MID(C192,1,2)))+TIME(VALUE(MID(C192,12,2)),VALUE(MID(C192,15,2)),0))</f>
        <v>43386.4652777778</v>
      </c>
      <c r="U192" s="3" t="str">
        <f aca="false">IFERROR(IF(ISNUMBER(VALUE(TRIM(MID(A192,FIND("-",A192)+1,FIND("km",A192)-FIND("-",A192)-1)))),"Distance + direction + city","Named-region"),"Named-region")</f>
        <v>Distance + direction + city</v>
      </c>
      <c r="V192" s="3" t="str">
        <f aca="false">LOWER(M192)</f>
        <v>mww</v>
      </c>
      <c r="W192" s="3" t="n">
        <f aca="false">COUNTIFS($A$2:$A$1001,A192,$C$2:$C$1001,C192)</f>
        <v>1</v>
      </c>
      <c r="X192" s="3" t="str">
        <f aca="false">IF(W192&gt;1,"Duplicate","Unique")</f>
        <v>Unique</v>
      </c>
      <c r="Y192" s="3" t="str">
        <f aca="false">IF(B192&lt;6.5,"&lt;6.5",IF(B192&lt;7,"6.5–6.9",IF(B192&lt;7.5,"7.0–7.4",IF(B192&lt;8,"7.5–7.9","8.0+"))))</f>
        <v>6.5–6.9</v>
      </c>
      <c r="Z192" s="3" t="n">
        <f aca="false">IF(T192="","",YEAR(T192))</f>
        <v>2018</v>
      </c>
    </row>
    <row r="193" customFormat="false" ht="13.8" hidden="false" customHeight="false" outlineLevel="0" collapsed="false">
      <c r="A193" s="3" t="s">
        <v>566</v>
      </c>
      <c r="B193" s="3" t="n">
        <v>6.5</v>
      </c>
      <c r="C193" s="6" t="s">
        <v>567</v>
      </c>
      <c r="D193" s="3" t="n">
        <v>0</v>
      </c>
      <c r="E193" s="3" t="n">
        <v>4</v>
      </c>
      <c r="F193" s="3" t="s">
        <v>21</v>
      </c>
      <c r="G193" s="3" t="n">
        <v>1</v>
      </c>
      <c r="H193" s="3" t="n">
        <v>650</v>
      </c>
      <c r="I193" s="3" t="s">
        <v>22</v>
      </c>
      <c r="J193" s="3" t="n">
        <v>0</v>
      </c>
      <c r="K193" s="3" t="n">
        <v>3.923</v>
      </c>
      <c r="L193" s="3" t="n">
        <v>14</v>
      </c>
      <c r="M193" s="3" t="s">
        <v>23</v>
      </c>
      <c r="N193" s="3" t="n">
        <v>20</v>
      </c>
      <c r="O193" s="3" t="n">
        <v>49.2902</v>
      </c>
      <c r="P193" s="3" t="n">
        <v>156.297</v>
      </c>
      <c r="Q193" s="3" t="s">
        <v>424</v>
      </c>
      <c r="R193" s="3"/>
      <c r="S193" s="3"/>
      <c r="T193" s="5" t="n">
        <f aca="false">IF(C193="","",DATE(VALUE(MID(C193,7,4)),VALUE(MID(C193,4,2)),VALUE(MID(C193,1,2)))+TIME(VALUE(MID(C193,12,2)),VALUE(MID(C193,15,2)),0))</f>
        <v>43383.9694444445</v>
      </c>
      <c r="U193" s="3" t="str">
        <f aca="false">IFERROR(IF(ISNUMBER(VALUE(TRIM(MID(A193,FIND("-",A193)+1,FIND("km",A193)-FIND("-",A193)-1)))),"Distance + direction + city","Named-region"),"Named-region")</f>
        <v>Distance + direction + city</v>
      </c>
      <c r="V193" s="3" t="str">
        <f aca="false">LOWER(M193)</f>
        <v>mww</v>
      </c>
      <c r="W193" s="3" t="n">
        <f aca="false">COUNTIFS($A$2:$A$1001,A193,$C$2:$C$1001,C193)</f>
        <v>1</v>
      </c>
      <c r="X193" s="3" t="str">
        <f aca="false">IF(W193&gt;1,"Duplicate","Unique")</f>
        <v>Unique</v>
      </c>
      <c r="Y193" s="3" t="str">
        <f aca="false">IF(B193&lt;6.5,"&lt;6.5",IF(B193&lt;7,"6.5–6.9",IF(B193&lt;7.5,"7.0–7.4",IF(B193&lt;8,"7.5–7.9","8.0+"))))</f>
        <v>6.5–6.9</v>
      </c>
      <c r="Z193" s="3" t="n">
        <f aca="false">IF(T193="","",YEAR(T193))</f>
        <v>2018</v>
      </c>
    </row>
    <row r="194" customFormat="false" ht="13.8" hidden="false" customHeight="false" outlineLevel="0" collapsed="false">
      <c r="A194" s="3" t="s">
        <v>568</v>
      </c>
      <c r="B194" s="3" t="n">
        <v>7</v>
      </c>
      <c r="C194" s="6" t="s">
        <v>569</v>
      </c>
      <c r="D194" s="3" t="n">
        <v>6</v>
      </c>
      <c r="E194" s="3" t="n">
        <v>6</v>
      </c>
      <c r="F194" s="3" t="s">
        <v>21</v>
      </c>
      <c r="G194" s="3" t="n">
        <v>1</v>
      </c>
      <c r="H194" s="3" t="n">
        <v>758</v>
      </c>
      <c r="I194" s="3" t="s">
        <v>22</v>
      </c>
      <c r="J194" s="3" t="n">
        <v>0</v>
      </c>
      <c r="K194" s="3" t="n">
        <v>1.778</v>
      </c>
      <c r="L194" s="3" t="n">
        <v>18</v>
      </c>
      <c r="M194" s="3" t="s">
        <v>23</v>
      </c>
      <c r="N194" s="3" t="n">
        <v>39</v>
      </c>
      <c r="O194" s="3" t="n">
        <v>-5.7012</v>
      </c>
      <c r="P194" s="3" t="n">
        <v>151.205</v>
      </c>
      <c r="Q194" s="3" t="s">
        <v>107</v>
      </c>
      <c r="R194" s="3"/>
      <c r="S194" s="3" t="s">
        <v>85</v>
      </c>
      <c r="T194" s="5" t="n">
        <f aca="false">IF(C194="","",DATE(VALUE(MID(C194,7,4)),VALUE(MID(C194,4,2)),VALUE(MID(C194,1,2)))+TIME(VALUE(MID(C194,12,2)),VALUE(MID(C194,15,2)),0))</f>
        <v>43383.8666666667</v>
      </c>
      <c r="U194" s="3" t="str">
        <f aca="false">IFERROR(IF(ISNUMBER(VALUE(TRIM(MID(A194,FIND("-",A194)+1,FIND("km",A194)-FIND("-",A194)-1)))),"Distance + direction + city","Named-region"),"Named-region")</f>
        <v>Distance + direction + city</v>
      </c>
      <c r="V194" s="3" t="str">
        <f aca="false">LOWER(M194)</f>
        <v>mww</v>
      </c>
      <c r="W194" s="3" t="n">
        <f aca="false">COUNTIFS($A$2:$A$1001,A194,$C$2:$C$1001,C194)</f>
        <v>1</v>
      </c>
      <c r="X194" s="3" t="str">
        <f aca="false">IF(W194&gt;1,"Duplicate","Unique")</f>
        <v>Unique</v>
      </c>
      <c r="Y194" s="3" t="str">
        <f aca="false">IF(B194&lt;6.5,"&lt;6.5",IF(B194&lt;7,"6.5–6.9",IF(B194&lt;7.5,"7.0–7.4",IF(B194&lt;8,"7.5–7.9","8.0+"))))</f>
        <v>7.0–7.4</v>
      </c>
      <c r="Z194" s="3" t="n">
        <f aca="false">IF(T194="","",YEAR(T194))</f>
        <v>2018</v>
      </c>
    </row>
    <row r="195" customFormat="false" ht="13.8" hidden="false" customHeight="false" outlineLevel="0" collapsed="false">
      <c r="A195" s="3" t="s">
        <v>570</v>
      </c>
      <c r="B195" s="3" t="n">
        <v>6.7</v>
      </c>
      <c r="C195" s="3" t="s">
        <v>571</v>
      </c>
      <c r="D195" s="3" t="n">
        <v>2</v>
      </c>
      <c r="E195" s="3" t="n">
        <v>3</v>
      </c>
      <c r="F195" s="3" t="s">
        <v>21</v>
      </c>
      <c r="G195" s="3" t="n">
        <v>1</v>
      </c>
      <c r="H195" s="3" t="n">
        <v>691</v>
      </c>
      <c r="I195" s="3" t="s">
        <v>22</v>
      </c>
      <c r="J195" s="3" t="n">
        <v>0</v>
      </c>
      <c r="K195" s="3" t="n">
        <v>3.745</v>
      </c>
      <c r="L195" s="3" t="n">
        <v>23</v>
      </c>
      <c r="M195" s="3" t="s">
        <v>23</v>
      </c>
      <c r="N195" s="3" t="n">
        <v>550</v>
      </c>
      <c r="O195" s="3" t="n">
        <v>-18.3604</v>
      </c>
      <c r="P195" s="3" t="n">
        <v>-178.063</v>
      </c>
      <c r="Q195" s="3" t="s">
        <v>547</v>
      </c>
      <c r="R195" s="3"/>
      <c r="S195" s="3" t="s">
        <v>146</v>
      </c>
      <c r="T195" s="5" t="n">
        <f aca="false">IF(C195="","",DATE(VALUE(MID(C195,7,4)),VALUE(MID(C195,4,2)),VALUE(MID(C195,1,2)))+TIME(VALUE(MID(C195,12,2)),VALUE(MID(C195,15,2)),0))</f>
        <v>43373.4527777778</v>
      </c>
      <c r="U195" s="3" t="str">
        <f aca="false">IFERROR(IF(ISNUMBER(VALUE(TRIM(MID(A195,FIND("-",A195)+1,FIND("km",A195)-FIND("-",A195)-1)))),"Distance + direction + city","Named-region"),"Named-region")</f>
        <v>Distance + direction + city</v>
      </c>
      <c r="V195" s="3" t="str">
        <f aca="false">LOWER(M195)</f>
        <v>mww</v>
      </c>
      <c r="W195" s="3" t="n">
        <f aca="false">COUNTIFS($A$2:$A$1001,A195,$C$2:$C$1001,C195)</f>
        <v>1</v>
      </c>
      <c r="X195" s="3" t="str">
        <f aca="false">IF(W195&gt;1,"Duplicate","Unique")</f>
        <v>Unique</v>
      </c>
      <c r="Y195" s="3" t="str">
        <f aca="false">IF(B195&lt;6.5,"&lt;6.5",IF(B195&lt;7,"6.5–6.9",IF(B195&lt;7.5,"7.0–7.4",IF(B195&lt;8,"7.5–7.9","8.0+"))))</f>
        <v>6.5–6.9</v>
      </c>
      <c r="Z195" s="3" t="n">
        <f aca="false">IF(T195="","",YEAR(T195))</f>
        <v>2018</v>
      </c>
    </row>
    <row r="196" customFormat="false" ht="13.8" hidden="false" customHeight="false" outlineLevel="0" collapsed="false">
      <c r="A196" s="3" t="s">
        <v>572</v>
      </c>
      <c r="B196" s="3" t="n">
        <v>7.5</v>
      </c>
      <c r="C196" s="3" t="s">
        <v>573</v>
      </c>
      <c r="D196" s="3" t="n">
        <v>8</v>
      </c>
      <c r="E196" s="3" t="n">
        <v>8</v>
      </c>
      <c r="F196" s="3" t="s">
        <v>121</v>
      </c>
      <c r="G196" s="3" t="n">
        <v>0</v>
      </c>
      <c r="H196" s="3" t="n">
        <v>2026</v>
      </c>
      <c r="I196" s="3" t="s">
        <v>22</v>
      </c>
      <c r="J196" s="3" t="n">
        <v>0</v>
      </c>
      <c r="K196" s="3" t="n">
        <v>1.649</v>
      </c>
      <c r="L196" s="3" t="n">
        <v>13</v>
      </c>
      <c r="M196" s="3" t="s">
        <v>23</v>
      </c>
      <c r="N196" s="3" t="n">
        <v>20</v>
      </c>
      <c r="O196" s="3" t="n">
        <v>-0.2559</v>
      </c>
      <c r="P196" s="3" t="n">
        <v>119.846</v>
      </c>
      <c r="Q196" s="3" t="s">
        <v>574</v>
      </c>
      <c r="R196" s="3"/>
      <c r="S196" s="3" t="s">
        <v>68</v>
      </c>
      <c r="T196" s="5" t="n">
        <f aca="false">IF(C196="","",DATE(VALUE(MID(C196,7,4)),VALUE(MID(C196,4,2)),VALUE(MID(C196,1,2)))+TIME(VALUE(MID(C196,12,2)),VALUE(MID(C196,15,2)),0))</f>
        <v>43371.4180555556</v>
      </c>
      <c r="U196" s="3" t="str">
        <f aca="false">IFERROR(IF(ISNUMBER(VALUE(TRIM(MID(A196,FIND("-",A196)+1,FIND("km",A196)-FIND("-",A196)-1)))),"Distance + direction + city","Named-region"),"Named-region")</f>
        <v>Distance + direction + city</v>
      </c>
      <c r="V196" s="3" t="str">
        <f aca="false">LOWER(M196)</f>
        <v>mww</v>
      </c>
      <c r="W196" s="3" t="n">
        <f aca="false">COUNTIFS($A$2:$A$1001,A196,$C$2:$C$1001,C196)</f>
        <v>1</v>
      </c>
      <c r="X196" s="3" t="str">
        <f aca="false">IF(W196&gt;1,"Duplicate","Unique")</f>
        <v>Unique</v>
      </c>
      <c r="Y196" s="3" t="str">
        <f aca="false">IF(B196&lt;6.5,"&lt;6.5",IF(B196&lt;7,"6.5–6.9",IF(B196&lt;7.5,"7.0–7.4",IF(B196&lt;8,"7.5–7.9","8.0+"))))</f>
        <v>7.5–7.9</v>
      </c>
      <c r="Z196" s="3" t="n">
        <f aca="false">IF(T196="","",YEAR(T196))</f>
        <v>2018</v>
      </c>
    </row>
    <row r="197" customFormat="false" ht="13.8" hidden="false" customHeight="false" outlineLevel="0" collapsed="false">
      <c r="A197" s="3" t="s">
        <v>575</v>
      </c>
      <c r="B197" s="3" t="n">
        <v>6.5</v>
      </c>
      <c r="C197" s="3" t="s">
        <v>576</v>
      </c>
      <c r="D197" s="3" t="n">
        <v>4</v>
      </c>
      <c r="E197" s="3" t="n">
        <v>1</v>
      </c>
      <c r="F197" s="3" t="s">
        <v>21</v>
      </c>
      <c r="G197" s="3" t="n">
        <v>0</v>
      </c>
      <c r="H197" s="3" t="n">
        <v>651</v>
      </c>
      <c r="I197" s="3" t="s">
        <v>22</v>
      </c>
      <c r="J197" s="3" t="n">
        <v>0</v>
      </c>
      <c r="K197" s="3" t="n">
        <v>5.139</v>
      </c>
      <c r="L197" s="3" t="n">
        <v>18</v>
      </c>
      <c r="M197" s="3" t="s">
        <v>23</v>
      </c>
      <c r="N197" s="3" t="n">
        <v>576</v>
      </c>
      <c r="O197" s="3" t="n">
        <v>-25.415</v>
      </c>
      <c r="P197" s="3" t="n">
        <v>178.199</v>
      </c>
      <c r="Q197" s="3" t="s">
        <v>50</v>
      </c>
      <c r="R197" s="3"/>
      <c r="S197" s="3"/>
      <c r="T197" s="5" t="n">
        <f aca="false">IF(C197="","",DATE(VALUE(MID(C197,7,4)),VALUE(MID(C197,4,2)),VALUE(MID(C197,1,2)))+TIME(VALUE(MID(C197,12,2)),VALUE(MID(C197,15,2)),0))</f>
        <v>43359.8826388889</v>
      </c>
      <c r="U197" s="3" t="str">
        <f aca="false">IFERROR(IF(ISNUMBER(VALUE(TRIM(MID(A197,FIND("-",A197)+1,FIND("km",A197)-FIND("-",A197)-1)))),"Distance + direction + city","Named-region"),"Named-region")</f>
        <v>Named-region</v>
      </c>
      <c r="V197" s="3" t="str">
        <f aca="false">LOWER(M197)</f>
        <v>mww</v>
      </c>
      <c r="W197" s="3" t="n">
        <f aca="false">COUNTIFS($A$2:$A$1001,A197,$C$2:$C$1001,C197)</f>
        <v>1</v>
      </c>
      <c r="X197" s="3" t="str">
        <f aca="false">IF(W197&gt;1,"Duplicate","Unique")</f>
        <v>Unique</v>
      </c>
      <c r="Y197" s="3" t="str">
        <f aca="false">IF(B197&lt;6.5,"&lt;6.5",IF(B197&lt;7,"6.5–6.9",IF(B197&lt;7.5,"7.0–7.4",IF(B197&lt;8,"7.5–7.9","8.0+"))))</f>
        <v>6.5–6.9</v>
      </c>
      <c r="Z197" s="3" t="n">
        <f aca="false">IF(T197="","",YEAR(T197))</f>
        <v>2018</v>
      </c>
    </row>
    <row r="198" customFormat="false" ht="13.8" hidden="false" customHeight="false" outlineLevel="0" collapsed="false">
      <c r="A198" s="3" t="s">
        <v>577</v>
      </c>
      <c r="B198" s="3" t="n">
        <v>6.9</v>
      </c>
      <c r="C198" s="6" t="s">
        <v>578</v>
      </c>
      <c r="D198" s="3" t="n">
        <v>3</v>
      </c>
      <c r="E198" s="3" t="n">
        <v>4</v>
      </c>
      <c r="F198" s="3" t="s">
        <v>21</v>
      </c>
      <c r="G198" s="3" t="n">
        <v>0</v>
      </c>
      <c r="H198" s="3" t="n">
        <v>735</v>
      </c>
      <c r="I198" s="3" t="s">
        <v>22</v>
      </c>
      <c r="J198" s="3" t="n">
        <v>0</v>
      </c>
      <c r="K198" s="3" t="n">
        <v>2.785</v>
      </c>
      <c r="L198" s="3" t="n">
        <v>18</v>
      </c>
      <c r="M198" s="3" t="s">
        <v>23</v>
      </c>
      <c r="N198" s="3" t="n">
        <v>115</v>
      </c>
      <c r="O198" s="3" t="n">
        <v>-31.7447</v>
      </c>
      <c r="P198" s="3" t="n">
        <v>-179.373</v>
      </c>
      <c r="Q198" s="3" t="s">
        <v>99</v>
      </c>
      <c r="R198" s="3"/>
      <c r="S198" s="3"/>
      <c r="T198" s="5" t="n">
        <f aca="false">IF(C198="","",DATE(VALUE(MID(C198,7,4)),VALUE(MID(C198,4,2)),VALUE(MID(C198,1,2)))+TIME(VALUE(MID(C198,12,2)),VALUE(MID(C198,15,2)),0))</f>
        <v>43353.1798611111</v>
      </c>
      <c r="U198" s="3" t="str">
        <f aca="false">IFERROR(IF(ISNUMBER(VALUE(TRIM(MID(A198,FIND("-",A198)+1,FIND("km",A198)-FIND("-",A198)-1)))),"Distance + direction + city","Named-region"),"Named-region")</f>
        <v>Named-region</v>
      </c>
      <c r="V198" s="3" t="str">
        <f aca="false">LOWER(M198)</f>
        <v>mww</v>
      </c>
      <c r="W198" s="3" t="n">
        <f aca="false">COUNTIFS($A$2:$A$1001,A198,$C$2:$C$1001,C198)</f>
        <v>1</v>
      </c>
      <c r="X198" s="3" t="str">
        <f aca="false">IF(W198&gt;1,"Duplicate","Unique")</f>
        <v>Unique</v>
      </c>
      <c r="Y198" s="3" t="str">
        <f aca="false">IF(B198&lt;6.5,"&lt;6.5",IF(B198&lt;7,"6.5–6.9",IF(B198&lt;7.5,"7.0–7.4",IF(B198&lt;8,"7.5–7.9","8.0+"))))</f>
        <v>6.5–6.9</v>
      </c>
      <c r="Z198" s="3" t="n">
        <f aca="false">IF(T198="","",YEAR(T198))</f>
        <v>2018</v>
      </c>
    </row>
    <row r="199" customFormat="false" ht="13.8" hidden="false" customHeight="false" outlineLevel="0" collapsed="false">
      <c r="A199" s="3" t="s">
        <v>579</v>
      </c>
      <c r="B199" s="3" t="n">
        <v>6.5</v>
      </c>
      <c r="C199" s="6" t="s">
        <v>580</v>
      </c>
      <c r="D199" s="3" t="n">
        <v>3</v>
      </c>
      <c r="E199" s="3" t="n">
        <v>6</v>
      </c>
      <c r="F199" s="3" t="s">
        <v>21</v>
      </c>
      <c r="G199" s="3" t="n">
        <v>1</v>
      </c>
      <c r="H199" s="3" t="n">
        <v>651</v>
      </c>
      <c r="I199" s="3" t="s">
        <v>22</v>
      </c>
      <c r="J199" s="3" t="n">
        <v>0</v>
      </c>
      <c r="K199" s="3" t="n">
        <v>1.638</v>
      </c>
      <c r="L199" s="3" t="n">
        <v>25</v>
      </c>
      <c r="M199" s="3" t="s">
        <v>23</v>
      </c>
      <c r="N199" s="3" t="n">
        <v>68</v>
      </c>
      <c r="O199" s="3" t="n">
        <v>-10.0207</v>
      </c>
      <c r="P199" s="3" t="n">
        <v>161.503</v>
      </c>
      <c r="Q199" s="3" t="s">
        <v>581</v>
      </c>
      <c r="R199" s="3"/>
      <c r="S199" s="3" t="s">
        <v>140</v>
      </c>
      <c r="T199" s="5" t="n">
        <f aca="false">IF(C199="","",DATE(VALUE(MID(C199,7,4)),VALUE(MID(C199,4,2)),VALUE(MID(C199,1,2)))+TIME(VALUE(MID(C199,12,2)),VALUE(MID(C199,15,2)),0))</f>
        <v>43352.8131944445</v>
      </c>
      <c r="U199" s="3" t="str">
        <f aca="false">IFERROR(IF(ISNUMBER(VALUE(TRIM(MID(A199,FIND("-",A199)+1,FIND("km",A199)-FIND("-",A199)-1)))),"Distance + direction + city","Named-region"),"Named-region")</f>
        <v>Distance + direction + city</v>
      </c>
      <c r="V199" s="3" t="str">
        <f aca="false">LOWER(M199)</f>
        <v>mww</v>
      </c>
      <c r="W199" s="3" t="n">
        <f aca="false">COUNTIFS($A$2:$A$1001,A199,$C$2:$C$1001,C199)</f>
        <v>1</v>
      </c>
      <c r="X199" s="3" t="str">
        <f aca="false">IF(W199&gt;1,"Duplicate","Unique")</f>
        <v>Unique</v>
      </c>
      <c r="Y199" s="3" t="str">
        <f aca="false">IF(B199&lt;6.5,"&lt;6.5",IF(B199&lt;7,"6.5–6.9",IF(B199&lt;7.5,"7.0–7.4",IF(B199&lt;8,"7.5–7.9","8.0+"))))</f>
        <v>6.5–6.9</v>
      </c>
      <c r="Z199" s="3" t="n">
        <f aca="false">IF(T199="","",YEAR(T199))</f>
        <v>2018</v>
      </c>
    </row>
    <row r="200" customFormat="false" ht="13.8" hidden="false" customHeight="false" outlineLevel="0" collapsed="false">
      <c r="A200" s="3" t="s">
        <v>582</v>
      </c>
      <c r="B200" s="3" t="n">
        <v>7.9</v>
      </c>
      <c r="C200" s="6" t="s">
        <v>583</v>
      </c>
      <c r="D200" s="3" t="n">
        <v>7</v>
      </c>
      <c r="E200" s="3" t="n">
        <v>4</v>
      </c>
      <c r="F200" s="3" t="s">
        <v>21</v>
      </c>
      <c r="G200" s="3" t="n">
        <v>1</v>
      </c>
      <c r="H200" s="3" t="n">
        <v>979</v>
      </c>
      <c r="I200" s="3" t="s">
        <v>22</v>
      </c>
      <c r="J200" s="3" t="n">
        <v>0</v>
      </c>
      <c r="K200" s="3" t="n">
        <v>1.431</v>
      </c>
      <c r="L200" s="3" t="n">
        <v>12</v>
      </c>
      <c r="M200" s="3" t="s">
        <v>23</v>
      </c>
      <c r="N200" s="3" t="n">
        <v>670.81</v>
      </c>
      <c r="O200" s="3" t="n">
        <v>-18.4743</v>
      </c>
      <c r="P200" s="3" t="n">
        <v>179.35</v>
      </c>
      <c r="Q200" s="3" t="s">
        <v>547</v>
      </c>
      <c r="R200" s="3"/>
      <c r="S200" s="3" t="s">
        <v>146</v>
      </c>
      <c r="T200" s="5" t="n">
        <f aca="false">IF(C200="","",DATE(VALUE(MID(C200,7,4)),VALUE(MID(C200,4,2)),VALUE(MID(C200,1,2)))+TIME(VALUE(MID(C200,12,2)),VALUE(MID(C200,15,2)),0))</f>
        <v>43349.6590277778</v>
      </c>
      <c r="U200" s="3" t="str">
        <f aca="false">IFERROR(IF(ISNUMBER(VALUE(TRIM(MID(A200,FIND("-",A200)+1,FIND("km",A200)-FIND("-",A200)-1)))),"Distance + direction + city","Named-region"),"Named-region")</f>
        <v>Distance + direction + city</v>
      </c>
      <c r="V200" s="3" t="str">
        <f aca="false">LOWER(M200)</f>
        <v>mww</v>
      </c>
      <c r="W200" s="3" t="n">
        <f aca="false">COUNTIFS($A$2:$A$1001,A200,$C$2:$C$1001,C200)</f>
        <v>1</v>
      </c>
      <c r="X200" s="3" t="str">
        <f aca="false">IF(W200&gt;1,"Duplicate","Unique")</f>
        <v>Unique</v>
      </c>
      <c r="Y200" s="3" t="str">
        <f aca="false">IF(B200&lt;6.5,"&lt;6.5",IF(B200&lt;7,"6.5–6.9",IF(B200&lt;7.5,"7.0–7.4",IF(B200&lt;8,"7.5–7.9","8.0+"))))</f>
        <v>7.5–7.9</v>
      </c>
      <c r="Z200" s="3" t="n">
        <f aca="false">IF(T200="","",YEAR(T200))</f>
        <v>2018</v>
      </c>
    </row>
    <row r="201" customFormat="false" ht="13.8" hidden="false" customHeight="false" outlineLevel="0" collapsed="false">
      <c r="A201" s="3" t="s">
        <v>584</v>
      </c>
      <c r="B201" s="3" t="n">
        <v>6.6</v>
      </c>
      <c r="C201" s="6" t="s">
        <v>585</v>
      </c>
      <c r="D201" s="3" t="n">
        <v>8</v>
      </c>
      <c r="E201" s="3" t="n">
        <v>9</v>
      </c>
      <c r="F201" s="3" t="s">
        <v>95</v>
      </c>
      <c r="G201" s="3" t="n">
        <v>1</v>
      </c>
      <c r="H201" s="3" t="n">
        <v>1075</v>
      </c>
      <c r="I201" s="3" t="s">
        <v>22</v>
      </c>
      <c r="J201" s="3" t="n">
        <v>0</v>
      </c>
      <c r="K201" s="3" t="n">
        <v>1.13</v>
      </c>
      <c r="L201" s="3" t="n">
        <v>32</v>
      </c>
      <c r="M201" s="3" t="s">
        <v>23</v>
      </c>
      <c r="N201" s="3" t="n">
        <v>35</v>
      </c>
      <c r="O201" s="3" t="n">
        <v>42.6861</v>
      </c>
      <c r="P201" s="3" t="n">
        <v>141.929</v>
      </c>
      <c r="Q201" s="3" t="s">
        <v>586</v>
      </c>
      <c r="R201" s="3" t="s">
        <v>80</v>
      </c>
      <c r="S201" s="3" t="s">
        <v>322</v>
      </c>
      <c r="T201" s="5" t="n">
        <f aca="false">IF(C201="","",DATE(VALUE(MID(C201,7,4)),VALUE(MID(C201,4,2)),VALUE(MID(C201,1,2)))+TIME(VALUE(MID(C201,12,2)),VALUE(MID(C201,15,2)),0))</f>
        <v>43348.7548611111</v>
      </c>
      <c r="U201" s="3" t="str">
        <f aca="false">IFERROR(IF(ISNUMBER(VALUE(TRIM(MID(A201,FIND("-",A201)+1,FIND("km",A201)-FIND("-",A201)-1)))),"Distance + direction + city","Named-region"),"Named-region")</f>
        <v>Distance + direction + city</v>
      </c>
      <c r="V201" s="3" t="str">
        <f aca="false">LOWER(M201)</f>
        <v>mww</v>
      </c>
      <c r="W201" s="3" t="n">
        <f aca="false">COUNTIFS($A$2:$A$1001,A201,$C$2:$C$1001,C201)</f>
        <v>1</v>
      </c>
      <c r="X201" s="3" t="str">
        <f aca="false">IF(W201&gt;1,"Duplicate","Unique")</f>
        <v>Unique</v>
      </c>
      <c r="Y201" s="3" t="str">
        <f aca="false">IF(B201&lt;6.5,"&lt;6.5",IF(B201&lt;7,"6.5–6.9",IF(B201&lt;7.5,"7.0–7.4",IF(B201&lt;8,"7.5–7.9","8.0+"))))</f>
        <v>6.5–6.9</v>
      </c>
      <c r="Z201" s="3" t="n">
        <f aca="false">IF(T201="","",YEAR(T201))</f>
        <v>2018</v>
      </c>
    </row>
    <row r="202" customFormat="false" ht="13.8" hidden="false" customHeight="false" outlineLevel="0" collapsed="false">
      <c r="A202" s="3" t="s">
        <v>587</v>
      </c>
      <c r="B202" s="3" t="n">
        <v>7.1</v>
      </c>
      <c r="C202" s="3" t="s">
        <v>588</v>
      </c>
      <c r="D202" s="3" t="n">
        <v>2</v>
      </c>
      <c r="E202" s="3" t="n">
        <v>5</v>
      </c>
      <c r="F202" s="3" t="s">
        <v>21</v>
      </c>
      <c r="G202" s="3" t="n">
        <v>1</v>
      </c>
      <c r="H202" s="3" t="n">
        <v>776</v>
      </c>
      <c r="I202" s="3" t="s">
        <v>22</v>
      </c>
      <c r="J202" s="3" t="n">
        <v>0</v>
      </c>
      <c r="K202" s="3" t="n">
        <v>2.548</v>
      </c>
      <c r="L202" s="3" t="n">
        <v>23</v>
      </c>
      <c r="M202" s="3" t="s">
        <v>23</v>
      </c>
      <c r="N202" s="3" t="n">
        <v>21.43</v>
      </c>
      <c r="O202" s="3" t="n">
        <v>-22.0295</v>
      </c>
      <c r="P202" s="3" t="n">
        <v>170.126</v>
      </c>
      <c r="Q202" s="3" t="s">
        <v>211</v>
      </c>
      <c r="R202" s="3"/>
      <c r="S202" s="3"/>
      <c r="T202" s="5" t="n">
        <f aca="false">IF(C202="","",DATE(VALUE(MID(C202,7,4)),VALUE(MID(C202,4,2)),VALUE(MID(C202,1,2)))+TIME(VALUE(MID(C202,12,2)),VALUE(MID(C202,15,2)),0))</f>
        <v>43341.1604166667</v>
      </c>
      <c r="U202" s="3" t="str">
        <f aca="false">IFERROR(IF(ISNUMBER(VALUE(TRIM(MID(A202,FIND("-",A202)+1,FIND("km",A202)-FIND("-",A202)-1)))),"Distance + direction + city","Named-region"),"Named-region")</f>
        <v>Distance + direction + city</v>
      </c>
      <c r="V202" s="3" t="str">
        <f aca="false">LOWER(M202)</f>
        <v>mww</v>
      </c>
      <c r="W202" s="3" t="n">
        <f aca="false">COUNTIFS($A$2:$A$1001,A202,$C$2:$C$1001,C202)</f>
        <v>1</v>
      </c>
      <c r="X202" s="3" t="str">
        <f aca="false">IF(W202&gt;1,"Duplicate","Unique")</f>
        <v>Unique</v>
      </c>
      <c r="Y202" s="3" t="str">
        <f aca="false">IF(B202&lt;6.5,"&lt;6.5",IF(B202&lt;7,"6.5–6.9",IF(B202&lt;7.5,"7.0–7.4",IF(B202&lt;8,"7.5–7.9","8.0+"))))</f>
        <v>7.0–7.4</v>
      </c>
      <c r="Z202" s="3" t="n">
        <f aca="false">IF(T202="","",YEAR(T202))</f>
        <v>2018</v>
      </c>
    </row>
    <row r="203" customFormat="false" ht="13.8" hidden="false" customHeight="false" outlineLevel="0" collapsed="false">
      <c r="A203" s="3" t="s">
        <v>589</v>
      </c>
      <c r="B203" s="3" t="n">
        <v>7.1</v>
      </c>
      <c r="C203" s="3" t="s">
        <v>590</v>
      </c>
      <c r="D203" s="3" t="n">
        <v>0</v>
      </c>
      <c r="E203" s="3" t="n">
        <v>3</v>
      </c>
      <c r="F203" s="3" t="s">
        <v>21</v>
      </c>
      <c r="G203" s="3" t="n">
        <v>0</v>
      </c>
      <c r="H203" s="3" t="n">
        <v>776</v>
      </c>
      <c r="I203" s="3" t="s">
        <v>22</v>
      </c>
      <c r="J203" s="3" t="n">
        <v>0</v>
      </c>
      <c r="K203" s="3" t="n">
        <v>3.77</v>
      </c>
      <c r="L203" s="3" t="n">
        <v>12</v>
      </c>
      <c r="M203" s="3" t="s">
        <v>23</v>
      </c>
      <c r="N203" s="3" t="n">
        <v>630</v>
      </c>
      <c r="O203" s="3" t="n">
        <v>-11.0355</v>
      </c>
      <c r="P203" s="3" t="n">
        <v>-70.8284</v>
      </c>
      <c r="Q203" s="3" t="s">
        <v>591</v>
      </c>
      <c r="R203" s="3" t="s">
        <v>33</v>
      </c>
      <c r="S203" s="3" t="s">
        <v>199</v>
      </c>
      <c r="T203" s="5" t="n">
        <f aca="false">IF(C203="","",DATE(VALUE(MID(C203,7,4)),VALUE(MID(C203,4,2)),VALUE(MID(C203,1,2)))+TIME(VALUE(MID(C203,12,2)),VALUE(MID(C203,15,2)),0))</f>
        <v>43336.3777777778</v>
      </c>
      <c r="U203" s="3" t="str">
        <f aca="false">IFERROR(IF(ISNUMBER(VALUE(TRIM(MID(A203,FIND("-",A203)+1,FIND("km",A203)-FIND("-",A203)-1)))),"Distance + direction + city","Named-region"),"Named-region")</f>
        <v>Distance + direction + city</v>
      </c>
      <c r="V203" s="3" t="str">
        <f aca="false">LOWER(M203)</f>
        <v>mww</v>
      </c>
      <c r="W203" s="3" t="n">
        <f aca="false">COUNTIFS($A$2:$A$1001,A203,$C$2:$C$1001,C203)</f>
        <v>1</v>
      </c>
      <c r="X203" s="3" t="str">
        <f aca="false">IF(W203&gt;1,"Duplicate","Unique")</f>
        <v>Unique</v>
      </c>
      <c r="Y203" s="3" t="str">
        <f aca="false">IF(B203&lt;6.5,"&lt;6.5",IF(B203&lt;7,"6.5–6.9",IF(B203&lt;7.5,"7.0–7.4",IF(B203&lt;8,"7.5–7.9","8.0+"))))</f>
        <v>7.0–7.4</v>
      </c>
      <c r="Z203" s="3" t="n">
        <f aca="false">IF(T203="","",YEAR(T203))</f>
        <v>2018</v>
      </c>
    </row>
    <row r="204" customFormat="false" ht="13.8" hidden="false" customHeight="false" outlineLevel="0" collapsed="false">
      <c r="A204" s="3" t="s">
        <v>592</v>
      </c>
      <c r="B204" s="3" t="n">
        <v>6.5</v>
      </c>
      <c r="C204" s="3" t="s">
        <v>593</v>
      </c>
      <c r="D204" s="3" t="n">
        <v>6</v>
      </c>
      <c r="E204" s="3" t="n">
        <v>7</v>
      </c>
      <c r="F204" s="3" t="s">
        <v>21</v>
      </c>
      <c r="G204" s="3" t="n">
        <v>1</v>
      </c>
      <c r="H204" s="3" t="n">
        <v>652</v>
      </c>
      <c r="I204" s="3" t="s">
        <v>22</v>
      </c>
      <c r="J204" s="3" t="n">
        <v>0</v>
      </c>
      <c r="K204" s="3" t="n">
        <v>4.797</v>
      </c>
      <c r="L204" s="3" t="n">
        <v>10</v>
      </c>
      <c r="M204" s="3" t="s">
        <v>23</v>
      </c>
      <c r="N204" s="3" t="n">
        <v>9</v>
      </c>
      <c r="O204" s="3" t="n">
        <v>-16.0315</v>
      </c>
      <c r="P204" s="3" t="n">
        <v>168.143</v>
      </c>
      <c r="Q204" s="3" t="s">
        <v>472</v>
      </c>
      <c r="R204" s="3"/>
      <c r="S204" s="3" t="s">
        <v>25</v>
      </c>
      <c r="T204" s="5" t="n">
        <f aca="false">IF(C204="","",DATE(VALUE(MID(C204,7,4)),VALUE(MID(C204,4,2)),VALUE(MID(C204,1,2)))+TIME(VALUE(MID(C204,12,2)),VALUE(MID(C204,15,2)),0))</f>
        <v>43333.9388888889</v>
      </c>
      <c r="U204" s="3" t="str">
        <f aca="false">IFERROR(IF(ISNUMBER(VALUE(TRIM(MID(A204,FIND("-",A204)+1,FIND("km",A204)-FIND("-",A204)-1)))),"Distance + direction + city","Named-region"),"Named-region")</f>
        <v>Distance + direction + city</v>
      </c>
      <c r="V204" s="3" t="str">
        <f aca="false">LOWER(M204)</f>
        <v>mww</v>
      </c>
      <c r="W204" s="3" t="n">
        <f aca="false">COUNTIFS($A$2:$A$1001,A204,$C$2:$C$1001,C204)</f>
        <v>1</v>
      </c>
      <c r="X204" s="3" t="str">
        <f aca="false">IF(W204&gt;1,"Duplicate","Unique")</f>
        <v>Unique</v>
      </c>
      <c r="Y204" s="3" t="str">
        <f aca="false">IF(B204&lt;6.5,"&lt;6.5",IF(B204&lt;7,"6.5–6.9",IF(B204&lt;7.5,"7.0–7.4",IF(B204&lt;8,"7.5–7.9","8.0+"))))</f>
        <v>6.5–6.9</v>
      </c>
      <c r="Z204" s="3" t="n">
        <f aca="false">IF(T204="","",YEAR(T204))</f>
        <v>2018</v>
      </c>
    </row>
    <row r="205" customFormat="false" ht="13.8" hidden="false" customHeight="false" outlineLevel="0" collapsed="false">
      <c r="A205" s="3" t="s">
        <v>594</v>
      </c>
      <c r="B205" s="3" t="n">
        <v>7.3</v>
      </c>
      <c r="C205" s="3" t="s">
        <v>595</v>
      </c>
      <c r="D205" s="3" t="n">
        <v>8</v>
      </c>
      <c r="E205" s="3" t="n">
        <v>6</v>
      </c>
      <c r="F205" s="3" t="s">
        <v>28</v>
      </c>
      <c r="G205" s="3" t="n">
        <v>1</v>
      </c>
      <c r="H205" s="3" t="n">
        <v>1570</v>
      </c>
      <c r="I205" s="3" t="s">
        <v>22</v>
      </c>
      <c r="J205" s="3" t="n">
        <v>0</v>
      </c>
      <c r="K205" s="3" t="n">
        <v>1.822</v>
      </c>
      <c r="L205" s="3" t="n">
        <v>15</v>
      </c>
      <c r="M205" s="3" t="s">
        <v>23</v>
      </c>
      <c r="N205" s="3" t="n">
        <v>146.82</v>
      </c>
      <c r="O205" s="3" t="n">
        <v>10.7731</v>
      </c>
      <c r="P205" s="3" t="n">
        <v>-62.9019</v>
      </c>
      <c r="Q205" s="3" t="s">
        <v>596</v>
      </c>
      <c r="R205" s="3"/>
      <c r="S205" s="3" t="s">
        <v>597</v>
      </c>
      <c r="T205" s="5" t="n">
        <f aca="false">IF(C205="","",DATE(VALUE(MID(C205,7,4)),VALUE(MID(C205,4,2)),VALUE(MID(C205,1,2)))+TIME(VALUE(MID(C205,12,2)),VALUE(MID(C205,15,2)),0))</f>
        <v>43333.8965277778</v>
      </c>
      <c r="U205" s="3" t="str">
        <f aca="false">IFERROR(IF(ISNUMBER(VALUE(TRIM(MID(A205,FIND("-",A205)+1,FIND("km",A205)-FIND("-",A205)-1)))),"Distance + direction + city","Named-region"),"Named-region")</f>
        <v>Distance + direction + city</v>
      </c>
      <c r="V205" s="3" t="str">
        <f aca="false">LOWER(M205)</f>
        <v>mww</v>
      </c>
      <c r="W205" s="3" t="n">
        <f aca="false">COUNTIFS($A$2:$A$1001,A205,$C$2:$C$1001,C205)</f>
        <v>1</v>
      </c>
      <c r="X205" s="3" t="str">
        <f aca="false">IF(W205&gt;1,"Duplicate","Unique")</f>
        <v>Unique</v>
      </c>
      <c r="Y205" s="3" t="str">
        <f aca="false">IF(B205&lt;6.5,"&lt;6.5",IF(B205&lt;7,"6.5–6.9",IF(B205&lt;7.5,"7.0–7.4",IF(B205&lt;8,"7.5–7.9","8.0+"))))</f>
        <v>7.0–7.4</v>
      </c>
      <c r="Z205" s="3" t="n">
        <f aca="false">IF(T205="","",YEAR(T205))</f>
        <v>2018</v>
      </c>
    </row>
    <row r="206" customFormat="false" ht="13.8" hidden="false" customHeight="false" outlineLevel="0" collapsed="false">
      <c r="A206" s="3" t="s">
        <v>598</v>
      </c>
      <c r="B206" s="3" t="n">
        <v>6.9</v>
      </c>
      <c r="C206" s="3" t="s">
        <v>599</v>
      </c>
      <c r="D206" s="3" t="n">
        <v>7</v>
      </c>
      <c r="E206" s="3" t="n">
        <v>7</v>
      </c>
      <c r="F206" s="3" t="s">
        <v>21</v>
      </c>
      <c r="G206" s="3" t="n">
        <v>0</v>
      </c>
      <c r="H206" s="3" t="n">
        <v>1206</v>
      </c>
      <c r="I206" s="3" t="s">
        <v>22</v>
      </c>
      <c r="J206" s="3" t="n">
        <v>0</v>
      </c>
      <c r="K206" s="3" t="n">
        <v>2.453</v>
      </c>
      <c r="L206" s="3" t="n">
        <v>31</v>
      </c>
      <c r="M206" s="3" t="s">
        <v>23</v>
      </c>
      <c r="N206" s="3" t="n">
        <v>21</v>
      </c>
      <c r="O206" s="3" t="n">
        <v>-8.319</v>
      </c>
      <c r="P206" s="3" t="n">
        <v>116.627</v>
      </c>
      <c r="Q206" s="3" t="s">
        <v>600</v>
      </c>
      <c r="R206" s="3"/>
      <c r="S206" s="3" t="s">
        <v>68</v>
      </c>
      <c r="T206" s="5" t="n">
        <f aca="false">IF(C206="","",DATE(VALUE(MID(C206,7,4)),VALUE(MID(C206,4,2)),VALUE(MID(C206,1,2)))+TIME(VALUE(MID(C206,12,2)),VALUE(MID(C206,15,2)),0))</f>
        <v>43331.6222222222</v>
      </c>
      <c r="U206" s="3" t="str">
        <f aca="false">IFERROR(IF(ISNUMBER(VALUE(TRIM(MID(A206,FIND("-",A206)+1,FIND("km",A206)-FIND("-",A206)-1)))),"Distance + direction + city","Named-region"),"Named-region")</f>
        <v>Distance + direction + city</v>
      </c>
      <c r="V206" s="3" t="str">
        <f aca="false">LOWER(M206)</f>
        <v>mww</v>
      </c>
      <c r="W206" s="3" t="n">
        <f aca="false">COUNTIFS($A$2:$A$1001,A206,$C$2:$C$1001,C206)</f>
        <v>1</v>
      </c>
      <c r="X206" s="3" t="str">
        <f aca="false">IF(W206&gt;1,"Duplicate","Unique")</f>
        <v>Unique</v>
      </c>
      <c r="Y206" s="3" t="str">
        <f aca="false">IF(B206&lt;6.5,"&lt;6.5",IF(B206&lt;7,"6.5–6.9",IF(B206&lt;7.5,"7.0–7.4",IF(B206&lt;8,"7.5–7.9","8.0+"))))</f>
        <v>6.5–6.9</v>
      </c>
      <c r="Z206" s="3" t="n">
        <f aca="false">IF(T206="","",YEAR(T206))</f>
        <v>2018</v>
      </c>
    </row>
    <row r="207" customFormat="false" ht="13.8" hidden="false" customHeight="false" outlineLevel="0" collapsed="false">
      <c r="A207" s="3" t="s">
        <v>601</v>
      </c>
      <c r="B207" s="3" t="n">
        <v>8.2</v>
      </c>
      <c r="C207" s="3" t="s">
        <v>602</v>
      </c>
      <c r="D207" s="3" t="n">
        <v>5</v>
      </c>
      <c r="E207" s="3" t="n">
        <v>4</v>
      </c>
      <c r="F207" s="3" t="s">
        <v>21</v>
      </c>
      <c r="G207" s="3" t="n">
        <v>1</v>
      </c>
      <c r="H207" s="3" t="n">
        <v>1050</v>
      </c>
      <c r="I207" s="3" t="s">
        <v>22</v>
      </c>
      <c r="J207" s="3" t="n">
        <v>0</v>
      </c>
      <c r="K207" s="3" t="n">
        <v>3.63</v>
      </c>
      <c r="L207" s="3" t="n">
        <v>13</v>
      </c>
      <c r="M207" s="3" t="s">
        <v>23</v>
      </c>
      <c r="N207" s="3" t="n">
        <v>600</v>
      </c>
      <c r="O207" s="3" t="n">
        <v>-18.1125</v>
      </c>
      <c r="P207" s="3" t="n">
        <v>-178.153</v>
      </c>
      <c r="Q207" s="3" t="s">
        <v>547</v>
      </c>
      <c r="R207" s="3"/>
      <c r="S207" s="3" t="s">
        <v>146</v>
      </c>
      <c r="T207" s="5" t="n">
        <f aca="false">IF(C207="","",DATE(VALUE(MID(C207,7,4)),VALUE(MID(C207,4,2)),VALUE(MID(C207,1,2)))+TIME(VALUE(MID(C207,12,2)),VALUE(MID(C207,15,2)),0))</f>
        <v>43331.0131944444</v>
      </c>
      <c r="U207" s="3" t="str">
        <f aca="false">IFERROR(IF(ISNUMBER(VALUE(TRIM(MID(A207,FIND("-",A207)+1,FIND("km",A207)-FIND("-",A207)-1)))),"Distance + direction + city","Named-region"),"Named-region")</f>
        <v>Distance + direction + city</v>
      </c>
      <c r="V207" s="3" t="str">
        <f aca="false">LOWER(M207)</f>
        <v>mww</v>
      </c>
      <c r="W207" s="3" t="n">
        <f aca="false">COUNTIFS($A$2:$A$1001,A207,$C$2:$C$1001,C207)</f>
        <v>1</v>
      </c>
      <c r="X207" s="3" t="str">
        <f aca="false">IF(W207&gt;1,"Duplicate","Unique")</f>
        <v>Unique</v>
      </c>
      <c r="Y207" s="3" t="str">
        <f aca="false">IF(B207&lt;6.5,"&lt;6.5",IF(B207&lt;7,"6.5–6.9",IF(B207&lt;7.5,"7.0–7.4",IF(B207&lt;8,"7.5–7.9","8.0+"))))</f>
        <v>8.0+</v>
      </c>
      <c r="Z207" s="3" t="n">
        <f aca="false">IF(T207="","",YEAR(T207))</f>
        <v>2018</v>
      </c>
    </row>
    <row r="208" customFormat="false" ht="13.8" hidden="false" customHeight="false" outlineLevel="0" collapsed="false">
      <c r="A208" s="3" t="s">
        <v>603</v>
      </c>
      <c r="B208" s="3" t="n">
        <v>6.5</v>
      </c>
      <c r="C208" s="3" t="s">
        <v>604</v>
      </c>
      <c r="D208" s="3" t="n">
        <v>5</v>
      </c>
      <c r="E208" s="3" t="n">
        <v>3</v>
      </c>
      <c r="F208" s="3" t="s">
        <v>21</v>
      </c>
      <c r="G208" s="3" t="n">
        <v>0</v>
      </c>
      <c r="H208" s="3" t="n">
        <v>743</v>
      </c>
      <c r="I208" s="3" t="s">
        <v>22</v>
      </c>
      <c r="J208" s="3" t="n">
        <v>0</v>
      </c>
      <c r="K208" s="3" t="n">
        <v>2.719</v>
      </c>
      <c r="L208" s="3" t="n">
        <v>23</v>
      </c>
      <c r="M208" s="3" t="s">
        <v>23</v>
      </c>
      <c r="N208" s="3" t="n">
        <v>529</v>
      </c>
      <c r="O208" s="3" t="n">
        <v>-7.3718</v>
      </c>
      <c r="P208" s="3" t="n">
        <v>119.802</v>
      </c>
      <c r="Q208" s="3" t="s">
        <v>605</v>
      </c>
      <c r="R208" s="3"/>
      <c r="S208" s="3" t="s">
        <v>68</v>
      </c>
      <c r="T208" s="5" t="n">
        <f aca="false">IF(C208="","",DATE(VALUE(MID(C208,7,4)),VALUE(MID(C208,4,2)),VALUE(MID(C208,1,2)))+TIME(VALUE(MID(C208,12,2)),VALUE(MID(C208,15,2)),0))</f>
        <v>43329.6493055556</v>
      </c>
      <c r="U208" s="3" t="str">
        <f aca="false">IFERROR(IF(ISNUMBER(VALUE(TRIM(MID(A208,FIND("-",A208)+1,FIND("km",A208)-FIND("-",A208)-1)))),"Distance + direction + city","Named-region"),"Named-region")</f>
        <v>Distance + direction + city</v>
      </c>
      <c r="V208" s="3" t="str">
        <f aca="false">LOWER(M208)</f>
        <v>mww</v>
      </c>
      <c r="W208" s="3" t="n">
        <f aca="false">COUNTIFS($A$2:$A$1001,A208,$C$2:$C$1001,C208)</f>
        <v>1</v>
      </c>
      <c r="X208" s="3" t="str">
        <f aca="false">IF(W208&gt;1,"Duplicate","Unique")</f>
        <v>Unique</v>
      </c>
      <c r="Y208" s="3" t="str">
        <f aca="false">IF(B208&lt;6.5,"&lt;6.5",IF(B208&lt;7,"6.5–6.9",IF(B208&lt;7.5,"7.0–7.4",IF(B208&lt;8,"7.5–7.9","8.0+"))))</f>
        <v>6.5–6.9</v>
      </c>
      <c r="Z208" s="3" t="n">
        <f aca="false">IF(T208="","",YEAR(T208))</f>
        <v>2018</v>
      </c>
    </row>
    <row r="209" customFormat="false" ht="13.8" hidden="false" customHeight="false" outlineLevel="0" collapsed="false">
      <c r="A209" s="3" t="s">
        <v>606</v>
      </c>
      <c r="B209" s="3" t="n">
        <v>6.5</v>
      </c>
      <c r="C209" s="3" t="s">
        <v>607</v>
      </c>
      <c r="D209" s="3" t="n">
        <v>6</v>
      </c>
      <c r="E209" s="3" t="n">
        <v>6</v>
      </c>
      <c r="F209" s="3" t="s">
        <v>21</v>
      </c>
      <c r="G209" s="3" t="n">
        <v>1</v>
      </c>
      <c r="H209" s="3" t="n">
        <v>655</v>
      </c>
      <c r="I209" s="3" t="s">
        <v>22</v>
      </c>
      <c r="J209" s="3" t="n">
        <v>0</v>
      </c>
      <c r="K209" s="3" t="n">
        <v>0.576</v>
      </c>
      <c r="L209" s="3" t="n">
        <v>22</v>
      </c>
      <c r="M209" s="3" t="s">
        <v>23</v>
      </c>
      <c r="N209" s="3" t="n">
        <v>33.93</v>
      </c>
      <c r="O209" s="3" t="n">
        <v>51.4234</v>
      </c>
      <c r="P209" s="3" t="n">
        <v>-178.026</v>
      </c>
      <c r="Q209" s="3" t="s">
        <v>608</v>
      </c>
      <c r="R209" s="3" t="s">
        <v>164</v>
      </c>
      <c r="S209" s="3" t="s">
        <v>261</v>
      </c>
      <c r="T209" s="5" t="n">
        <f aca="false">IF(C209="","",DATE(VALUE(MID(C209,7,4)),VALUE(MID(C209,4,2)),VALUE(MID(C209,1,2)))+TIME(VALUE(MID(C209,12,2)),VALUE(MID(C209,15,2)),0))</f>
        <v>43327.9138888889</v>
      </c>
      <c r="U209" s="3" t="str">
        <f aca="false">IFERROR(IF(ISNUMBER(VALUE(TRIM(MID(A209,FIND("-",A209)+1,FIND("km",A209)-FIND("-",A209)-1)))),"Distance + direction + city","Named-region"),"Named-region")</f>
        <v>Distance + direction + city</v>
      </c>
      <c r="V209" s="3" t="str">
        <f aca="false">LOWER(M209)</f>
        <v>mww</v>
      </c>
      <c r="W209" s="3" t="n">
        <f aca="false">COUNTIFS($A$2:$A$1001,A209,$C$2:$C$1001,C209)</f>
        <v>1</v>
      </c>
      <c r="X209" s="3" t="str">
        <f aca="false">IF(W209&gt;1,"Duplicate","Unique")</f>
        <v>Unique</v>
      </c>
      <c r="Y209" s="3" t="str">
        <f aca="false">IF(B209&lt;6.5,"&lt;6.5",IF(B209&lt;7,"6.5–6.9",IF(B209&lt;7.5,"7.0–7.4",IF(B209&lt;8,"7.5–7.9","8.0+"))))</f>
        <v>6.5–6.9</v>
      </c>
      <c r="Z209" s="3" t="n">
        <f aca="false">IF(T209="","",YEAR(T209))</f>
        <v>2018</v>
      </c>
    </row>
    <row r="210" customFormat="false" ht="13.8" hidden="false" customHeight="false" outlineLevel="0" collapsed="false">
      <c r="A210" s="3" t="s">
        <v>609</v>
      </c>
      <c r="B210" s="3" t="n">
        <v>6.9</v>
      </c>
      <c r="C210" s="6" t="s">
        <v>610</v>
      </c>
      <c r="D210" s="3" t="n">
        <v>9</v>
      </c>
      <c r="E210" s="3" t="n">
        <v>8</v>
      </c>
      <c r="F210" s="3" t="s">
        <v>95</v>
      </c>
      <c r="G210" s="3" t="n">
        <v>0</v>
      </c>
      <c r="H210" s="3" t="n">
        <v>1704</v>
      </c>
      <c r="I210" s="3" t="s">
        <v>22</v>
      </c>
      <c r="J210" s="3" t="n">
        <v>0</v>
      </c>
      <c r="K210" s="3" t="n">
        <v>2.271</v>
      </c>
      <c r="L210" s="3" t="n">
        <v>15</v>
      </c>
      <c r="M210" s="3" t="s">
        <v>23</v>
      </c>
      <c r="N210" s="3" t="n">
        <v>34</v>
      </c>
      <c r="O210" s="3" t="n">
        <v>-8.2581</v>
      </c>
      <c r="P210" s="3" t="n">
        <v>116.438</v>
      </c>
      <c r="Q210" s="3" t="s">
        <v>600</v>
      </c>
      <c r="R210" s="3"/>
      <c r="S210" s="3" t="s">
        <v>68</v>
      </c>
      <c r="T210" s="5" t="n">
        <f aca="false">IF(C210="","",DATE(VALUE(MID(C210,7,4)),VALUE(MID(C210,4,2)),VALUE(MID(C210,1,2)))+TIME(VALUE(MID(C210,12,2)),VALUE(MID(C210,15,2)),0))</f>
        <v>43317.4902777778</v>
      </c>
      <c r="U210" s="3" t="str">
        <f aca="false">IFERROR(IF(ISNUMBER(VALUE(TRIM(MID(A210,FIND("-",A210)+1,FIND("km",A210)-FIND("-",A210)-1)))),"Distance + direction + city","Named-region"),"Named-region")</f>
        <v>Distance + direction + city</v>
      </c>
      <c r="V210" s="3" t="str">
        <f aca="false">LOWER(M210)</f>
        <v>mww</v>
      </c>
      <c r="W210" s="3" t="n">
        <f aca="false">COUNTIFS($A$2:$A$1001,A210,$C$2:$C$1001,C210)</f>
        <v>1</v>
      </c>
      <c r="X210" s="3" t="str">
        <f aca="false">IF(W210&gt;1,"Duplicate","Unique")</f>
        <v>Unique</v>
      </c>
      <c r="Y210" s="3" t="str">
        <f aca="false">IF(B210&lt;6.5,"&lt;6.5",IF(B210&lt;7,"6.5–6.9",IF(B210&lt;7.5,"7.0–7.4",IF(B210&lt;8,"7.5–7.9","8.0+"))))</f>
        <v>6.5–6.9</v>
      </c>
      <c r="Z210" s="3" t="n">
        <f aca="false">IF(T210="","",YEAR(T210))</f>
        <v>2018</v>
      </c>
    </row>
    <row r="211" customFormat="false" ht="13.8" hidden="false" customHeight="false" outlineLevel="0" collapsed="false">
      <c r="A211" s="3" t="s">
        <v>611</v>
      </c>
      <c r="B211" s="3" t="n">
        <v>6.9</v>
      </c>
      <c r="C211" s="6" t="s">
        <v>612</v>
      </c>
      <c r="D211" s="3" t="n">
        <v>7</v>
      </c>
      <c r="E211" s="3" t="n">
        <v>8</v>
      </c>
      <c r="F211" s="3" t="s">
        <v>28</v>
      </c>
      <c r="G211" s="3" t="n">
        <v>1</v>
      </c>
      <c r="H211" s="3" t="n">
        <v>1392</v>
      </c>
      <c r="I211" s="3" t="s">
        <v>613</v>
      </c>
      <c r="J211" s="3" t="n">
        <v>63</v>
      </c>
      <c r="K211" s="3" t="n">
        <v>0.11</v>
      </c>
      <c r="L211" s="3" t="n">
        <v>210</v>
      </c>
      <c r="M211" s="3" t="s">
        <v>485</v>
      </c>
      <c r="N211" s="3" t="n">
        <v>5.81</v>
      </c>
      <c r="O211" s="3" t="n">
        <v>19.3182</v>
      </c>
      <c r="P211" s="3" t="n">
        <v>-155</v>
      </c>
      <c r="Q211" s="3" t="s">
        <v>614</v>
      </c>
      <c r="R211" s="3"/>
      <c r="S211" s="3" t="s">
        <v>261</v>
      </c>
      <c r="T211" s="5" t="n">
        <f aca="false">IF(C211="","",DATE(VALUE(MID(C211,7,4)),VALUE(MID(C211,4,2)),VALUE(MID(C211,1,2)))+TIME(VALUE(MID(C211,12,2)),VALUE(MID(C211,15,2)),0))</f>
        <v>43224.9388888889</v>
      </c>
      <c r="U211" s="3" t="str">
        <f aca="false">IFERROR(IF(ISNUMBER(VALUE(TRIM(MID(A211,FIND("-",A211)+1,FIND("km",A211)-FIND("-",A211)-1)))),"Distance + direction + city","Named-region"),"Named-region")</f>
        <v>Distance + direction + city</v>
      </c>
      <c r="V211" s="3" t="str">
        <f aca="false">LOWER(M211)</f>
        <v>mw</v>
      </c>
      <c r="W211" s="3" t="n">
        <f aca="false">COUNTIFS($A$2:$A$1001,A211,$C$2:$C$1001,C211)</f>
        <v>1</v>
      </c>
      <c r="X211" s="3" t="str">
        <f aca="false">IF(W211&gt;1,"Duplicate","Unique")</f>
        <v>Unique</v>
      </c>
      <c r="Y211" s="3" t="str">
        <f aca="false">IF(B211&lt;6.5,"&lt;6.5",IF(B211&lt;7,"6.5–6.9",IF(B211&lt;7.5,"7.0–7.4",IF(B211&lt;8,"7.5–7.9","8.0+"))))</f>
        <v>6.5–6.9</v>
      </c>
      <c r="Z211" s="3" t="n">
        <f aca="false">IF(T211="","",YEAR(T211))</f>
        <v>2018</v>
      </c>
    </row>
    <row r="212" customFormat="false" ht="13.8" hidden="false" customHeight="false" outlineLevel="0" collapsed="false">
      <c r="A212" s="3" t="s">
        <v>615</v>
      </c>
      <c r="B212" s="3" t="n">
        <v>6.8</v>
      </c>
      <c r="C212" s="6" t="s">
        <v>616</v>
      </c>
      <c r="D212" s="3" t="n">
        <v>5</v>
      </c>
      <c r="E212" s="3" t="n">
        <v>3</v>
      </c>
      <c r="F212" s="3" t="s">
        <v>21</v>
      </c>
      <c r="G212" s="3" t="n">
        <v>0</v>
      </c>
      <c r="H212" s="3" t="n">
        <v>733</v>
      </c>
      <c r="I212" s="3" t="s">
        <v>22</v>
      </c>
      <c r="J212" s="3" t="n">
        <v>0</v>
      </c>
      <c r="K212" s="3" t="n">
        <v>5.32</v>
      </c>
      <c r="L212" s="3" t="n">
        <v>16</v>
      </c>
      <c r="M212" s="3" t="s">
        <v>23</v>
      </c>
      <c r="N212" s="3" t="n">
        <v>559</v>
      </c>
      <c r="O212" s="3" t="n">
        <v>-20.6588</v>
      </c>
      <c r="P212" s="3" t="n">
        <v>-63.0058</v>
      </c>
      <c r="Q212" s="3" t="s">
        <v>617</v>
      </c>
      <c r="R212" s="3" t="s">
        <v>33</v>
      </c>
      <c r="S212" s="3" t="s">
        <v>618</v>
      </c>
      <c r="T212" s="5" t="n">
        <f aca="false">IF(C212="","",DATE(VALUE(MID(C212,7,4)),VALUE(MID(C212,4,2)),VALUE(MID(C212,1,2)))+TIME(VALUE(MID(C212,12,2)),VALUE(MID(C212,15,2)),0))</f>
        <v>43192.5694444444</v>
      </c>
      <c r="U212" s="3" t="str">
        <f aca="false">IFERROR(IF(ISNUMBER(VALUE(TRIM(MID(A212,FIND("-",A212)+1,FIND("km",A212)-FIND("-",A212)-1)))),"Distance + direction + city","Named-region"),"Named-region")</f>
        <v>Distance + direction + city</v>
      </c>
      <c r="V212" s="3" t="str">
        <f aca="false">LOWER(M212)</f>
        <v>mww</v>
      </c>
      <c r="W212" s="3" t="n">
        <f aca="false">COUNTIFS($A$2:$A$1001,A212,$C$2:$C$1001,C212)</f>
        <v>1</v>
      </c>
      <c r="X212" s="3" t="str">
        <f aca="false">IF(W212&gt;1,"Duplicate","Unique")</f>
        <v>Unique</v>
      </c>
      <c r="Y212" s="3" t="str">
        <f aca="false">IF(B212&lt;6.5,"&lt;6.5",IF(B212&lt;7,"6.5–6.9",IF(B212&lt;7.5,"7.0–7.4",IF(B212&lt;8,"7.5–7.9","8.0+"))))</f>
        <v>6.5–6.9</v>
      </c>
      <c r="Z212" s="3" t="n">
        <f aca="false">IF(T212="","",YEAR(T212))</f>
        <v>2018</v>
      </c>
    </row>
    <row r="213" customFormat="false" ht="13.8" hidden="false" customHeight="false" outlineLevel="0" collapsed="false">
      <c r="A213" s="3" t="s">
        <v>619</v>
      </c>
      <c r="B213" s="3" t="n">
        <v>6.9</v>
      </c>
      <c r="C213" s="3" t="s">
        <v>620</v>
      </c>
      <c r="D213" s="3" t="n">
        <v>9</v>
      </c>
      <c r="E213" s="3" t="n">
        <v>6</v>
      </c>
      <c r="F213" s="3" t="s">
        <v>21</v>
      </c>
      <c r="G213" s="3" t="n">
        <v>1</v>
      </c>
      <c r="H213" s="3" t="n">
        <v>741</v>
      </c>
      <c r="I213" s="3" t="s">
        <v>22</v>
      </c>
      <c r="J213" s="3" t="n">
        <v>0</v>
      </c>
      <c r="K213" s="3" t="n">
        <v>1.487</v>
      </c>
      <c r="L213" s="3" t="n">
        <v>18</v>
      </c>
      <c r="M213" s="3" t="s">
        <v>23</v>
      </c>
      <c r="N213" s="3" t="n">
        <v>35</v>
      </c>
      <c r="O213" s="3" t="n">
        <v>-5.5321</v>
      </c>
      <c r="P213" s="3" t="n">
        <v>151.5</v>
      </c>
      <c r="Q213" s="3" t="s">
        <v>107</v>
      </c>
      <c r="R213" s="3"/>
      <c r="S213" s="3" t="s">
        <v>85</v>
      </c>
      <c r="T213" s="5" t="n">
        <f aca="false">IF(C213="","",DATE(VALUE(MID(C213,7,4)),VALUE(MID(C213,4,2)),VALUE(MID(C213,1,2)))+TIME(VALUE(MID(C213,12,2)),VALUE(MID(C213,15,2)),0))</f>
        <v>43188.8923611111</v>
      </c>
      <c r="U213" s="3" t="str">
        <f aca="false">IFERROR(IF(ISNUMBER(VALUE(TRIM(MID(A213,FIND("-",A213)+1,FIND("km",A213)-FIND("-",A213)-1)))),"Distance + direction + city","Named-region"),"Named-region")</f>
        <v>Distance + direction + city</v>
      </c>
      <c r="V213" s="3" t="str">
        <f aca="false">LOWER(M213)</f>
        <v>mww</v>
      </c>
      <c r="W213" s="3" t="n">
        <f aca="false">COUNTIFS($A$2:$A$1001,A213,$C$2:$C$1001,C213)</f>
        <v>1</v>
      </c>
      <c r="X213" s="3" t="str">
        <f aca="false">IF(W213&gt;1,"Duplicate","Unique")</f>
        <v>Unique</v>
      </c>
      <c r="Y213" s="3" t="str">
        <f aca="false">IF(B213&lt;6.5,"&lt;6.5",IF(B213&lt;7,"6.5–6.9",IF(B213&lt;7.5,"7.0–7.4",IF(B213&lt;8,"7.5–7.9","8.0+"))))</f>
        <v>6.5–6.9</v>
      </c>
      <c r="Z213" s="3" t="n">
        <f aca="false">IF(T213="","",YEAR(T213))</f>
        <v>2018</v>
      </c>
    </row>
    <row r="214" customFormat="false" ht="13.8" hidden="false" customHeight="false" outlineLevel="0" collapsed="false">
      <c r="A214" s="3" t="s">
        <v>621</v>
      </c>
      <c r="B214" s="3" t="n">
        <v>6.7</v>
      </c>
      <c r="C214" s="3" t="s">
        <v>622</v>
      </c>
      <c r="D214" s="3" t="n">
        <v>5</v>
      </c>
      <c r="E214" s="3" t="n">
        <v>6</v>
      </c>
      <c r="F214" s="3" t="s">
        <v>21</v>
      </c>
      <c r="G214" s="3" t="n">
        <v>1</v>
      </c>
      <c r="H214" s="3" t="n">
        <v>696</v>
      </c>
      <c r="I214" s="3" t="s">
        <v>22</v>
      </c>
      <c r="J214" s="3" t="n">
        <v>0</v>
      </c>
      <c r="K214" s="3" t="n">
        <v>1.507</v>
      </c>
      <c r="L214" s="3" t="n">
        <v>15</v>
      </c>
      <c r="M214" s="3" t="s">
        <v>23</v>
      </c>
      <c r="N214" s="3" t="n">
        <v>40</v>
      </c>
      <c r="O214" s="3" t="n">
        <v>-5.5024</v>
      </c>
      <c r="P214" s="3" t="n">
        <v>151.402</v>
      </c>
      <c r="Q214" s="3" t="s">
        <v>107</v>
      </c>
      <c r="R214" s="3"/>
      <c r="S214" s="3" t="s">
        <v>85</v>
      </c>
      <c r="T214" s="5" t="n">
        <f aca="false">IF(C214="","",DATE(VALUE(MID(C214,7,4)),VALUE(MID(C214,4,2)),VALUE(MID(C214,1,2)))+TIME(VALUE(MID(C214,12,2)),VALUE(MID(C214,15,2)),0))</f>
        <v>43185.4104166667</v>
      </c>
      <c r="U214" s="3" t="str">
        <f aca="false">IFERROR(IF(ISNUMBER(VALUE(TRIM(MID(A214,FIND("-",A214)+1,FIND("km",A214)-FIND("-",A214)-1)))),"Distance + direction + city","Named-region"),"Named-region")</f>
        <v>Distance + direction + city</v>
      </c>
      <c r="V214" s="3" t="str">
        <f aca="false">LOWER(M214)</f>
        <v>mww</v>
      </c>
      <c r="W214" s="3" t="n">
        <f aca="false">COUNTIFS($A$2:$A$1001,A214,$C$2:$C$1001,C214)</f>
        <v>1</v>
      </c>
      <c r="X214" s="3" t="str">
        <f aca="false">IF(W214&gt;1,"Duplicate","Unique")</f>
        <v>Unique</v>
      </c>
      <c r="Y214" s="3" t="str">
        <f aca="false">IF(B214&lt;6.5,"&lt;6.5",IF(B214&lt;7,"6.5–6.9",IF(B214&lt;7.5,"7.0–7.4",IF(B214&lt;8,"7.5–7.9","8.0+"))))</f>
        <v>6.5–6.9</v>
      </c>
      <c r="Z214" s="3" t="n">
        <f aca="false">IF(T214="","",YEAR(T214))</f>
        <v>2018</v>
      </c>
    </row>
    <row r="215" customFormat="false" ht="13.8" hidden="false" customHeight="false" outlineLevel="0" collapsed="false">
      <c r="A215" s="3" t="s">
        <v>623</v>
      </c>
      <c r="B215" s="3" t="n">
        <v>6.8</v>
      </c>
      <c r="C215" s="6" t="s">
        <v>624</v>
      </c>
      <c r="D215" s="3" t="n">
        <v>6</v>
      </c>
      <c r="E215" s="3" t="n">
        <v>6</v>
      </c>
      <c r="F215" s="3" t="s">
        <v>21</v>
      </c>
      <c r="G215" s="3" t="n">
        <v>1</v>
      </c>
      <c r="H215" s="3" t="n">
        <v>719</v>
      </c>
      <c r="I215" s="3" t="s">
        <v>22</v>
      </c>
      <c r="J215" s="3" t="n">
        <v>0</v>
      </c>
      <c r="K215" s="3" t="n">
        <v>1.049</v>
      </c>
      <c r="L215" s="3" t="n">
        <v>16</v>
      </c>
      <c r="M215" s="3" t="s">
        <v>23</v>
      </c>
      <c r="N215" s="3" t="n">
        <v>22.86</v>
      </c>
      <c r="O215" s="3" t="n">
        <v>-4.3762</v>
      </c>
      <c r="P215" s="3" t="n">
        <v>153.2</v>
      </c>
      <c r="Q215" s="3" t="s">
        <v>625</v>
      </c>
      <c r="R215" s="3"/>
      <c r="S215" s="3" t="s">
        <v>85</v>
      </c>
      <c r="T215" s="5" t="n">
        <f aca="false">IF(C215="","",DATE(VALUE(MID(C215,7,4)),VALUE(MID(C215,4,2)),VALUE(MID(C215,1,2)))+TIME(VALUE(MID(C215,12,2)),VALUE(MID(C215,15,2)),0))</f>
        <v>43167.7354166667</v>
      </c>
      <c r="U215" s="3" t="str">
        <f aca="false">IFERROR(IF(ISNUMBER(VALUE(TRIM(MID(A215,FIND("-",A215)+1,FIND("km",A215)-FIND("-",A215)-1)))),"Distance + direction + city","Named-region"),"Named-region")</f>
        <v>Distance + direction + city</v>
      </c>
      <c r="V215" s="3" t="str">
        <f aca="false">LOWER(M215)</f>
        <v>mww</v>
      </c>
      <c r="W215" s="3" t="n">
        <f aca="false">COUNTIFS($A$2:$A$1001,A215,$C$2:$C$1001,C215)</f>
        <v>1</v>
      </c>
      <c r="X215" s="3" t="str">
        <f aca="false">IF(W215&gt;1,"Duplicate","Unique")</f>
        <v>Unique</v>
      </c>
      <c r="Y215" s="3" t="str">
        <f aca="false">IF(B215&lt;6.5,"&lt;6.5",IF(B215&lt;7,"6.5–6.9",IF(B215&lt;7.5,"7.0–7.4",IF(B215&lt;8,"7.5–7.9","8.0+"))))</f>
        <v>6.5–6.9</v>
      </c>
      <c r="Z215" s="3" t="n">
        <f aca="false">IF(T215="","",YEAR(T215))</f>
        <v>2018</v>
      </c>
    </row>
    <row r="216" customFormat="false" ht="13.8" hidden="false" customHeight="false" outlineLevel="0" collapsed="false">
      <c r="A216" s="3" t="s">
        <v>626</v>
      </c>
      <c r="B216" s="3" t="n">
        <v>6.7</v>
      </c>
      <c r="C216" s="6" t="s">
        <v>627</v>
      </c>
      <c r="D216" s="3" t="n">
        <v>8</v>
      </c>
      <c r="E216" s="3" t="n">
        <v>7</v>
      </c>
      <c r="F216" s="3" t="s">
        <v>21</v>
      </c>
      <c r="G216" s="3" t="n">
        <v>1</v>
      </c>
      <c r="H216" s="3" t="n">
        <v>697</v>
      </c>
      <c r="I216" s="3" t="s">
        <v>22</v>
      </c>
      <c r="J216" s="3" t="n">
        <v>0</v>
      </c>
      <c r="K216" s="3" t="n">
        <v>5.457</v>
      </c>
      <c r="L216" s="3" t="n">
        <v>19</v>
      </c>
      <c r="M216" s="3" t="s">
        <v>23</v>
      </c>
      <c r="N216" s="3" t="n">
        <v>20.49</v>
      </c>
      <c r="O216" s="3" t="n">
        <v>-6.3043</v>
      </c>
      <c r="P216" s="3" t="n">
        <v>142.612</v>
      </c>
      <c r="Q216" s="3" t="s">
        <v>628</v>
      </c>
      <c r="R216" s="3"/>
      <c r="S216" s="3" t="s">
        <v>85</v>
      </c>
      <c r="T216" s="5" t="n">
        <f aca="false">IF(C216="","",DATE(VALUE(MID(C216,7,4)),VALUE(MID(C216,4,2)),VALUE(MID(C216,1,2)))+TIME(VALUE(MID(C216,12,2)),VALUE(MID(C216,15,2)),0))</f>
        <v>43165.5923611111</v>
      </c>
      <c r="U216" s="3" t="str">
        <f aca="false">IFERROR(IF(ISNUMBER(VALUE(TRIM(MID(A216,FIND("-",A216)+1,FIND("km",A216)-FIND("-",A216)-1)))),"Distance + direction + city","Named-region"),"Named-region")</f>
        <v>Distance + direction + city</v>
      </c>
      <c r="V216" s="3" t="str">
        <f aca="false">LOWER(M216)</f>
        <v>mww</v>
      </c>
      <c r="W216" s="3" t="n">
        <f aca="false">COUNTIFS($A$2:$A$1001,A216,$C$2:$C$1001,C216)</f>
        <v>1</v>
      </c>
      <c r="X216" s="3" t="str">
        <f aca="false">IF(W216&gt;1,"Duplicate","Unique")</f>
        <v>Unique</v>
      </c>
      <c r="Y216" s="3" t="str">
        <f aca="false">IF(B216&lt;6.5,"&lt;6.5",IF(B216&lt;7,"6.5–6.9",IF(B216&lt;7.5,"7.0–7.4",IF(B216&lt;8,"7.5–7.9","8.0+"))))</f>
        <v>6.5–6.9</v>
      </c>
      <c r="Z216" s="3" t="n">
        <f aca="false">IF(T216="","",YEAR(T216))</f>
        <v>2018</v>
      </c>
    </row>
    <row r="217" customFormat="false" ht="13.8" hidden="false" customHeight="false" outlineLevel="0" collapsed="false">
      <c r="A217" s="3" t="s">
        <v>629</v>
      </c>
      <c r="B217" s="3" t="n">
        <v>7.5</v>
      </c>
      <c r="C217" s="3" t="s">
        <v>630</v>
      </c>
      <c r="D217" s="3" t="n">
        <v>9</v>
      </c>
      <c r="E217" s="3" t="n">
        <v>8</v>
      </c>
      <c r="F217" s="3" t="s">
        <v>28</v>
      </c>
      <c r="G217" s="3" t="n">
        <v>1</v>
      </c>
      <c r="H217" s="3" t="n">
        <v>943</v>
      </c>
      <c r="I217" s="3" t="s">
        <v>22</v>
      </c>
      <c r="J217" s="3" t="n">
        <v>0</v>
      </c>
      <c r="K217" s="3" t="n">
        <v>5.48</v>
      </c>
      <c r="L217" s="3" t="n">
        <v>17</v>
      </c>
      <c r="M217" s="3" t="s">
        <v>23</v>
      </c>
      <c r="N217" s="3" t="n">
        <v>25.21</v>
      </c>
      <c r="O217" s="3" t="n">
        <v>-6.0699</v>
      </c>
      <c r="P217" s="3" t="n">
        <v>142.754</v>
      </c>
      <c r="Q217" s="3" t="s">
        <v>628</v>
      </c>
      <c r="R217" s="3"/>
      <c r="S217" s="3" t="s">
        <v>85</v>
      </c>
      <c r="T217" s="5" t="n">
        <f aca="false">IF(C217="","",DATE(VALUE(MID(C217,7,4)),VALUE(MID(C217,4,2)),VALUE(MID(C217,1,2)))+TIME(VALUE(MID(C217,12,2)),VALUE(MID(C217,15,2)),0))</f>
        <v>43156.7388888889</v>
      </c>
      <c r="U217" s="3" t="str">
        <f aca="false">IFERROR(IF(ISNUMBER(VALUE(TRIM(MID(A217,FIND("-",A217)+1,FIND("km",A217)-FIND("-",A217)-1)))),"Distance + direction + city","Named-region"),"Named-region")</f>
        <v>Distance + direction + city</v>
      </c>
      <c r="V217" s="3" t="str">
        <f aca="false">LOWER(M217)</f>
        <v>mww</v>
      </c>
      <c r="W217" s="3" t="n">
        <f aca="false">COUNTIFS($A$2:$A$1001,A217,$C$2:$C$1001,C217)</f>
        <v>1</v>
      </c>
      <c r="X217" s="3" t="str">
        <f aca="false">IF(W217&gt;1,"Duplicate","Unique")</f>
        <v>Unique</v>
      </c>
      <c r="Y217" s="3" t="str">
        <f aca="false">IF(B217&lt;6.5,"&lt;6.5",IF(B217&lt;7,"6.5–6.9",IF(B217&lt;7.5,"7.0–7.4",IF(B217&lt;8,"7.5–7.9","8.0+"))))</f>
        <v>7.5–7.9</v>
      </c>
      <c r="Z217" s="3" t="n">
        <f aca="false">IF(T217="","",YEAR(T217))</f>
        <v>2018</v>
      </c>
    </row>
    <row r="218" customFormat="false" ht="13.8" hidden="false" customHeight="false" outlineLevel="0" collapsed="false">
      <c r="A218" s="3" t="s">
        <v>631</v>
      </c>
      <c r="B218" s="3" t="n">
        <v>7.2</v>
      </c>
      <c r="C218" s="3" t="s">
        <v>632</v>
      </c>
      <c r="D218" s="3" t="n">
        <v>7</v>
      </c>
      <c r="E218" s="3" t="n">
        <v>7</v>
      </c>
      <c r="F218" s="3" t="s">
        <v>28</v>
      </c>
      <c r="G218" s="3" t="n">
        <v>1</v>
      </c>
      <c r="H218" s="3" t="n">
        <v>1384</v>
      </c>
      <c r="I218" s="3" t="s">
        <v>22</v>
      </c>
      <c r="J218" s="3" t="n">
        <v>0</v>
      </c>
      <c r="K218" s="3" t="n">
        <v>0.142</v>
      </c>
      <c r="L218" s="3" t="n">
        <v>82</v>
      </c>
      <c r="M218" s="3" t="s">
        <v>23</v>
      </c>
      <c r="N218" s="3" t="n">
        <v>22</v>
      </c>
      <c r="O218" s="3" t="n">
        <v>16.3855</v>
      </c>
      <c r="P218" s="3" t="n">
        <v>-97.9787</v>
      </c>
      <c r="Q218" s="3" t="s">
        <v>633</v>
      </c>
      <c r="R218" s="3" t="s">
        <v>164</v>
      </c>
      <c r="S218" s="3" t="s">
        <v>165</v>
      </c>
      <c r="T218" s="5" t="n">
        <f aca="false">IF(C218="","",DATE(VALUE(MID(C218,7,4)),VALUE(MID(C218,4,2)),VALUE(MID(C218,1,2)))+TIME(VALUE(MID(C218,12,2)),VALUE(MID(C218,15,2)),0))</f>
        <v>43147.9854166667</v>
      </c>
      <c r="U218" s="3" t="str">
        <f aca="false">IFERROR(IF(ISNUMBER(VALUE(TRIM(MID(A218,FIND("-",A218)+1,FIND("km",A218)-FIND("-",A218)-1)))),"Distance + direction + city","Named-region"),"Named-region")</f>
        <v>Distance + direction + city</v>
      </c>
      <c r="V218" s="3" t="str">
        <f aca="false">LOWER(M218)</f>
        <v>mww</v>
      </c>
      <c r="W218" s="3" t="n">
        <f aca="false">COUNTIFS($A$2:$A$1001,A218,$C$2:$C$1001,C218)</f>
        <v>1</v>
      </c>
      <c r="X218" s="3" t="str">
        <f aca="false">IF(W218&gt;1,"Duplicate","Unique")</f>
        <v>Unique</v>
      </c>
      <c r="Y218" s="3" t="str">
        <f aca="false">IF(B218&lt;6.5,"&lt;6.5",IF(B218&lt;7,"6.5–6.9",IF(B218&lt;7.5,"7.0–7.4",IF(B218&lt;8,"7.5–7.9","8.0+"))))</f>
        <v>7.0–7.4</v>
      </c>
      <c r="Z218" s="3" t="n">
        <f aca="false">IF(T218="","",YEAR(T218))</f>
        <v>2018</v>
      </c>
    </row>
    <row r="219" customFormat="false" ht="13.8" hidden="false" customHeight="false" outlineLevel="0" collapsed="false">
      <c r="A219" s="3" t="s">
        <v>634</v>
      </c>
      <c r="B219" s="3" t="n">
        <v>7.9</v>
      </c>
      <c r="C219" s="3" t="s">
        <v>635</v>
      </c>
      <c r="D219" s="3" t="n">
        <v>9</v>
      </c>
      <c r="E219" s="3" t="n">
        <v>4</v>
      </c>
      <c r="F219" s="3" t="s">
        <v>21</v>
      </c>
      <c r="G219" s="3" t="n">
        <v>1</v>
      </c>
      <c r="H219" s="3" t="n">
        <v>1870</v>
      </c>
      <c r="I219" s="3" t="s">
        <v>22</v>
      </c>
      <c r="J219" s="3" t="n">
        <v>0</v>
      </c>
      <c r="K219" s="3" t="n">
        <v>2.585</v>
      </c>
      <c r="L219" s="3" t="n">
        <v>30</v>
      </c>
      <c r="M219" s="3" t="s">
        <v>23</v>
      </c>
      <c r="N219" s="3" t="n">
        <v>14.06</v>
      </c>
      <c r="O219" s="3" t="n">
        <v>56.0039</v>
      </c>
      <c r="P219" s="3" t="n">
        <v>-149.166</v>
      </c>
      <c r="Q219" s="3" t="s">
        <v>636</v>
      </c>
      <c r="R219" s="3"/>
      <c r="S219" s="3"/>
      <c r="T219" s="5" t="n">
        <f aca="false">IF(C219="","",DATE(VALUE(MID(C219,7,4)),VALUE(MID(C219,4,2)),VALUE(MID(C219,1,2)))+TIME(VALUE(MID(C219,12,2)),VALUE(MID(C219,15,2)),0))</f>
        <v>43123.3965277778</v>
      </c>
      <c r="U219" s="3" t="str">
        <f aca="false">IFERROR(IF(ISNUMBER(VALUE(TRIM(MID(A219,FIND("-",A219)+1,FIND("km",A219)-FIND("-",A219)-1)))),"Distance + direction + city","Named-region"),"Named-region")</f>
        <v>Distance + direction + city</v>
      </c>
      <c r="V219" s="3" t="str">
        <f aca="false">LOWER(M219)</f>
        <v>mww</v>
      </c>
      <c r="W219" s="3" t="n">
        <f aca="false">COUNTIFS($A$2:$A$1001,A219,$C$2:$C$1001,C219)</f>
        <v>1</v>
      </c>
      <c r="X219" s="3" t="str">
        <f aca="false">IF(W219&gt;1,"Duplicate","Unique")</f>
        <v>Unique</v>
      </c>
      <c r="Y219" s="3" t="str">
        <f aca="false">IF(B219&lt;6.5,"&lt;6.5",IF(B219&lt;7,"6.5–6.9",IF(B219&lt;7.5,"7.0–7.4",IF(B219&lt;8,"7.5–7.9","8.0+"))))</f>
        <v>7.5–7.9</v>
      </c>
      <c r="Z219" s="3" t="n">
        <f aca="false">IF(T219="","",YEAR(T219))</f>
        <v>2018</v>
      </c>
    </row>
    <row r="220" customFormat="false" ht="13.8" hidden="false" customHeight="false" outlineLevel="0" collapsed="false">
      <c r="A220" s="3" t="s">
        <v>637</v>
      </c>
      <c r="B220" s="3" t="n">
        <v>7.1</v>
      </c>
      <c r="C220" s="3" t="s">
        <v>638</v>
      </c>
      <c r="D220" s="3" t="n">
        <v>9</v>
      </c>
      <c r="E220" s="3" t="n">
        <v>7</v>
      </c>
      <c r="F220" s="3" t="s">
        <v>21</v>
      </c>
      <c r="G220" s="3" t="n">
        <v>1</v>
      </c>
      <c r="H220" s="3" t="n">
        <v>1075</v>
      </c>
      <c r="I220" s="3" t="s">
        <v>22</v>
      </c>
      <c r="J220" s="3" t="n">
        <v>0</v>
      </c>
      <c r="K220" s="3" t="n">
        <v>4.29</v>
      </c>
      <c r="L220" s="3" t="n">
        <v>23</v>
      </c>
      <c r="M220" s="3" t="s">
        <v>23</v>
      </c>
      <c r="N220" s="3" t="n">
        <v>39</v>
      </c>
      <c r="O220" s="3" t="n">
        <v>-15.7675</v>
      </c>
      <c r="P220" s="3" t="n">
        <v>-74.7092</v>
      </c>
      <c r="Q220" s="3" t="s">
        <v>639</v>
      </c>
      <c r="R220" s="3"/>
      <c r="S220" s="3" t="s">
        <v>199</v>
      </c>
      <c r="T220" s="5" t="n">
        <f aca="false">IF(C220="","",DATE(VALUE(MID(C220,7,4)),VALUE(MID(C220,4,2)),VALUE(MID(C220,1,2)))+TIME(VALUE(MID(C220,12,2)),VALUE(MID(C220,15,2)),0))</f>
        <v>43114.3875</v>
      </c>
      <c r="U220" s="3" t="str">
        <f aca="false">IFERROR(IF(ISNUMBER(VALUE(TRIM(MID(A220,FIND("-",A220)+1,FIND("km",A220)-FIND("-",A220)-1)))),"Distance + direction + city","Named-region"),"Named-region")</f>
        <v>Distance + direction + city</v>
      </c>
      <c r="V220" s="3" t="str">
        <f aca="false">LOWER(M220)</f>
        <v>mww</v>
      </c>
      <c r="W220" s="3" t="n">
        <f aca="false">COUNTIFS($A$2:$A$1001,A220,$C$2:$C$1001,C220)</f>
        <v>1</v>
      </c>
      <c r="X220" s="3" t="str">
        <f aca="false">IF(W220&gt;1,"Duplicate","Unique")</f>
        <v>Unique</v>
      </c>
      <c r="Y220" s="3" t="str">
        <f aca="false">IF(B220&lt;6.5,"&lt;6.5",IF(B220&lt;7,"6.5–6.9",IF(B220&lt;7.5,"7.0–7.4",IF(B220&lt;8,"7.5–7.9","8.0+"))))</f>
        <v>7.0–7.4</v>
      </c>
      <c r="Z220" s="3" t="n">
        <f aca="false">IF(T220="","",YEAR(T220))</f>
        <v>2018</v>
      </c>
    </row>
    <row r="221" customFormat="false" ht="13.8" hidden="false" customHeight="false" outlineLevel="0" collapsed="false">
      <c r="A221" s="3" t="s">
        <v>640</v>
      </c>
      <c r="B221" s="3" t="n">
        <v>7.5</v>
      </c>
      <c r="C221" s="6" t="s">
        <v>641</v>
      </c>
      <c r="D221" s="3" t="n">
        <v>8</v>
      </c>
      <c r="E221" s="3" t="n">
        <v>5</v>
      </c>
      <c r="F221" s="3" t="s">
        <v>21</v>
      </c>
      <c r="G221" s="3" t="n">
        <v>1</v>
      </c>
      <c r="H221" s="3" t="n">
        <v>1623</v>
      </c>
      <c r="I221" s="3" t="s">
        <v>22</v>
      </c>
      <c r="J221" s="3" t="n">
        <v>0</v>
      </c>
      <c r="K221" s="3" t="n">
        <v>4.581</v>
      </c>
      <c r="L221" s="3" t="n">
        <v>12</v>
      </c>
      <c r="M221" s="3" t="s">
        <v>23</v>
      </c>
      <c r="N221" s="3" t="n">
        <v>19</v>
      </c>
      <c r="O221" s="3" t="n">
        <v>17.4825</v>
      </c>
      <c r="P221" s="3" t="n">
        <v>-83.52</v>
      </c>
      <c r="Q221" s="3" t="s">
        <v>642</v>
      </c>
      <c r="R221" s="3"/>
      <c r="S221" s="3"/>
      <c r="T221" s="5" t="n">
        <f aca="false">IF(C221="","",DATE(VALUE(MID(C221,7,4)),VALUE(MID(C221,4,2)),VALUE(MID(C221,1,2)))+TIME(VALUE(MID(C221,12,2)),VALUE(MID(C221,15,2)),0))</f>
        <v>43110.11875</v>
      </c>
      <c r="U221" s="3" t="str">
        <f aca="false">IFERROR(IF(ISNUMBER(VALUE(TRIM(MID(A221,FIND("-",A221)+1,FIND("km",A221)-FIND("-",A221)-1)))),"Distance + direction + city","Named-region"),"Named-region")</f>
        <v>Distance + direction + city</v>
      </c>
      <c r="V221" s="3" t="str">
        <f aca="false">LOWER(M221)</f>
        <v>mww</v>
      </c>
      <c r="W221" s="3" t="n">
        <f aca="false">COUNTIFS($A$2:$A$1001,A221,$C$2:$C$1001,C221)</f>
        <v>1</v>
      </c>
      <c r="X221" s="3" t="str">
        <f aca="false">IF(W221&gt;1,"Duplicate","Unique")</f>
        <v>Unique</v>
      </c>
      <c r="Y221" s="3" t="str">
        <f aca="false">IF(B221&lt;6.5,"&lt;6.5",IF(B221&lt;7,"6.5–6.9",IF(B221&lt;7.5,"7.0–7.4",IF(B221&lt;8,"7.5–7.9","8.0+"))))</f>
        <v>7.5–7.9</v>
      </c>
      <c r="Z221" s="3" t="n">
        <f aca="false">IF(T221="","",YEAR(T221))</f>
        <v>2018</v>
      </c>
    </row>
    <row r="222" customFormat="false" ht="13.8" hidden="false" customHeight="false" outlineLevel="0" collapsed="false">
      <c r="A222" s="3" t="s">
        <v>643</v>
      </c>
      <c r="B222" s="3" t="n">
        <v>6.5</v>
      </c>
      <c r="C222" s="3" t="s">
        <v>644</v>
      </c>
      <c r="D222" s="3" t="n">
        <v>8</v>
      </c>
      <c r="E222" s="3" t="n">
        <v>7</v>
      </c>
      <c r="F222" s="3" t="s">
        <v>21</v>
      </c>
      <c r="G222" s="3" t="n">
        <v>0</v>
      </c>
      <c r="H222" s="3" t="n">
        <v>998</v>
      </c>
      <c r="I222" s="3" t="s">
        <v>22</v>
      </c>
      <c r="J222" s="3" t="n">
        <v>0</v>
      </c>
      <c r="K222" s="3" t="n">
        <v>2.365</v>
      </c>
      <c r="L222" s="3" t="n">
        <v>28</v>
      </c>
      <c r="M222" s="3" t="s">
        <v>23</v>
      </c>
      <c r="N222" s="3" t="n">
        <v>90</v>
      </c>
      <c r="O222" s="3" t="n">
        <v>-7.4921</v>
      </c>
      <c r="P222" s="3" t="n">
        <v>108.174</v>
      </c>
      <c r="Q222" s="3" t="s">
        <v>645</v>
      </c>
      <c r="R222" s="3"/>
      <c r="S222" s="3" t="s">
        <v>68</v>
      </c>
      <c r="T222" s="5" t="n">
        <f aca="false">IF(C222="","",DATE(VALUE(MID(C222,7,4)),VALUE(MID(C222,4,2)),VALUE(MID(C222,1,2)))+TIME(VALUE(MID(C222,12,2)),VALUE(MID(C222,15,2)),0))</f>
        <v>43084.6993055556</v>
      </c>
      <c r="U222" s="3" t="str">
        <f aca="false">IFERROR(IF(ISNUMBER(VALUE(TRIM(MID(A222,FIND("-",A222)+1,FIND("km",A222)-FIND("-",A222)-1)))),"Distance + direction + city","Named-region"),"Named-region")</f>
        <v>Distance + direction + city</v>
      </c>
      <c r="V222" s="3" t="str">
        <f aca="false">LOWER(M222)</f>
        <v>mww</v>
      </c>
      <c r="W222" s="3" t="n">
        <f aca="false">COUNTIFS($A$2:$A$1001,A222,$C$2:$C$1001,C222)</f>
        <v>1</v>
      </c>
      <c r="X222" s="3" t="str">
        <f aca="false">IF(W222&gt;1,"Duplicate","Unique")</f>
        <v>Unique</v>
      </c>
      <c r="Y222" s="3" t="str">
        <f aca="false">IF(B222&lt;6.5,"&lt;6.5",IF(B222&lt;7,"6.5–6.9",IF(B222&lt;7.5,"7.0–7.4",IF(B222&lt;8,"7.5–7.9","8.0+"))))</f>
        <v>6.5–6.9</v>
      </c>
      <c r="Z222" s="3" t="n">
        <f aca="false">IF(T222="","",YEAR(T222))</f>
        <v>2017</v>
      </c>
    </row>
    <row r="223" customFormat="false" ht="13.8" hidden="false" customHeight="false" outlineLevel="0" collapsed="false">
      <c r="A223" s="3" t="s">
        <v>646</v>
      </c>
      <c r="B223" s="3" t="n">
        <v>6.5</v>
      </c>
      <c r="C223" s="3" t="s">
        <v>647</v>
      </c>
      <c r="D223" s="3" t="n">
        <v>1</v>
      </c>
      <c r="E223" s="3" t="n">
        <v>5</v>
      </c>
      <c r="F223" s="3" t="s">
        <v>21</v>
      </c>
      <c r="G223" s="3" t="n">
        <v>1</v>
      </c>
      <c r="H223" s="3" t="n">
        <v>651</v>
      </c>
      <c r="I223" s="3" t="s">
        <v>22</v>
      </c>
      <c r="J223" s="3" t="n">
        <v>0</v>
      </c>
      <c r="K223" s="3" t="n">
        <v>17.654</v>
      </c>
      <c r="L223" s="3" t="n">
        <v>23</v>
      </c>
      <c r="M223" s="3" t="s">
        <v>23</v>
      </c>
      <c r="N223" s="3" t="n">
        <v>17</v>
      </c>
      <c r="O223" s="3" t="n">
        <v>-54.2189</v>
      </c>
      <c r="P223" s="3" t="n">
        <v>2.1628</v>
      </c>
      <c r="Q223" s="3" t="s">
        <v>648</v>
      </c>
      <c r="R223" s="3"/>
      <c r="S223" s="3"/>
      <c r="T223" s="5" t="n">
        <f aca="false">IF(C223="","",DATE(VALUE(MID(C223,7,4)),VALUE(MID(C223,4,2)),VALUE(MID(C223,1,2)))+TIME(VALUE(MID(C223,12,2)),VALUE(MID(C223,15,2)),0))</f>
        <v>43082.7520833333</v>
      </c>
      <c r="U223" s="3" t="str">
        <f aca="false">IFERROR(IF(ISNUMBER(VALUE(TRIM(MID(A223,FIND("-",A223)+1,FIND("km",A223)-FIND("-",A223)-1)))),"Distance + direction + city","Named-region"),"Named-region")</f>
        <v>Named-region</v>
      </c>
      <c r="V223" s="3" t="str">
        <f aca="false">LOWER(M223)</f>
        <v>mww</v>
      </c>
      <c r="W223" s="3" t="n">
        <f aca="false">COUNTIFS($A$2:$A$1001,A223,$C$2:$C$1001,C223)</f>
        <v>1</v>
      </c>
      <c r="X223" s="3" t="str">
        <f aca="false">IF(W223&gt;1,"Duplicate","Unique")</f>
        <v>Unique</v>
      </c>
      <c r="Y223" s="3" t="str">
        <f aca="false">IF(B223&lt;6.5,"&lt;6.5",IF(B223&lt;7,"6.5–6.9",IF(B223&lt;7.5,"7.0–7.4",IF(B223&lt;8,"7.5–7.9","8.0+"))))</f>
        <v>6.5–6.9</v>
      </c>
      <c r="Z223" s="3" t="n">
        <f aca="false">IF(T223="","",YEAR(T223))</f>
        <v>2017</v>
      </c>
    </row>
    <row r="224" customFormat="false" ht="13.8" hidden="false" customHeight="false" outlineLevel="0" collapsed="false">
      <c r="A224" s="3" t="s">
        <v>649</v>
      </c>
      <c r="B224" s="3" t="n">
        <v>7</v>
      </c>
      <c r="C224" s="3" t="s">
        <v>650</v>
      </c>
      <c r="D224" s="3" t="n">
        <v>4</v>
      </c>
      <c r="E224" s="3" t="n">
        <v>6</v>
      </c>
      <c r="F224" s="3" t="s">
        <v>21</v>
      </c>
      <c r="G224" s="3" t="n">
        <v>1</v>
      </c>
      <c r="H224" s="3" t="n">
        <v>771</v>
      </c>
      <c r="I224" s="3" t="s">
        <v>22</v>
      </c>
      <c r="J224" s="3" t="n">
        <v>0</v>
      </c>
      <c r="K224" s="3" t="n">
        <v>0.617</v>
      </c>
      <c r="L224" s="3" t="n">
        <v>14</v>
      </c>
      <c r="M224" s="3" t="s">
        <v>23</v>
      </c>
      <c r="N224" s="3" t="n">
        <v>10</v>
      </c>
      <c r="O224" s="3" t="n">
        <v>-21.3246</v>
      </c>
      <c r="P224" s="3" t="n">
        <v>168.671</v>
      </c>
      <c r="Q224" s="3" t="s">
        <v>211</v>
      </c>
      <c r="R224" s="3"/>
      <c r="S224" s="3"/>
      <c r="T224" s="5" t="n">
        <f aca="false">IF(C224="","",DATE(VALUE(MID(C224,7,4)),VALUE(MID(C224,4,2)),VALUE(MID(C224,1,2)))+TIME(VALUE(MID(C224,12,2)),VALUE(MID(C224,15,2)),0))</f>
        <v>43058.9465277778</v>
      </c>
      <c r="U224" s="3" t="str">
        <f aca="false">IFERROR(IF(ISNUMBER(VALUE(TRIM(MID(A224,FIND("-",A224)+1,FIND("km",A224)-FIND("-",A224)-1)))),"Distance + direction + city","Named-region"),"Named-region")</f>
        <v>Distance + direction + city</v>
      </c>
      <c r="V224" s="3" t="str">
        <f aca="false">LOWER(M224)</f>
        <v>mww</v>
      </c>
      <c r="W224" s="3" t="n">
        <f aca="false">COUNTIFS($A$2:$A$1001,A224,$C$2:$C$1001,C224)</f>
        <v>1</v>
      </c>
      <c r="X224" s="3" t="str">
        <f aca="false">IF(W224&gt;1,"Duplicate","Unique")</f>
        <v>Unique</v>
      </c>
      <c r="Y224" s="3" t="str">
        <f aca="false">IF(B224&lt;6.5,"&lt;6.5",IF(B224&lt;7,"6.5–6.9",IF(B224&lt;7.5,"7.0–7.4",IF(B224&lt;8,"7.5–7.9","8.0+"))))</f>
        <v>7.0–7.4</v>
      </c>
      <c r="Z224" s="3" t="n">
        <f aca="false">IF(T224="","",YEAR(T224))</f>
        <v>2017</v>
      </c>
    </row>
    <row r="225" customFormat="false" ht="13.8" hidden="false" customHeight="false" outlineLevel="0" collapsed="false">
      <c r="A225" s="3" t="s">
        <v>651</v>
      </c>
      <c r="B225" s="3" t="n">
        <v>6.6</v>
      </c>
      <c r="C225" s="3" t="s">
        <v>652</v>
      </c>
      <c r="D225" s="3" t="n">
        <v>4</v>
      </c>
      <c r="E225" s="3" t="n">
        <v>5</v>
      </c>
      <c r="F225" s="3" t="s">
        <v>21</v>
      </c>
      <c r="G225" s="3" t="n">
        <v>1</v>
      </c>
      <c r="H225" s="3" t="n">
        <v>676</v>
      </c>
      <c r="I225" s="3" t="s">
        <v>22</v>
      </c>
      <c r="J225" s="3" t="n">
        <v>0</v>
      </c>
      <c r="K225" s="3" t="n">
        <v>0.529</v>
      </c>
      <c r="L225" s="3" t="n">
        <v>21</v>
      </c>
      <c r="M225" s="3" t="s">
        <v>23</v>
      </c>
      <c r="N225" s="3" t="n">
        <v>13</v>
      </c>
      <c r="O225" s="3" t="n">
        <v>-21.5027</v>
      </c>
      <c r="P225" s="3" t="n">
        <v>168.598</v>
      </c>
      <c r="Q225" s="3" t="s">
        <v>211</v>
      </c>
      <c r="R225" s="3"/>
      <c r="S225" s="3"/>
      <c r="T225" s="5" t="n">
        <f aca="false">IF(C225="","",DATE(VALUE(MID(C225,7,4)),VALUE(MID(C225,4,2)),VALUE(MID(C225,1,2)))+TIME(VALUE(MID(C225,12,2)),VALUE(MID(C225,15,2)),0))</f>
        <v>43058.63125</v>
      </c>
      <c r="U225" s="3" t="str">
        <f aca="false">IFERROR(IF(ISNUMBER(VALUE(TRIM(MID(A225,FIND("-",A225)+1,FIND("km",A225)-FIND("-",A225)-1)))),"Distance + direction + city","Named-region"),"Named-region")</f>
        <v>Distance + direction + city</v>
      </c>
      <c r="V225" s="3" t="str">
        <f aca="false">LOWER(M225)</f>
        <v>mww</v>
      </c>
      <c r="W225" s="3" t="n">
        <f aca="false">COUNTIFS($A$2:$A$1001,A225,$C$2:$C$1001,C225)</f>
        <v>1</v>
      </c>
      <c r="X225" s="3" t="str">
        <f aca="false">IF(W225&gt;1,"Duplicate","Unique")</f>
        <v>Unique</v>
      </c>
      <c r="Y225" s="3" t="str">
        <f aca="false">IF(B225&lt;6.5,"&lt;6.5",IF(B225&lt;7,"6.5–6.9",IF(B225&lt;7.5,"7.0–7.4",IF(B225&lt;8,"7.5–7.9","8.0+"))))</f>
        <v>6.5–6.9</v>
      </c>
      <c r="Z225" s="3" t="n">
        <f aca="false">IF(T225="","",YEAR(T225))</f>
        <v>2017</v>
      </c>
    </row>
    <row r="226" customFormat="false" ht="13.8" hidden="false" customHeight="false" outlineLevel="0" collapsed="false">
      <c r="A226" s="3" t="s">
        <v>653</v>
      </c>
      <c r="B226" s="3" t="n">
        <v>6.5</v>
      </c>
      <c r="C226" s="3" t="s">
        <v>654</v>
      </c>
      <c r="D226" s="3" t="n">
        <v>8</v>
      </c>
      <c r="E226" s="3" t="n">
        <v>8</v>
      </c>
      <c r="F226" s="3" t="s">
        <v>28</v>
      </c>
      <c r="G226" s="3" t="n">
        <v>1</v>
      </c>
      <c r="H226" s="3" t="n">
        <v>1153</v>
      </c>
      <c r="I226" s="3" t="s">
        <v>22</v>
      </c>
      <c r="J226" s="3" t="n">
        <v>0</v>
      </c>
      <c r="K226" s="3" t="n">
        <v>0.225</v>
      </c>
      <c r="L226" s="3" t="n">
        <v>37</v>
      </c>
      <c r="M226" s="3" t="s">
        <v>23</v>
      </c>
      <c r="N226" s="3" t="n">
        <v>19.36</v>
      </c>
      <c r="O226" s="3" t="n">
        <v>9.5147</v>
      </c>
      <c r="P226" s="3" t="n">
        <v>-84.4865</v>
      </c>
      <c r="Q226" s="3" t="s">
        <v>655</v>
      </c>
      <c r="R226" s="3"/>
      <c r="S226" s="3" t="s">
        <v>656</v>
      </c>
      <c r="T226" s="5" t="n">
        <f aca="false">IF(C226="","",DATE(VALUE(MID(C226,7,4)),VALUE(MID(C226,4,2)),VALUE(MID(C226,1,2)))+TIME(VALUE(MID(C226,12,2)),VALUE(MID(C226,15,2)),0))</f>
        <v>43052.1027777778</v>
      </c>
      <c r="U226" s="3" t="str">
        <f aca="false">IFERROR(IF(ISNUMBER(VALUE(TRIM(MID(A226,FIND("-",A226)+1,FIND("km",A226)-FIND("-",A226)-1)))),"Distance + direction + city","Named-region"),"Named-region")</f>
        <v>Distance + direction + city</v>
      </c>
      <c r="V226" s="3" t="str">
        <f aca="false">LOWER(M226)</f>
        <v>mww</v>
      </c>
      <c r="W226" s="3" t="n">
        <f aca="false">COUNTIFS($A$2:$A$1001,A226,$C$2:$C$1001,C226)</f>
        <v>1</v>
      </c>
      <c r="X226" s="3" t="str">
        <f aca="false">IF(W226&gt;1,"Duplicate","Unique")</f>
        <v>Unique</v>
      </c>
      <c r="Y226" s="3" t="str">
        <f aca="false">IF(B226&lt;6.5,"&lt;6.5",IF(B226&lt;7,"6.5–6.9",IF(B226&lt;7.5,"7.0–7.4",IF(B226&lt;8,"7.5–7.9","8.0+"))))</f>
        <v>6.5–6.9</v>
      </c>
      <c r="Z226" s="3" t="n">
        <f aca="false">IF(T226="","",YEAR(T226))</f>
        <v>2017</v>
      </c>
    </row>
    <row r="227" customFormat="false" ht="13.8" hidden="false" customHeight="false" outlineLevel="0" collapsed="false">
      <c r="A227" s="3" t="s">
        <v>657</v>
      </c>
      <c r="B227" s="3" t="n">
        <v>7.3</v>
      </c>
      <c r="C227" s="6" t="s">
        <v>658</v>
      </c>
      <c r="D227" s="3" t="n">
        <v>8</v>
      </c>
      <c r="E227" s="3" t="n">
        <v>9</v>
      </c>
      <c r="F227" s="3" t="s">
        <v>121</v>
      </c>
      <c r="G227" s="3" t="n">
        <v>0</v>
      </c>
      <c r="H227" s="3" t="n">
        <v>2790</v>
      </c>
      <c r="I227" s="3" t="s">
        <v>22</v>
      </c>
      <c r="J227" s="3" t="n">
        <v>0</v>
      </c>
      <c r="K227" s="3" t="n">
        <v>0.284</v>
      </c>
      <c r="L227" s="3" t="n">
        <v>33</v>
      </c>
      <c r="M227" s="3" t="s">
        <v>23</v>
      </c>
      <c r="N227" s="3" t="n">
        <v>19</v>
      </c>
      <c r="O227" s="3" t="n">
        <v>34.9109</v>
      </c>
      <c r="P227" s="3" t="n">
        <v>45.9592</v>
      </c>
      <c r="Q227" s="3" t="s">
        <v>659</v>
      </c>
      <c r="R227" s="3" t="s">
        <v>80</v>
      </c>
      <c r="S227" s="3" t="s">
        <v>660</v>
      </c>
      <c r="T227" s="5" t="n">
        <f aca="false">IF(C227="","",DATE(VALUE(MID(C227,7,4)),VALUE(MID(C227,4,2)),VALUE(MID(C227,1,2)))+TIME(VALUE(MID(C227,12,2)),VALUE(MID(C227,15,2)),0))</f>
        <v>43051.7625</v>
      </c>
      <c r="U227" s="3" t="str">
        <f aca="false">IFERROR(IF(ISNUMBER(VALUE(TRIM(MID(A227,FIND("-",A227)+1,FIND("km",A227)-FIND("-",A227)-1)))),"Distance + direction + city","Named-region"),"Named-region")</f>
        <v>Distance + direction + city</v>
      </c>
      <c r="V227" s="3" t="str">
        <f aca="false">LOWER(M227)</f>
        <v>mww</v>
      </c>
      <c r="W227" s="3" t="n">
        <f aca="false">COUNTIFS($A$2:$A$1001,A227,$C$2:$C$1001,C227)</f>
        <v>1</v>
      </c>
      <c r="X227" s="3" t="str">
        <f aca="false">IF(W227&gt;1,"Duplicate","Unique")</f>
        <v>Unique</v>
      </c>
      <c r="Y227" s="3" t="str">
        <f aca="false">IF(B227&lt;6.5,"&lt;6.5",IF(B227&lt;7,"6.5–6.9",IF(B227&lt;7.5,"7.0–7.4",IF(B227&lt;8,"7.5–7.9","8.0+"))))</f>
        <v>7.0–7.4</v>
      </c>
      <c r="Z227" s="3" t="n">
        <f aca="false">IF(T227="","",YEAR(T227))</f>
        <v>2017</v>
      </c>
    </row>
    <row r="228" customFormat="false" ht="13.8" hidden="false" customHeight="false" outlineLevel="0" collapsed="false">
      <c r="A228" s="3" t="s">
        <v>661</v>
      </c>
      <c r="B228" s="3" t="n">
        <v>6.5</v>
      </c>
      <c r="C228" s="6" t="s">
        <v>662</v>
      </c>
      <c r="D228" s="3" t="n">
        <v>6</v>
      </c>
      <c r="E228" s="3" t="n">
        <v>5</v>
      </c>
      <c r="F228" s="3" t="s">
        <v>21</v>
      </c>
      <c r="G228" s="3" t="n">
        <v>1</v>
      </c>
      <c r="H228" s="3" t="n">
        <v>661</v>
      </c>
      <c r="I228" s="3" t="s">
        <v>22</v>
      </c>
      <c r="J228" s="3" t="n">
        <v>0</v>
      </c>
      <c r="K228" s="3" t="n">
        <v>4.449</v>
      </c>
      <c r="L228" s="3" t="n">
        <v>10</v>
      </c>
      <c r="M228" s="3" t="s">
        <v>23</v>
      </c>
      <c r="N228" s="3" t="n">
        <v>110.57</v>
      </c>
      <c r="O228" s="3" t="n">
        <v>-4.2433</v>
      </c>
      <c r="P228" s="3" t="n">
        <v>143.485</v>
      </c>
      <c r="Q228" s="3" t="s">
        <v>663</v>
      </c>
      <c r="R228" s="3"/>
      <c r="S228" s="3" t="s">
        <v>85</v>
      </c>
      <c r="T228" s="5" t="n">
        <f aca="false">IF(C228="","",DATE(VALUE(MID(C228,7,4)),VALUE(MID(C228,4,2)),VALUE(MID(C228,1,2)))+TIME(VALUE(MID(C228,12,2)),VALUE(MID(C228,15,2)),0))</f>
        <v>43046.8930555556</v>
      </c>
      <c r="U228" s="3" t="str">
        <f aca="false">IFERROR(IF(ISNUMBER(VALUE(TRIM(MID(A228,FIND("-",A228)+1,FIND("km",A228)-FIND("-",A228)-1)))),"Distance + direction + city","Named-region"),"Named-region")</f>
        <v>Distance + direction + city</v>
      </c>
      <c r="V228" s="3" t="str">
        <f aca="false">LOWER(M228)</f>
        <v>mww</v>
      </c>
      <c r="W228" s="3" t="n">
        <f aca="false">COUNTIFS($A$2:$A$1001,A228,$C$2:$C$1001,C228)</f>
        <v>1</v>
      </c>
      <c r="X228" s="3" t="str">
        <f aca="false">IF(W228&gt;1,"Duplicate","Unique")</f>
        <v>Unique</v>
      </c>
      <c r="Y228" s="3" t="str">
        <f aca="false">IF(B228&lt;6.5,"&lt;6.5",IF(B228&lt;7,"6.5–6.9",IF(B228&lt;7.5,"7.0–7.4",IF(B228&lt;8,"7.5–7.9","8.0+"))))</f>
        <v>6.5–6.9</v>
      </c>
      <c r="Z228" s="3" t="n">
        <f aca="false">IF(T228="","",YEAR(T228))</f>
        <v>2017</v>
      </c>
    </row>
    <row r="229" customFormat="false" ht="13.8" hidden="false" customHeight="false" outlineLevel="0" collapsed="false">
      <c r="A229" s="3" t="s">
        <v>664</v>
      </c>
      <c r="B229" s="3" t="n">
        <v>6.8</v>
      </c>
      <c r="C229" s="6" t="s">
        <v>665</v>
      </c>
      <c r="D229" s="3" t="n">
        <v>5</v>
      </c>
      <c r="E229" s="3" t="n">
        <v>5</v>
      </c>
      <c r="F229" s="3" t="s">
        <v>21</v>
      </c>
      <c r="G229" s="3" t="n">
        <v>1</v>
      </c>
      <c r="H229" s="3" t="n">
        <v>727</v>
      </c>
      <c r="I229" s="3" t="s">
        <v>22</v>
      </c>
      <c r="J229" s="3" t="n">
        <v>0</v>
      </c>
      <c r="K229" s="3" t="n">
        <v>4.852</v>
      </c>
      <c r="L229" s="3" t="n">
        <v>21</v>
      </c>
      <c r="M229" s="3" t="s">
        <v>23</v>
      </c>
      <c r="N229" s="3" t="n">
        <v>10</v>
      </c>
      <c r="O229" s="3" t="n">
        <v>-15.3197</v>
      </c>
      <c r="P229" s="3" t="n">
        <v>-173.168</v>
      </c>
      <c r="Q229" s="3" t="s">
        <v>62</v>
      </c>
      <c r="R229" s="3"/>
      <c r="S229" s="3"/>
      <c r="T229" s="5" t="n">
        <f aca="false">IF(C229="","",DATE(VALUE(MID(C229,7,4)),VALUE(MID(C229,4,2)),VALUE(MID(C229,1,2)))+TIME(VALUE(MID(C229,12,2)),VALUE(MID(C229,15,2)),0))</f>
        <v>43043.375</v>
      </c>
      <c r="U229" s="3" t="str">
        <f aca="false">IFERROR(IF(ISNUMBER(VALUE(TRIM(MID(A229,FIND("-",A229)+1,FIND("km",A229)-FIND("-",A229)-1)))),"Distance + direction + city","Named-region"),"Named-region")</f>
        <v>Distance + direction + city</v>
      </c>
      <c r="V229" s="3" t="str">
        <f aca="false">LOWER(M229)</f>
        <v>mww</v>
      </c>
      <c r="W229" s="3" t="n">
        <f aca="false">COUNTIFS($A$2:$A$1001,A229,$C$2:$C$1001,C229)</f>
        <v>1</v>
      </c>
      <c r="X229" s="3" t="str">
        <f aca="false">IF(W229&gt;1,"Duplicate","Unique")</f>
        <v>Unique</v>
      </c>
      <c r="Y229" s="3" t="str">
        <f aca="false">IF(B229&lt;6.5,"&lt;6.5",IF(B229&lt;7,"6.5–6.9",IF(B229&lt;7.5,"7.0–7.4",IF(B229&lt;8,"7.5–7.9","8.0+"))))</f>
        <v>6.5–6.9</v>
      </c>
      <c r="Z229" s="3" t="n">
        <f aca="false">IF(T229="","",YEAR(T229))</f>
        <v>2017</v>
      </c>
    </row>
    <row r="230" customFormat="false" ht="13.8" hidden="false" customHeight="false" outlineLevel="0" collapsed="false">
      <c r="A230" s="3" t="s">
        <v>666</v>
      </c>
      <c r="B230" s="3" t="n">
        <v>6.6</v>
      </c>
      <c r="C230" s="6" t="s">
        <v>667</v>
      </c>
      <c r="D230" s="3" t="n">
        <v>3</v>
      </c>
      <c r="E230" s="3" t="n">
        <v>5</v>
      </c>
      <c r="F230" s="3" t="s">
        <v>21</v>
      </c>
      <c r="G230" s="3" t="n">
        <v>1</v>
      </c>
      <c r="H230" s="3" t="n">
        <v>674</v>
      </c>
      <c r="I230" s="3" t="s">
        <v>22</v>
      </c>
      <c r="J230" s="3" t="n">
        <v>0</v>
      </c>
      <c r="K230" s="3" t="n">
        <v>0.788</v>
      </c>
      <c r="L230" s="3" t="n">
        <v>29</v>
      </c>
      <c r="M230" s="3" t="s">
        <v>23</v>
      </c>
      <c r="N230" s="3" t="n">
        <v>22</v>
      </c>
      <c r="O230" s="3" t="n">
        <v>-21.6484</v>
      </c>
      <c r="P230" s="3" t="n">
        <v>168.859</v>
      </c>
      <c r="Q230" s="3" t="s">
        <v>211</v>
      </c>
      <c r="R230" s="3"/>
      <c r="S230" s="3"/>
      <c r="T230" s="5" t="n">
        <f aca="false">IF(C230="","",DATE(VALUE(MID(C230,7,4)),VALUE(MID(C230,4,2)),VALUE(MID(C230,1,2)))+TIME(VALUE(MID(C230,12,2)),VALUE(MID(C230,15,2)),0))</f>
        <v>43040.0993055556</v>
      </c>
      <c r="U230" s="3" t="str">
        <f aca="false">IFERROR(IF(ISNUMBER(VALUE(TRIM(MID(A230,FIND("-",A230)+1,FIND("km",A230)-FIND("-",A230)-1)))),"Distance + direction + city","Named-region"),"Named-region")</f>
        <v>Distance + direction + city</v>
      </c>
      <c r="V230" s="3" t="str">
        <f aca="false">LOWER(M230)</f>
        <v>mww</v>
      </c>
      <c r="W230" s="3" t="n">
        <f aca="false">COUNTIFS($A$2:$A$1001,A230,$C$2:$C$1001,C230)</f>
        <v>1</v>
      </c>
      <c r="X230" s="3" t="str">
        <f aca="false">IF(W230&gt;1,"Duplicate","Unique")</f>
        <v>Unique</v>
      </c>
      <c r="Y230" s="3" t="str">
        <f aca="false">IF(B230&lt;6.5,"&lt;6.5",IF(B230&lt;7,"6.5–6.9",IF(B230&lt;7.5,"7.0–7.4",IF(B230&lt;8,"7.5–7.9","8.0+"))))</f>
        <v>6.5–6.9</v>
      </c>
      <c r="Z230" s="3" t="n">
        <f aca="false">IF(T230="","",YEAR(T230))</f>
        <v>2017</v>
      </c>
    </row>
    <row r="231" customFormat="false" ht="13.8" hidden="false" customHeight="false" outlineLevel="0" collapsed="false">
      <c r="A231" s="3" t="s">
        <v>668</v>
      </c>
      <c r="B231" s="3" t="n">
        <v>6.7</v>
      </c>
      <c r="C231" s="3" t="s">
        <v>669</v>
      </c>
      <c r="D231" s="3" t="n">
        <v>3</v>
      </c>
      <c r="E231" s="3" t="n">
        <v>4</v>
      </c>
      <c r="F231" s="3" t="s">
        <v>21</v>
      </c>
      <c r="G231" s="3" t="n">
        <v>1</v>
      </c>
      <c r="H231" s="3" t="n">
        <v>691</v>
      </c>
      <c r="I231" s="3" t="s">
        <v>22</v>
      </c>
      <c r="J231" s="3" t="n">
        <v>0</v>
      </c>
      <c r="K231" s="3" t="n">
        <v>1.062</v>
      </c>
      <c r="L231" s="3" t="n">
        <v>55</v>
      </c>
      <c r="M231" s="3" t="s">
        <v>23</v>
      </c>
      <c r="N231" s="3" t="n">
        <v>24</v>
      </c>
      <c r="O231" s="3" t="n">
        <v>-21.6971</v>
      </c>
      <c r="P231" s="3" t="n">
        <v>169.148</v>
      </c>
      <c r="Q231" s="3" t="s">
        <v>211</v>
      </c>
      <c r="R231" s="3"/>
      <c r="S231" s="3"/>
      <c r="T231" s="5" t="n">
        <f aca="false">IF(C231="","",DATE(VALUE(MID(C231,7,4)),VALUE(MID(C231,4,2)),VALUE(MID(C231,1,2)))+TIME(VALUE(MID(C231,12,2)),VALUE(MID(C231,15,2)),0))</f>
        <v>43039.0291666667</v>
      </c>
      <c r="U231" s="3" t="str">
        <f aca="false">IFERROR(IF(ISNUMBER(VALUE(TRIM(MID(A231,FIND("-",A231)+1,FIND("km",A231)-FIND("-",A231)-1)))),"Distance + direction + city","Named-region"),"Named-region")</f>
        <v>Distance + direction + city</v>
      </c>
      <c r="V231" s="3" t="str">
        <f aca="false">LOWER(M231)</f>
        <v>mww</v>
      </c>
      <c r="W231" s="3" t="n">
        <f aca="false">COUNTIFS($A$2:$A$1001,A231,$C$2:$C$1001,C231)</f>
        <v>1</v>
      </c>
      <c r="X231" s="3" t="str">
        <f aca="false">IF(W231&gt;1,"Duplicate","Unique")</f>
        <v>Unique</v>
      </c>
      <c r="Y231" s="3" t="str">
        <f aca="false">IF(B231&lt;6.5,"&lt;6.5",IF(B231&lt;7,"6.5–6.9",IF(B231&lt;7.5,"7.0–7.4",IF(B231&lt;8,"7.5–7.9","8.0+"))))</f>
        <v>6.5–6.9</v>
      </c>
      <c r="Z231" s="3" t="n">
        <f aca="false">IF(T231="","",YEAR(T231))</f>
        <v>2017</v>
      </c>
    </row>
    <row r="232" customFormat="false" ht="13.8" hidden="false" customHeight="false" outlineLevel="0" collapsed="false">
      <c r="A232" s="3" t="s">
        <v>670</v>
      </c>
      <c r="B232" s="3" t="n">
        <v>6.7</v>
      </c>
      <c r="C232" s="3" t="s">
        <v>671</v>
      </c>
      <c r="D232" s="3" t="n">
        <v>3</v>
      </c>
      <c r="E232" s="3" t="n">
        <v>3</v>
      </c>
      <c r="F232" s="3" t="s">
        <v>21</v>
      </c>
      <c r="G232" s="3" t="n">
        <v>0</v>
      </c>
      <c r="H232" s="3" t="n">
        <v>694</v>
      </c>
      <c r="I232" s="3" t="s">
        <v>22</v>
      </c>
      <c r="J232" s="3" t="n">
        <v>0</v>
      </c>
      <c r="K232" s="3" t="n">
        <v>1.634</v>
      </c>
      <c r="L232" s="3" t="n">
        <v>16</v>
      </c>
      <c r="M232" s="3" t="s">
        <v>23</v>
      </c>
      <c r="N232" s="3" t="n">
        <v>553.81</v>
      </c>
      <c r="O232" s="3" t="n">
        <v>-7.2168</v>
      </c>
      <c r="P232" s="3" t="n">
        <v>123.074</v>
      </c>
      <c r="Q232" s="3" t="s">
        <v>672</v>
      </c>
      <c r="R232" s="3"/>
      <c r="S232" s="3" t="s">
        <v>68</v>
      </c>
      <c r="T232" s="5" t="n">
        <f aca="false">IF(C232="","",DATE(VALUE(MID(C232,7,4)),VALUE(MID(C232,4,2)),VALUE(MID(C232,1,2)))+TIME(VALUE(MID(C232,12,2)),VALUE(MID(C232,15,2)),0))</f>
        <v>43032.4493055556</v>
      </c>
      <c r="U232" s="3" t="str">
        <f aca="false">IFERROR(IF(ISNUMBER(VALUE(TRIM(MID(A232,FIND("-",A232)+1,FIND("km",A232)-FIND("-",A232)-1)))),"Distance + direction + city","Named-region"),"Named-region")</f>
        <v>Distance + direction + city</v>
      </c>
      <c r="V232" s="3" t="str">
        <f aca="false">LOWER(M232)</f>
        <v>mww</v>
      </c>
      <c r="W232" s="3" t="n">
        <f aca="false">COUNTIFS($A$2:$A$1001,A232,$C$2:$C$1001,C232)</f>
        <v>1</v>
      </c>
      <c r="X232" s="3" t="str">
        <f aca="false">IF(W232&gt;1,"Duplicate","Unique")</f>
        <v>Unique</v>
      </c>
      <c r="Y232" s="3" t="str">
        <f aca="false">IF(B232&lt;6.5,"&lt;6.5",IF(B232&lt;7,"6.5–6.9",IF(B232&lt;7.5,"7.0–7.4",IF(B232&lt;8,"7.5–7.9","8.0+"))))</f>
        <v>6.5–6.9</v>
      </c>
      <c r="Z232" s="3" t="n">
        <f aca="false">IF(T232="","",YEAR(T232))</f>
        <v>2017</v>
      </c>
    </row>
    <row r="233" customFormat="false" ht="13.8" hidden="false" customHeight="false" outlineLevel="0" collapsed="false">
      <c r="A233" s="3" t="s">
        <v>673</v>
      </c>
      <c r="B233" s="3" t="n">
        <v>6.5</v>
      </c>
      <c r="C233" s="6" t="s">
        <v>674</v>
      </c>
      <c r="D233" s="3" t="n">
        <v>3</v>
      </c>
      <c r="E233" s="3" t="n">
        <v>5</v>
      </c>
      <c r="F233" s="3" t="s">
        <v>21</v>
      </c>
      <c r="G233" s="3" t="n">
        <v>1</v>
      </c>
      <c r="H233" s="3" t="n">
        <v>651</v>
      </c>
      <c r="I233" s="3" t="s">
        <v>22</v>
      </c>
      <c r="J233" s="3" t="n">
        <v>0</v>
      </c>
      <c r="K233" s="3" t="n">
        <v>1.154</v>
      </c>
      <c r="L233" s="3" t="n">
        <v>11</v>
      </c>
      <c r="M233" s="3" t="s">
        <v>23</v>
      </c>
      <c r="N233" s="3" t="n">
        <v>119</v>
      </c>
      <c r="O233" s="3" t="n">
        <v>52.3909</v>
      </c>
      <c r="P233" s="3" t="n">
        <v>176.769</v>
      </c>
      <c r="Q233" s="3" t="s">
        <v>675</v>
      </c>
      <c r="R233" s="3" t="s">
        <v>164</v>
      </c>
      <c r="S233" s="3"/>
      <c r="T233" s="5" t="n">
        <f aca="false">IF(C233="","",DATE(VALUE(MID(C233,7,4)),VALUE(MID(C233,4,2)),VALUE(MID(C233,1,2)))+TIME(VALUE(MID(C233,12,2)),VALUE(MID(C233,15,2)),0))</f>
        <v>43016.9402777778</v>
      </c>
      <c r="U233" s="3" t="str">
        <f aca="false">IFERROR(IF(ISNUMBER(VALUE(TRIM(MID(A233,FIND("-",A233)+1,FIND("km",A233)-FIND("-",A233)-1)))),"Distance + direction + city","Named-region"),"Named-region")</f>
        <v>Distance + direction + city</v>
      </c>
      <c r="V233" s="3" t="str">
        <f aca="false">LOWER(M233)</f>
        <v>mww</v>
      </c>
      <c r="W233" s="3" t="n">
        <f aca="false">COUNTIFS($A$2:$A$1001,A233,$C$2:$C$1001,C233)</f>
        <v>1</v>
      </c>
      <c r="X233" s="3" t="str">
        <f aca="false">IF(W233&gt;1,"Duplicate","Unique")</f>
        <v>Unique</v>
      </c>
      <c r="Y233" s="3" t="str">
        <f aca="false">IF(B233&lt;6.5,"&lt;6.5",IF(B233&lt;7,"6.5–6.9",IF(B233&lt;7.5,"7.0–7.4",IF(B233&lt;8,"7.5–7.9","8.0+"))))</f>
        <v>6.5–6.9</v>
      </c>
      <c r="Z233" s="3" t="n">
        <f aca="false">IF(T233="","",YEAR(T233))</f>
        <v>2017</v>
      </c>
    </row>
    <row r="234" customFormat="false" ht="13.8" hidden="false" customHeight="false" outlineLevel="0" collapsed="false">
      <c r="A234" s="3" t="s">
        <v>676</v>
      </c>
      <c r="B234" s="3" t="n">
        <v>7.1</v>
      </c>
      <c r="C234" s="3" t="s">
        <v>677</v>
      </c>
      <c r="D234" s="3" t="n">
        <v>9</v>
      </c>
      <c r="E234" s="3" t="n">
        <v>8</v>
      </c>
      <c r="F234" s="3"/>
      <c r="G234" s="3" t="n">
        <v>0</v>
      </c>
      <c r="H234" s="3" t="n">
        <v>1686</v>
      </c>
      <c r="I234" s="3" t="s">
        <v>22</v>
      </c>
      <c r="J234" s="3" t="n">
        <v>0</v>
      </c>
      <c r="K234" s="3" t="n">
        <v>0.984</v>
      </c>
      <c r="L234" s="3" t="n">
        <v>23</v>
      </c>
      <c r="M234" s="3" t="s">
        <v>23</v>
      </c>
      <c r="N234" s="3" t="n">
        <v>48</v>
      </c>
      <c r="O234" s="3" t="n">
        <v>18.5499</v>
      </c>
      <c r="P234" s="3" t="n">
        <v>-98.4887</v>
      </c>
      <c r="Q234" s="3" t="s">
        <v>678</v>
      </c>
      <c r="R234" s="3" t="s">
        <v>164</v>
      </c>
      <c r="S234" s="3" t="s">
        <v>165</v>
      </c>
      <c r="T234" s="5" t="n">
        <f aca="false">IF(C234="","",DATE(VALUE(MID(C234,7,4)),VALUE(MID(C234,4,2)),VALUE(MID(C234,1,2)))+TIME(VALUE(MID(C234,12,2)),VALUE(MID(C234,15,2)),0))</f>
        <v>42997.7597222222</v>
      </c>
      <c r="U234" s="3" t="str">
        <f aca="false">IFERROR(IF(ISNUMBER(VALUE(TRIM(MID(A234,FIND("-",A234)+1,FIND("km",A234)-FIND("-",A234)-1)))),"Distance + direction + city","Named-region"),"Named-region")</f>
        <v>Distance + direction + city</v>
      </c>
      <c r="V234" s="3" t="str">
        <f aca="false">LOWER(M234)</f>
        <v>mww</v>
      </c>
      <c r="W234" s="3" t="n">
        <f aca="false">COUNTIFS($A$2:$A$1001,A234,$C$2:$C$1001,C234)</f>
        <v>1</v>
      </c>
      <c r="X234" s="3" t="str">
        <f aca="false">IF(W234&gt;1,"Duplicate","Unique")</f>
        <v>Unique</v>
      </c>
      <c r="Y234" s="3" t="str">
        <f aca="false">IF(B234&lt;6.5,"&lt;6.5",IF(B234&lt;7,"6.5–6.9",IF(B234&lt;7.5,"7.0–7.4",IF(B234&lt;8,"7.5–7.9","8.0+"))))</f>
        <v>7.0–7.4</v>
      </c>
      <c r="Z234" s="3" t="n">
        <f aca="false">IF(T234="","",YEAR(T234))</f>
        <v>2017</v>
      </c>
    </row>
    <row r="235" customFormat="false" ht="13.8" hidden="false" customHeight="false" outlineLevel="0" collapsed="false">
      <c r="A235" s="3" t="s">
        <v>679</v>
      </c>
      <c r="B235" s="3" t="n">
        <v>8.2</v>
      </c>
      <c r="C235" s="6" t="s">
        <v>680</v>
      </c>
      <c r="D235" s="3" t="n">
        <v>9</v>
      </c>
      <c r="E235" s="3" t="n">
        <v>7</v>
      </c>
      <c r="F235" s="3" t="s">
        <v>121</v>
      </c>
      <c r="G235" s="3" t="n">
        <v>1</v>
      </c>
      <c r="H235" s="3" t="n">
        <v>2910</v>
      </c>
      <c r="I235" s="3" t="s">
        <v>22</v>
      </c>
      <c r="J235" s="3" t="n">
        <v>0</v>
      </c>
      <c r="K235" s="3" t="n">
        <v>0.944</v>
      </c>
      <c r="L235" s="3" t="n">
        <v>22</v>
      </c>
      <c r="M235" s="3" t="s">
        <v>23</v>
      </c>
      <c r="N235" s="3" t="n">
        <v>47.39</v>
      </c>
      <c r="O235" s="3" t="n">
        <v>15.0222</v>
      </c>
      <c r="P235" s="3" t="n">
        <v>-93.8993</v>
      </c>
      <c r="Q235" s="3" t="s">
        <v>681</v>
      </c>
      <c r="R235" s="3"/>
      <c r="S235" s="3"/>
      <c r="T235" s="5" t="n">
        <f aca="false">IF(C235="","",DATE(VALUE(MID(C235,7,4)),VALUE(MID(C235,4,2)),VALUE(MID(C235,1,2)))+TIME(VALUE(MID(C235,12,2)),VALUE(MID(C235,15,2)),0))</f>
        <v>42986.2006944444</v>
      </c>
      <c r="U235" s="3" t="str">
        <f aca="false">IFERROR(IF(ISNUMBER(VALUE(TRIM(MID(A235,FIND("-",A235)+1,FIND("km",A235)-FIND("-",A235)-1)))),"Distance + direction + city","Named-region"),"Named-region")</f>
        <v>Named-region</v>
      </c>
      <c r="V235" s="3" t="str">
        <f aca="false">LOWER(M235)</f>
        <v>mww</v>
      </c>
      <c r="W235" s="3" t="n">
        <f aca="false">COUNTIFS($A$2:$A$1001,A235,$C$2:$C$1001,C235)</f>
        <v>1</v>
      </c>
      <c r="X235" s="3" t="str">
        <f aca="false">IF(W235&gt;1,"Duplicate","Unique")</f>
        <v>Unique</v>
      </c>
      <c r="Y235" s="3" t="str">
        <f aca="false">IF(B235&lt;6.5,"&lt;6.5",IF(B235&lt;7,"6.5–6.9",IF(B235&lt;7.5,"7.0–7.4",IF(B235&lt;8,"7.5–7.9","8.0+"))))</f>
        <v>8.0+</v>
      </c>
      <c r="Z235" s="3" t="n">
        <f aca="false">IF(T235="","",YEAR(T235))</f>
        <v>2017</v>
      </c>
    </row>
    <row r="236" customFormat="false" ht="13.8" hidden="false" customHeight="false" outlineLevel="0" collapsed="false">
      <c r="A236" s="3" t="s">
        <v>682</v>
      </c>
      <c r="B236" s="3" t="n">
        <v>6.5</v>
      </c>
      <c r="C236" s="6" t="s">
        <v>683</v>
      </c>
      <c r="D236" s="3" t="n">
        <v>5</v>
      </c>
      <c r="E236" s="3" t="n">
        <v>7</v>
      </c>
      <c r="F236" s="3" t="s">
        <v>28</v>
      </c>
      <c r="G236" s="3" t="n">
        <v>0</v>
      </c>
      <c r="H236" s="3" t="n">
        <v>707</v>
      </c>
      <c r="I236" s="3" t="s">
        <v>22</v>
      </c>
      <c r="J236" s="3" t="n">
        <v>0</v>
      </c>
      <c r="K236" s="3" t="n">
        <v>11.411</v>
      </c>
      <c r="L236" s="3" t="n">
        <v>22</v>
      </c>
      <c r="M236" s="3" t="s">
        <v>23</v>
      </c>
      <c r="N236" s="3" t="n">
        <v>9</v>
      </c>
      <c r="O236" s="3" t="n">
        <v>33.1926</v>
      </c>
      <c r="P236" s="3" t="n">
        <v>103.855</v>
      </c>
      <c r="Q236" s="3" t="s">
        <v>684</v>
      </c>
      <c r="R236" s="3" t="s">
        <v>80</v>
      </c>
      <c r="S236" s="3" t="s">
        <v>184</v>
      </c>
      <c r="T236" s="5" t="n">
        <f aca="false">IF(C236="","",DATE(VALUE(MID(C236,7,4)),VALUE(MID(C236,4,2)),VALUE(MID(C236,1,2)))+TIME(VALUE(MID(C236,12,2)),VALUE(MID(C236,15,2)),0))</f>
        <v>42955.5548611111</v>
      </c>
      <c r="U236" s="3" t="str">
        <f aca="false">IFERROR(IF(ISNUMBER(VALUE(TRIM(MID(A236,FIND("-",A236)+1,FIND("km",A236)-FIND("-",A236)-1)))),"Distance + direction + city","Named-region"),"Named-region")</f>
        <v>Distance + direction + city</v>
      </c>
      <c r="V236" s="3" t="str">
        <f aca="false">LOWER(M236)</f>
        <v>mww</v>
      </c>
      <c r="W236" s="3" t="n">
        <f aca="false">COUNTIFS($A$2:$A$1001,A236,$C$2:$C$1001,C236)</f>
        <v>1</v>
      </c>
      <c r="X236" s="3" t="str">
        <f aca="false">IF(W236&gt;1,"Duplicate","Unique")</f>
        <v>Unique</v>
      </c>
      <c r="Y236" s="3" t="str">
        <f aca="false">IF(B236&lt;6.5,"&lt;6.5",IF(B236&lt;7,"6.5–6.9",IF(B236&lt;7.5,"7.0–7.4",IF(B236&lt;8,"7.5–7.9","8.0+"))))</f>
        <v>6.5–6.9</v>
      </c>
      <c r="Z236" s="3" t="n">
        <f aca="false">IF(T236="","",YEAR(T236))</f>
        <v>2017</v>
      </c>
    </row>
    <row r="237" customFormat="false" ht="13.8" hidden="false" customHeight="false" outlineLevel="0" collapsed="false">
      <c r="A237" s="3" t="s">
        <v>685</v>
      </c>
      <c r="B237" s="3" t="n">
        <v>6.6</v>
      </c>
      <c r="C237" s="3" t="s">
        <v>686</v>
      </c>
      <c r="D237" s="3" t="n">
        <v>7</v>
      </c>
      <c r="E237" s="3" t="n">
        <v>7</v>
      </c>
      <c r="F237" s="3" t="s">
        <v>28</v>
      </c>
      <c r="G237" s="3" t="n">
        <v>0</v>
      </c>
      <c r="H237" s="3" t="n">
        <v>1064</v>
      </c>
      <c r="I237" s="3" t="s">
        <v>22</v>
      </c>
      <c r="J237" s="3" t="n">
        <v>0</v>
      </c>
      <c r="K237" s="3" t="n">
        <v>0.913</v>
      </c>
      <c r="L237" s="3" t="n">
        <v>16</v>
      </c>
      <c r="M237" s="3" t="s">
        <v>23</v>
      </c>
      <c r="N237" s="3" t="n">
        <v>7</v>
      </c>
      <c r="O237" s="3" t="n">
        <v>36.9293</v>
      </c>
      <c r="P237" s="3" t="n">
        <v>27.4139</v>
      </c>
      <c r="Q237" s="3" t="s">
        <v>687</v>
      </c>
      <c r="R237" s="3" t="s">
        <v>80</v>
      </c>
      <c r="S237" s="3" t="s">
        <v>435</v>
      </c>
      <c r="T237" s="5" t="n">
        <f aca="false">IF(C237="","",DATE(VALUE(MID(C237,7,4)),VALUE(MID(C237,4,2)),VALUE(MID(C237,1,2)))+TIME(VALUE(MID(C237,12,2)),VALUE(MID(C237,15,2)),0))</f>
        <v>42936.9381944445</v>
      </c>
      <c r="U237" s="3" t="str">
        <f aca="false">IFERROR(IF(ISNUMBER(VALUE(TRIM(MID(A237,FIND("-",A237)+1,FIND("km",A237)-FIND("-",A237)-1)))),"Distance + direction + city","Named-region"),"Named-region")</f>
        <v>Distance + direction + city</v>
      </c>
      <c r="V237" s="3" t="str">
        <f aca="false">LOWER(M237)</f>
        <v>mww</v>
      </c>
      <c r="W237" s="3" t="n">
        <f aca="false">COUNTIFS($A$2:$A$1001,A237,$C$2:$C$1001,C237)</f>
        <v>1</v>
      </c>
      <c r="X237" s="3" t="str">
        <f aca="false">IF(W237&gt;1,"Duplicate","Unique")</f>
        <v>Unique</v>
      </c>
      <c r="Y237" s="3" t="str">
        <f aca="false">IF(B237&lt;6.5,"&lt;6.5",IF(B237&lt;7,"6.5–6.9",IF(B237&lt;7.5,"7.0–7.4",IF(B237&lt;8,"7.5–7.9","8.0+"))))</f>
        <v>6.5–6.9</v>
      </c>
      <c r="Z237" s="3" t="n">
        <f aca="false">IF(T237="","",YEAR(T237))</f>
        <v>2017</v>
      </c>
    </row>
    <row r="238" customFormat="false" ht="13.8" hidden="false" customHeight="false" outlineLevel="0" collapsed="false">
      <c r="A238" s="3" t="s">
        <v>688</v>
      </c>
      <c r="B238" s="3" t="n">
        <v>7.7</v>
      </c>
      <c r="C238" s="3" t="s">
        <v>689</v>
      </c>
      <c r="D238" s="3" t="n">
        <v>8</v>
      </c>
      <c r="E238" s="3" t="n">
        <v>7</v>
      </c>
      <c r="F238" s="3" t="s">
        <v>21</v>
      </c>
      <c r="G238" s="3" t="n">
        <v>1</v>
      </c>
      <c r="H238" s="3" t="n">
        <v>918</v>
      </c>
      <c r="I238" s="3" t="s">
        <v>22</v>
      </c>
      <c r="J238" s="3" t="n">
        <v>0</v>
      </c>
      <c r="K238" s="3" t="n">
        <v>3.564</v>
      </c>
      <c r="L238" s="3" t="n">
        <v>13</v>
      </c>
      <c r="M238" s="3" t="s">
        <v>23</v>
      </c>
      <c r="N238" s="3" t="n">
        <v>10</v>
      </c>
      <c r="O238" s="3" t="n">
        <v>54.4434</v>
      </c>
      <c r="P238" s="3" t="n">
        <v>168.857</v>
      </c>
      <c r="Q238" s="3" t="s">
        <v>690</v>
      </c>
      <c r="R238" s="3"/>
      <c r="S238" s="3"/>
      <c r="T238" s="5" t="n">
        <f aca="false">IF(C238="","",DATE(VALUE(MID(C238,7,4)),VALUE(MID(C238,4,2)),VALUE(MID(C238,1,2)))+TIME(VALUE(MID(C238,12,2)),VALUE(MID(C238,15,2)),0))</f>
        <v>42933.9819444444</v>
      </c>
      <c r="U238" s="3" t="str">
        <f aca="false">IFERROR(IF(ISNUMBER(VALUE(TRIM(MID(A238,FIND("-",A238)+1,FIND("km",A238)-FIND("-",A238)-1)))),"Distance + direction + city","Named-region"),"Named-region")</f>
        <v>Named-region</v>
      </c>
      <c r="V238" s="3" t="str">
        <f aca="false">LOWER(M238)</f>
        <v>mww</v>
      </c>
      <c r="W238" s="3" t="n">
        <f aca="false">COUNTIFS($A$2:$A$1001,A238,$C$2:$C$1001,C238)</f>
        <v>1</v>
      </c>
      <c r="X238" s="3" t="str">
        <f aca="false">IF(W238&gt;1,"Duplicate","Unique")</f>
        <v>Unique</v>
      </c>
      <c r="Y238" s="3" t="str">
        <f aca="false">IF(B238&lt;6.5,"&lt;6.5",IF(B238&lt;7,"6.5–6.9",IF(B238&lt;7.5,"7.0–7.4",IF(B238&lt;8,"7.5–7.9","8.0+"))))</f>
        <v>7.5–7.9</v>
      </c>
      <c r="Z238" s="3" t="n">
        <f aca="false">IF(T238="","",YEAR(T238))</f>
        <v>2017</v>
      </c>
    </row>
    <row r="239" customFormat="false" ht="13.8" hidden="false" customHeight="false" outlineLevel="0" collapsed="false">
      <c r="A239" s="3" t="s">
        <v>691</v>
      </c>
      <c r="B239" s="3" t="n">
        <v>6.6</v>
      </c>
      <c r="C239" s="6" t="s">
        <v>692</v>
      </c>
      <c r="D239" s="3" t="n">
        <v>5</v>
      </c>
      <c r="E239" s="3" t="n">
        <v>4</v>
      </c>
      <c r="F239" s="3" t="s">
        <v>21</v>
      </c>
      <c r="G239" s="3" t="n">
        <v>1</v>
      </c>
      <c r="H239" s="3" t="n">
        <v>704</v>
      </c>
      <c r="I239" s="3" t="s">
        <v>22</v>
      </c>
      <c r="J239" s="3" t="n">
        <v>0</v>
      </c>
      <c r="K239" s="3" t="n">
        <v>3.773</v>
      </c>
      <c r="L239" s="3" t="n">
        <v>37</v>
      </c>
      <c r="M239" s="3" t="s">
        <v>23</v>
      </c>
      <c r="N239" s="3" t="n">
        <v>10</v>
      </c>
      <c r="O239" s="3" t="n">
        <v>-49.4837</v>
      </c>
      <c r="P239" s="3" t="n">
        <v>164.016</v>
      </c>
      <c r="Q239" s="3" t="s">
        <v>693</v>
      </c>
      <c r="R239" s="3"/>
      <c r="S239" s="3"/>
      <c r="T239" s="5" t="n">
        <f aca="false">IF(C239="","",DATE(VALUE(MID(C239,7,4)),VALUE(MID(C239,4,2)),VALUE(MID(C239,1,2)))+TIME(VALUE(MID(C239,12,2)),VALUE(MID(C239,15,2)),0))</f>
        <v>42927.2916666667</v>
      </c>
      <c r="U239" s="3" t="str">
        <f aca="false">IFERROR(IF(ISNUMBER(VALUE(TRIM(MID(A239,FIND("-",A239)+1,FIND("km",A239)-FIND("-",A239)-1)))),"Distance + direction + city","Named-region"),"Named-region")</f>
        <v>Named-region</v>
      </c>
      <c r="V239" s="3" t="str">
        <f aca="false">LOWER(M239)</f>
        <v>mww</v>
      </c>
      <c r="W239" s="3" t="n">
        <f aca="false">COUNTIFS($A$2:$A$1001,A239,$C$2:$C$1001,C239)</f>
        <v>1</v>
      </c>
      <c r="X239" s="3" t="str">
        <f aca="false">IF(W239&gt;1,"Duplicate","Unique")</f>
        <v>Unique</v>
      </c>
      <c r="Y239" s="3" t="str">
        <f aca="false">IF(B239&lt;6.5,"&lt;6.5",IF(B239&lt;7,"6.5–6.9",IF(B239&lt;7.5,"7.0–7.4",IF(B239&lt;8,"7.5–7.9","8.0+"))))</f>
        <v>6.5–6.9</v>
      </c>
      <c r="Z239" s="3" t="n">
        <f aca="false">IF(T239="","",YEAR(T239))</f>
        <v>2017</v>
      </c>
    </row>
    <row r="240" customFormat="false" ht="13.8" hidden="false" customHeight="false" outlineLevel="0" collapsed="false">
      <c r="A240" s="3" t="s">
        <v>694</v>
      </c>
      <c r="B240" s="3" t="n">
        <v>6.5</v>
      </c>
      <c r="C240" s="6" t="s">
        <v>695</v>
      </c>
      <c r="D240" s="3" t="n">
        <v>9</v>
      </c>
      <c r="E240" s="3" t="n">
        <v>8</v>
      </c>
      <c r="F240" s="3" t="s">
        <v>28</v>
      </c>
      <c r="G240" s="3" t="n">
        <v>1</v>
      </c>
      <c r="H240" s="3" t="n">
        <v>740</v>
      </c>
      <c r="I240" s="3" t="s">
        <v>22</v>
      </c>
      <c r="J240" s="3" t="n">
        <v>0</v>
      </c>
      <c r="K240" s="3" t="n">
        <v>4.139</v>
      </c>
      <c r="L240" s="3" t="n">
        <v>30</v>
      </c>
      <c r="M240" s="3" t="s">
        <v>23</v>
      </c>
      <c r="N240" s="3" t="n">
        <v>9</v>
      </c>
      <c r="O240" s="3" t="n">
        <v>11.1269</v>
      </c>
      <c r="P240" s="3" t="n">
        <v>124.629</v>
      </c>
      <c r="Q240" s="3" t="s">
        <v>696</v>
      </c>
      <c r="R240" s="3"/>
      <c r="S240" s="3" t="s">
        <v>191</v>
      </c>
      <c r="T240" s="5" t="n">
        <f aca="false">IF(C240="","",DATE(VALUE(MID(C240,7,4)),VALUE(MID(C240,4,2)),VALUE(MID(C240,1,2)))+TIME(VALUE(MID(C240,12,2)),VALUE(MID(C240,15,2)),0))</f>
        <v>42922.3354166667</v>
      </c>
      <c r="U240" s="3" t="str">
        <f aca="false">IFERROR(IF(ISNUMBER(VALUE(TRIM(MID(A240,FIND("-",A240)+1,FIND("km",A240)-FIND("-",A240)-1)))),"Distance + direction + city","Named-region"),"Named-region")</f>
        <v>Distance + direction + city</v>
      </c>
      <c r="V240" s="3" t="str">
        <f aca="false">LOWER(M240)</f>
        <v>mww</v>
      </c>
      <c r="W240" s="3" t="n">
        <f aca="false">COUNTIFS($A$2:$A$1001,A240,$C$2:$C$1001,C240)</f>
        <v>1</v>
      </c>
      <c r="X240" s="3" t="str">
        <f aca="false">IF(W240&gt;1,"Duplicate","Unique")</f>
        <v>Unique</v>
      </c>
      <c r="Y240" s="3" t="str">
        <f aca="false">IF(B240&lt;6.5,"&lt;6.5",IF(B240&lt;7,"6.5–6.9",IF(B240&lt;7.5,"7.0–7.4",IF(B240&lt;8,"7.5–7.9","8.0+"))))</f>
        <v>6.5–6.9</v>
      </c>
      <c r="Z240" s="3" t="n">
        <f aca="false">IF(T240="","",YEAR(T240))</f>
        <v>2017</v>
      </c>
    </row>
    <row r="241" customFormat="false" ht="13.8" hidden="false" customHeight="false" outlineLevel="0" collapsed="false">
      <c r="A241" s="3" t="s">
        <v>697</v>
      </c>
      <c r="B241" s="3" t="n">
        <v>6.8</v>
      </c>
      <c r="C241" s="3" t="s">
        <v>698</v>
      </c>
      <c r="D241" s="3" t="n">
        <v>6</v>
      </c>
      <c r="E241" s="3" t="n">
        <v>6</v>
      </c>
      <c r="F241" s="3" t="s">
        <v>28</v>
      </c>
      <c r="G241" s="3" t="n">
        <v>1</v>
      </c>
      <c r="H241" s="3" t="n">
        <v>1034</v>
      </c>
      <c r="I241" s="3" t="s">
        <v>22</v>
      </c>
      <c r="J241" s="3" t="n">
        <v>0</v>
      </c>
      <c r="K241" s="3" t="n">
        <v>1.065</v>
      </c>
      <c r="L241" s="3" t="n">
        <v>38</v>
      </c>
      <c r="M241" s="3" t="s">
        <v>23</v>
      </c>
      <c r="N241" s="3" t="n">
        <v>38.12</v>
      </c>
      <c r="O241" s="3" t="n">
        <v>13.7174</v>
      </c>
      <c r="P241" s="3" t="n">
        <v>-90.9718</v>
      </c>
      <c r="Q241" s="3" t="s">
        <v>699</v>
      </c>
      <c r="R241" s="3"/>
      <c r="S241" s="3"/>
      <c r="T241" s="5" t="n">
        <f aca="false">IF(C241="","",DATE(VALUE(MID(C241,7,4)),VALUE(MID(C241,4,2)),VALUE(MID(C241,1,2)))+TIME(VALUE(MID(C241,12,2)),VALUE(MID(C241,15,2)),0))</f>
        <v>42908.5215277778</v>
      </c>
      <c r="U241" s="3" t="str">
        <f aca="false">IFERROR(IF(ISNUMBER(VALUE(TRIM(MID(A241,FIND("-",A241)+1,FIND("km",A241)-FIND("-",A241)-1)))),"Distance + direction + city","Named-region"),"Named-region")</f>
        <v>Distance + direction + city</v>
      </c>
      <c r="V241" s="3" t="str">
        <f aca="false">LOWER(M241)</f>
        <v>mww</v>
      </c>
      <c r="W241" s="3" t="n">
        <f aca="false">COUNTIFS($A$2:$A$1001,A241,$C$2:$C$1001,C241)</f>
        <v>1</v>
      </c>
      <c r="X241" s="3" t="str">
        <f aca="false">IF(W241&gt;1,"Duplicate","Unique")</f>
        <v>Unique</v>
      </c>
      <c r="Y241" s="3" t="str">
        <f aca="false">IF(B241&lt;6.5,"&lt;6.5",IF(B241&lt;7,"6.5–6.9",IF(B241&lt;7.5,"7.0–7.4",IF(B241&lt;8,"7.5–7.9","8.0+"))))</f>
        <v>6.5–6.9</v>
      </c>
      <c r="Z241" s="3" t="n">
        <f aca="false">IF(T241="","",YEAR(T241))</f>
        <v>2017</v>
      </c>
    </row>
    <row r="242" customFormat="false" ht="13.8" hidden="false" customHeight="false" outlineLevel="0" collapsed="false">
      <c r="A242" s="3" t="s">
        <v>700</v>
      </c>
      <c r="B242" s="3" t="n">
        <v>6.9</v>
      </c>
      <c r="C242" s="3" t="s">
        <v>701</v>
      </c>
      <c r="D242" s="3" t="n">
        <v>8</v>
      </c>
      <c r="E242" s="3" t="n">
        <v>6</v>
      </c>
      <c r="F242" s="3" t="s">
        <v>28</v>
      </c>
      <c r="G242" s="3" t="n">
        <v>1</v>
      </c>
      <c r="H242" s="3" t="n">
        <v>1188</v>
      </c>
      <c r="I242" s="3" t="s">
        <v>22</v>
      </c>
      <c r="J242" s="3" t="n">
        <v>0</v>
      </c>
      <c r="K242" s="3" t="n">
        <v>0.247</v>
      </c>
      <c r="L242" s="3" t="n">
        <v>35</v>
      </c>
      <c r="M242" s="3" t="s">
        <v>23</v>
      </c>
      <c r="N242" s="3" t="n">
        <v>93</v>
      </c>
      <c r="O242" s="3" t="n">
        <v>14.9091</v>
      </c>
      <c r="P242" s="3" t="n">
        <v>-92.0092</v>
      </c>
      <c r="Q242" s="3" t="s">
        <v>702</v>
      </c>
      <c r="R242" s="3"/>
      <c r="S242" s="3" t="s">
        <v>703</v>
      </c>
      <c r="T242" s="5" t="n">
        <f aca="false">IF(C242="","",DATE(VALUE(MID(C242,7,4)),VALUE(MID(C242,4,2)),VALUE(MID(C242,1,2)))+TIME(VALUE(MID(C242,12,2)),VALUE(MID(C242,15,2)),0))</f>
        <v>42900.3118055556</v>
      </c>
      <c r="U242" s="3" t="str">
        <f aca="false">IFERROR(IF(ISNUMBER(VALUE(TRIM(MID(A242,FIND("-",A242)+1,FIND("km",A242)-FIND("-",A242)-1)))),"Distance + direction + city","Named-region"),"Named-region")</f>
        <v>Distance + direction + city</v>
      </c>
      <c r="V242" s="3" t="str">
        <f aca="false">LOWER(M242)</f>
        <v>mww</v>
      </c>
      <c r="W242" s="3" t="n">
        <f aca="false">COUNTIFS($A$2:$A$1001,A242,$C$2:$C$1001,C242)</f>
        <v>1</v>
      </c>
      <c r="X242" s="3" t="str">
        <f aca="false">IF(W242&gt;1,"Duplicate","Unique")</f>
        <v>Unique</v>
      </c>
      <c r="Y242" s="3" t="str">
        <f aca="false">IF(B242&lt;6.5,"&lt;6.5",IF(B242&lt;7,"6.5–6.9",IF(B242&lt;7.5,"7.0–7.4",IF(B242&lt;8,"7.5–7.9","8.0+"))))</f>
        <v>6.5–6.9</v>
      </c>
      <c r="Z242" s="3" t="n">
        <f aca="false">IF(T242="","",YEAR(T242))</f>
        <v>2017</v>
      </c>
    </row>
    <row r="243" customFormat="false" ht="13.8" hidden="false" customHeight="false" outlineLevel="0" collapsed="false">
      <c r="A243" s="3" t="s">
        <v>704</v>
      </c>
      <c r="B243" s="3" t="n">
        <v>6.8</v>
      </c>
      <c r="C243" s="6" t="s">
        <v>705</v>
      </c>
      <c r="D243" s="3" t="n">
        <v>0</v>
      </c>
      <c r="E243" s="3" t="n">
        <v>4</v>
      </c>
      <c r="F243" s="3" t="s">
        <v>21</v>
      </c>
      <c r="G243" s="3" t="n">
        <v>1</v>
      </c>
      <c r="H243" s="3" t="n">
        <v>711</v>
      </c>
      <c r="I243" s="3" t="s">
        <v>22</v>
      </c>
      <c r="J243" s="3" t="n">
        <v>0</v>
      </c>
      <c r="K243" s="3" t="n">
        <v>2.308</v>
      </c>
      <c r="L243" s="3" t="n">
        <v>12</v>
      </c>
      <c r="M243" s="3" t="s">
        <v>23</v>
      </c>
      <c r="N243" s="3" t="n">
        <v>5</v>
      </c>
      <c r="O243" s="3" t="n">
        <v>54.0312</v>
      </c>
      <c r="P243" s="3" t="n">
        <v>170.92</v>
      </c>
      <c r="Q243" s="3" t="s">
        <v>675</v>
      </c>
      <c r="R243" s="3"/>
      <c r="S243" s="3"/>
      <c r="T243" s="5" t="n">
        <f aca="false">IF(C243="","",DATE(VALUE(MID(C243,7,4)),VALUE(MID(C243,4,2)),VALUE(MID(C243,1,2)))+TIME(VALUE(MID(C243,12,2)),VALUE(MID(C243,15,2)),0))</f>
        <v>42888.9333333333</v>
      </c>
      <c r="U243" s="3" t="str">
        <f aca="false">IFERROR(IF(ISNUMBER(VALUE(TRIM(MID(A243,FIND("-",A243)+1,FIND("km",A243)-FIND("-",A243)-1)))),"Distance + direction + city","Named-region"),"Named-region")</f>
        <v>Distance + direction + city</v>
      </c>
      <c r="V243" s="3" t="str">
        <f aca="false">LOWER(M243)</f>
        <v>mww</v>
      </c>
      <c r="W243" s="3" t="n">
        <f aca="false">COUNTIFS($A$2:$A$1001,A243,$C$2:$C$1001,C243)</f>
        <v>1</v>
      </c>
      <c r="X243" s="3" t="str">
        <f aca="false">IF(W243&gt;1,"Duplicate","Unique")</f>
        <v>Unique</v>
      </c>
      <c r="Y243" s="3" t="str">
        <f aca="false">IF(B243&lt;6.5,"&lt;6.5",IF(B243&lt;7,"6.5–6.9",IF(B243&lt;7.5,"7.0–7.4",IF(B243&lt;8,"7.5–7.9","8.0+"))))</f>
        <v>6.5–6.9</v>
      </c>
      <c r="Z243" s="3" t="n">
        <f aca="false">IF(T243="","",YEAR(T243))</f>
        <v>2017</v>
      </c>
    </row>
    <row r="244" customFormat="false" ht="13.8" hidden="false" customHeight="false" outlineLevel="0" collapsed="false">
      <c r="A244" s="3" t="s">
        <v>706</v>
      </c>
      <c r="B244" s="3" t="n">
        <v>6.6</v>
      </c>
      <c r="C244" s="3" t="s">
        <v>707</v>
      </c>
      <c r="D244" s="3" t="n">
        <v>7</v>
      </c>
      <c r="E244" s="3" t="n">
        <v>7</v>
      </c>
      <c r="F244" s="3" t="s">
        <v>21</v>
      </c>
      <c r="G244" s="3" t="n">
        <v>0</v>
      </c>
      <c r="H244" s="3" t="n">
        <v>678</v>
      </c>
      <c r="I244" s="3" t="s">
        <v>22</v>
      </c>
      <c r="J244" s="3" t="n">
        <v>0</v>
      </c>
      <c r="K244" s="3" t="n">
        <v>2.353</v>
      </c>
      <c r="L244" s="3" t="n">
        <v>18</v>
      </c>
      <c r="M244" s="3" t="s">
        <v>23</v>
      </c>
      <c r="N244" s="3" t="n">
        <v>12</v>
      </c>
      <c r="O244" s="3" t="n">
        <v>-1.2923</v>
      </c>
      <c r="P244" s="3" t="n">
        <v>120.431</v>
      </c>
      <c r="Q244" s="3" t="s">
        <v>708</v>
      </c>
      <c r="R244" s="3"/>
      <c r="S244" s="3" t="s">
        <v>68</v>
      </c>
      <c r="T244" s="5" t="n">
        <f aca="false">IF(C244="","",DATE(VALUE(MID(C244,7,4)),VALUE(MID(C244,4,2)),VALUE(MID(C244,1,2)))+TIME(VALUE(MID(C244,12,2)),VALUE(MID(C244,15,2)),0))</f>
        <v>42884.6076388889</v>
      </c>
      <c r="U244" s="3" t="str">
        <f aca="false">IFERROR(IF(ISNUMBER(VALUE(TRIM(MID(A244,FIND("-",A244)+1,FIND("km",A244)-FIND("-",A244)-1)))),"Distance + direction + city","Named-region"),"Named-region")</f>
        <v>Distance + direction + city</v>
      </c>
      <c r="V244" s="3" t="str">
        <f aca="false">LOWER(M244)</f>
        <v>mww</v>
      </c>
      <c r="W244" s="3" t="n">
        <f aca="false">COUNTIFS($A$2:$A$1001,A244,$C$2:$C$1001,C244)</f>
        <v>1</v>
      </c>
      <c r="X244" s="3" t="str">
        <f aca="false">IF(W244&gt;1,"Duplicate","Unique")</f>
        <v>Unique</v>
      </c>
      <c r="Y244" s="3" t="str">
        <f aca="false">IF(B244&lt;6.5,"&lt;6.5",IF(B244&lt;7,"6.5–6.9",IF(B244&lt;7.5,"7.0–7.4",IF(B244&lt;8,"7.5–7.9","8.0+"))))</f>
        <v>6.5–6.9</v>
      </c>
      <c r="Z244" s="3" t="n">
        <f aca="false">IF(T244="","",YEAR(T244))</f>
        <v>2017</v>
      </c>
    </row>
    <row r="245" customFormat="false" ht="13.8" hidden="false" customHeight="false" outlineLevel="0" collapsed="false">
      <c r="A245" s="3" t="s">
        <v>709</v>
      </c>
      <c r="B245" s="3" t="n">
        <v>6.5</v>
      </c>
      <c r="C245" s="6" t="s">
        <v>710</v>
      </c>
      <c r="D245" s="3" t="n">
        <v>0</v>
      </c>
      <c r="E245" s="3" t="n">
        <v>4</v>
      </c>
      <c r="F245" s="3" t="s">
        <v>21</v>
      </c>
      <c r="G245" s="3" t="n">
        <v>1</v>
      </c>
      <c r="H245" s="3" t="n">
        <v>650</v>
      </c>
      <c r="I245" s="3" t="s">
        <v>22</v>
      </c>
      <c r="J245" s="3" t="n">
        <v>0</v>
      </c>
      <c r="K245" s="3" t="n">
        <v>6.489</v>
      </c>
      <c r="L245" s="3" t="n">
        <v>17</v>
      </c>
      <c r="M245" s="3" t="s">
        <v>23</v>
      </c>
      <c r="N245" s="3" t="n">
        <v>15</v>
      </c>
      <c r="O245" s="3" t="n">
        <v>-56.414</v>
      </c>
      <c r="P245" s="3" t="n">
        <v>-25.7432</v>
      </c>
      <c r="Q245" s="3" t="s">
        <v>275</v>
      </c>
      <c r="R245" s="3"/>
      <c r="S245" s="3"/>
      <c r="T245" s="5" t="n">
        <f aca="false">IF(C245="","",DATE(VALUE(MID(C245,7,4)),VALUE(MID(C245,4,2)),VALUE(MID(C245,1,2)))+TIME(VALUE(MID(C245,12,2)),VALUE(MID(C245,15,2)),0))</f>
        <v>42865.9743055556</v>
      </c>
      <c r="U245" s="3" t="str">
        <f aca="false">IFERROR(IF(ISNUMBER(VALUE(TRIM(MID(A245,FIND("-",A245)+1,FIND("km",A245)-FIND("-",A245)-1)))),"Distance + direction + city","Named-region"),"Named-region")</f>
        <v>Named-region</v>
      </c>
      <c r="V245" s="3" t="str">
        <f aca="false">LOWER(M245)</f>
        <v>mww</v>
      </c>
      <c r="W245" s="3" t="n">
        <f aca="false">COUNTIFS($A$2:$A$1001,A245,$C$2:$C$1001,C245)</f>
        <v>1</v>
      </c>
      <c r="X245" s="3" t="str">
        <f aca="false">IF(W245&gt;1,"Duplicate","Unique")</f>
        <v>Unique</v>
      </c>
      <c r="Y245" s="3" t="str">
        <f aca="false">IF(B245&lt;6.5,"&lt;6.5",IF(B245&lt;7,"6.5–6.9",IF(B245&lt;7.5,"7.0–7.4",IF(B245&lt;8,"7.5–7.9","8.0+"))))</f>
        <v>6.5–6.9</v>
      </c>
      <c r="Z245" s="3" t="n">
        <f aca="false">IF(T245="","",YEAR(T245))</f>
        <v>2017</v>
      </c>
    </row>
    <row r="246" customFormat="false" ht="13.8" hidden="false" customHeight="false" outlineLevel="0" collapsed="false">
      <c r="A246" s="3" t="s">
        <v>711</v>
      </c>
      <c r="B246" s="3" t="n">
        <v>6.8</v>
      </c>
      <c r="C246" s="6" t="s">
        <v>712</v>
      </c>
      <c r="D246" s="3" t="n">
        <v>6</v>
      </c>
      <c r="E246" s="3" t="n">
        <v>5</v>
      </c>
      <c r="F246" s="3" t="s">
        <v>21</v>
      </c>
      <c r="G246" s="3" t="n">
        <v>1</v>
      </c>
      <c r="H246" s="3" t="n">
        <v>713</v>
      </c>
      <c r="I246" s="3" t="s">
        <v>22</v>
      </c>
      <c r="J246" s="3" t="n">
        <v>0</v>
      </c>
      <c r="K246" s="3" t="n">
        <v>7.495</v>
      </c>
      <c r="L246" s="3" t="n">
        <v>19</v>
      </c>
      <c r="M246" s="3" t="s">
        <v>23</v>
      </c>
      <c r="N246" s="3" t="n">
        <v>169</v>
      </c>
      <c r="O246" s="3" t="n">
        <v>-14.5884</v>
      </c>
      <c r="P246" s="3" t="n">
        <v>167.377</v>
      </c>
      <c r="Q246" s="3" t="s">
        <v>104</v>
      </c>
      <c r="R246" s="3"/>
      <c r="S246" s="3" t="s">
        <v>25</v>
      </c>
      <c r="T246" s="5" t="n">
        <f aca="false">IF(C246="","",DATE(VALUE(MID(C246,7,4)),VALUE(MID(C246,4,2)),VALUE(MID(C246,1,2)))+TIME(VALUE(MID(C246,12,2)),VALUE(MID(C246,15,2)),0))</f>
        <v>42864.5777777778</v>
      </c>
      <c r="U246" s="3" t="str">
        <f aca="false">IFERROR(IF(ISNUMBER(VALUE(TRIM(MID(A246,FIND("-",A246)+1,FIND("km",A246)-FIND("-",A246)-1)))),"Distance + direction + city","Named-region"),"Named-region")</f>
        <v>Distance + direction + city</v>
      </c>
      <c r="V246" s="3" t="str">
        <f aca="false">LOWER(M246)</f>
        <v>mww</v>
      </c>
      <c r="W246" s="3" t="n">
        <f aca="false">COUNTIFS($A$2:$A$1001,A246,$C$2:$C$1001,C246)</f>
        <v>1</v>
      </c>
      <c r="X246" s="3" t="str">
        <f aca="false">IF(W246&gt;1,"Duplicate","Unique")</f>
        <v>Unique</v>
      </c>
      <c r="Y246" s="3" t="str">
        <f aca="false">IF(B246&lt;6.5,"&lt;6.5",IF(B246&lt;7,"6.5–6.9",IF(B246&lt;7.5,"7.0–7.4",IF(B246&lt;8,"7.5–7.9","8.0+"))))</f>
        <v>6.5–6.9</v>
      </c>
      <c r="Z246" s="3" t="n">
        <f aca="false">IF(T246="","",YEAR(T246))</f>
        <v>2017</v>
      </c>
    </row>
    <row r="247" customFormat="false" ht="13.8" hidden="false" customHeight="false" outlineLevel="0" collapsed="false">
      <c r="A247" s="3" t="s">
        <v>713</v>
      </c>
      <c r="B247" s="3" t="n">
        <v>6.9</v>
      </c>
      <c r="C247" s="3" t="s">
        <v>714</v>
      </c>
      <c r="D247" s="3" t="n">
        <v>9</v>
      </c>
      <c r="E247" s="3" t="n">
        <v>6</v>
      </c>
      <c r="F247" s="3" t="s">
        <v>21</v>
      </c>
      <c r="G247" s="3" t="n">
        <v>1</v>
      </c>
      <c r="H247" s="3" t="n">
        <v>814</v>
      </c>
      <c r="I247" s="3" t="s">
        <v>22</v>
      </c>
      <c r="J247" s="3" t="n">
        <v>0</v>
      </c>
      <c r="K247" s="3" t="n">
        <v>1.636</v>
      </c>
      <c r="L247" s="3" t="n">
        <v>14</v>
      </c>
      <c r="M247" s="3" t="s">
        <v>23</v>
      </c>
      <c r="N247" s="3" t="n">
        <v>26</v>
      </c>
      <c r="O247" s="3" t="n">
        <v>5.5043</v>
      </c>
      <c r="P247" s="3" t="n">
        <v>125.066</v>
      </c>
      <c r="Q247" s="3" t="s">
        <v>715</v>
      </c>
      <c r="R247" s="3"/>
      <c r="S247" s="3" t="s">
        <v>191</v>
      </c>
      <c r="T247" s="5" t="n">
        <f aca="false">IF(C247="","",DATE(VALUE(MID(C247,7,4)),VALUE(MID(C247,4,2)),VALUE(MID(C247,1,2)))+TIME(VALUE(MID(C247,12,2)),VALUE(MID(C247,15,2)),0))</f>
        <v>42853.8493055556</v>
      </c>
      <c r="U247" s="3" t="str">
        <f aca="false">IFERROR(IF(ISNUMBER(VALUE(TRIM(MID(A247,FIND("-",A247)+1,FIND("km",A247)-FIND("-",A247)-1)))),"Distance + direction + city","Named-region"),"Named-region")</f>
        <v>Distance + direction + city</v>
      </c>
      <c r="V247" s="3" t="str">
        <f aca="false">LOWER(M247)</f>
        <v>mww</v>
      </c>
      <c r="W247" s="3" t="n">
        <f aca="false">COUNTIFS($A$2:$A$1001,A247,$C$2:$C$1001,C247)</f>
        <v>1</v>
      </c>
      <c r="X247" s="3" t="str">
        <f aca="false">IF(W247&gt;1,"Duplicate","Unique")</f>
        <v>Unique</v>
      </c>
      <c r="Y247" s="3" t="str">
        <f aca="false">IF(B247&lt;6.5,"&lt;6.5",IF(B247&lt;7,"6.5–6.9",IF(B247&lt;7.5,"7.0–7.4",IF(B247&lt;8,"7.5–7.9","8.0+"))))</f>
        <v>6.5–6.9</v>
      </c>
      <c r="Z247" s="3" t="n">
        <f aca="false">IF(T247="","",YEAR(T247))</f>
        <v>2017</v>
      </c>
    </row>
    <row r="248" customFormat="false" ht="13.8" hidden="false" customHeight="false" outlineLevel="0" collapsed="false">
      <c r="A248" s="3" t="s">
        <v>716</v>
      </c>
      <c r="B248" s="3" t="n">
        <v>6.9</v>
      </c>
      <c r="C248" s="3" t="s">
        <v>717</v>
      </c>
      <c r="D248" s="3" t="n">
        <v>9</v>
      </c>
      <c r="E248" s="3" t="n">
        <v>7</v>
      </c>
      <c r="F248" s="3" t="s">
        <v>28</v>
      </c>
      <c r="G248" s="3" t="n">
        <v>1</v>
      </c>
      <c r="H248" s="3" t="n">
        <v>1642</v>
      </c>
      <c r="I248" s="3" t="s">
        <v>22</v>
      </c>
      <c r="J248" s="3" t="n">
        <v>0</v>
      </c>
      <c r="K248" s="3" t="n">
        <v>0.356</v>
      </c>
      <c r="L248" s="3" t="n">
        <v>39</v>
      </c>
      <c r="M248" s="3" t="s">
        <v>23</v>
      </c>
      <c r="N248" s="3" t="n">
        <v>28</v>
      </c>
      <c r="O248" s="3" t="n">
        <v>-33.0375</v>
      </c>
      <c r="P248" s="3" t="n">
        <v>-72.0617</v>
      </c>
      <c r="Q248" s="3" t="s">
        <v>718</v>
      </c>
      <c r="R248" s="3"/>
      <c r="S248" s="3"/>
      <c r="T248" s="5" t="n">
        <f aca="false">IF(C248="","",DATE(VALUE(MID(C248,7,4)),VALUE(MID(C248,4,2)),VALUE(MID(C248,1,2)))+TIME(VALUE(MID(C248,12,2)),VALUE(MID(C248,15,2)),0))</f>
        <v>42849.9013888889</v>
      </c>
      <c r="U248" s="3" t="str">
        <f aca="false">IFERROR(IF(ISNUMBER(VALUE(TRIM(MID(A248,FIND("-",A248)+1,FIND("km",A248)-FIND("-",A248)-1)))),"Distance + direction + city","Named-region"),"Named-region")</f>
        <v>Distance + direction + city</v>
      </c>
      <c r="V248" s="3" t="str">
        <f aca="false">LOWER(M248)</f>
        <v>mww</v>
      </c>
      <c r="W248" s="3" t="n">
        <f aca="false">COUNTIFS($A$2:$A$1001,A248,$C$2:$C$1001,C248)</f>
        <v>1</v>
      </c>
      <c r="X248" s="3" t="str">
        <f aca="false">IF(W248&gt;1,"Duplicate","Unique")</f>
        <v>Unique</v>
      </c>
      <c r="Y248" s="3" t="str">
        <f aca="false">IF(B248&lt;6.5,"&lt;6.5",IF(B248&lt;7,"6.5–6.9",IF(B248&lt;7.5,"7.0–7.4",IF(B248&lt;8,"7.5–7.9","8.0+"))))</f>
        <v>6.5–6.9</v>
      </c>
      <c r="Z248" s="3" t="n">
        <f aca="false">IF(T248="","",YEAR(T248))</f>
        <v>2017</v>
      </c>
    </row>
    <row r="249" customFormat="false" ht="13.8" hidden="false" customHeight="false" outlineLevel="0" collapsed="false">
      <c r="A249" s="3" t="s">
        <v>719</v>
      </c>
      <c r="B249" s="3" t="n">
        <v>6.5</v>
      </c>
      <c r="C249" s="6" t="s">
        <v>720</v>
      </c>
      <c r="D249" s="3" t="n">
        <v>7</v>
      </c>
      <c r="E249" s="3" t="n">
        <v>8</v>
      </c>
      <c r="F249" s="3" t="s">
        <v>21</v>
      </c>
      <c r="G249" s="3" t="n">
        <v>0</v>
      </c>
      <c r="H249" s="3" t="n">
        <v>1297</v>
      </c>
      <c r="I249" s="3" t="s">
        <v>22</v>
      </c>
      <c r="J249" s="3" t="n">
        <v>0</v>
      </c>
      <c r="K249" s="3" t="n">
        <v>2.36</v>
      </c>
      <c r="L249" s="3" t="n">
        <v>15</v>
      </c>
      <c r="M249" s="3" t="s">
        <v>23</v>
      </c>
      <c r="N249" s="3" t="n">
        <v>29</v>
      </c>
      <c r="O249" s="3" t="n">
        <v>-22.6784</v>
      </c>
      <c r="P249" s="3" t="n">
        <v>25.1558</v>
      </c>
      <c r="Q249" s="3" t="s">
        <v>721</v>
      </c>
      <c r="R249" s="3" t="s">
        <v>722</v>
      </c>
      <c r="S249" s="3" t="s">
        <v>723</v>
      </c>
      <c r="T249" s="5" t="n">
        <f aca="false">IF(C249="","",DATE(VALUE(MID(C249,7,4)),VALUE(MID(C249,4,2)),VALUE(MID(C249,1,2)))+TIME(VALUE(MID(C249,12,2)),VALUE(MID(C249,15,2)),0))</f>
        <v>42828.7361111111</v>
      </c>
      <c r="U249" s="3" t="str">
        <f aca="false">IFERROR(IF(ISNUMBER(VALUE(TRIM(MID(A249,FIND("-",A249)+1,FIND("km",A249)-FIND("-",A249)-1)))),"Distance + direction + city","Named-region"),"Named-region")</f>
        <v>Distance + direction + city</v>
      </c>
      <c r="V249" s="3" t="str">
        <f aca="false">LOWER(M249)</f>
        <v>mww</v>
      </c>
      <c r="W249" s="3" t="n">
        <f aca="false">COUNTIFS($A$2:$A$1001,A249,$C$2:$C$1001,C249)</f>
        <v>1</v>
      </c>
      <c r="X249" s="3" t="str">
        <f aca="false">IF(W249&gt;1,"Duplicate","Unique")</f>
        <v>Unique</v>
      </c>
      <c r="Y249" s="3" t="str">
        <f aca="false">IF(B249&lt;6.5,"&lt;6.5",IF(B249&lt;7,"6.5–6.9",IF(B249&lt;7.5,"7.0–7.4",IF(B249&lt;8,"7.5–7.9","8.0+"))))</f>
        <v>6.5–6.9</v>
      </c>
      <c r="Z249" s="3" t="n">
        <f aca="false">IF(T249="","",YEAR(T249))</f>
        <v>2017</v>
      </c>
    </row>
    <row r="250" customFormat="false" ht="13.8" hidden="false" customHeight="false" outlineLevel="0" collapsed="false">
      <c r="A250" s="3" t="s">
        <v>724</v>
      </c>
      <c r="B250" s="3" t="n">
        <v>6.6</v>
      </c>
      <c r="C250" s="3" t="s">
        <v>725</v>
      </c>
      <c r="D250" s="3" t="n">
        <v>6</v>
      </c>
      <c r="E250" s="3" t="n">
        <v>7</v>
      </c>
      <c r="F250" s="3" t="s">
        <v>28</v>
      </c>
      <c r="G250" s="3" t="n">
        <v>1</v>
      </c>
      <c r="H250" s="3" t="n">
        <v>671</v>
      </c>
      <c r="I250" s="3" t="s">
        <v>22</v>
      </c>
      <c r="J250" s="3" t="n">
        <v>0</v>
      </c>
      <c r="K250" s="3" t="n">
        <v>4.591</v>
      </c>
      <c r="L250" s="3" t="n">
        <v>14</v>
      </c>
      <c r="M250" s="3" t="s">
        <v>23</v>
      </c>
      <c r="N250" s="3" t="n">
        <v>17</v>
      </c>
      <c r="O250" s="3" t="n">
        <v>56.9401</v>
      </c>
      <c r="P250" s="3" t="n">
        <v>162.786</v>
      </c>
      <c r="Q250" s="3" t="s">
        <v>334</v>
      </c>
      <c r="R250" s="3" t="s">
        <v>80</v>
      </c>
      <c r="S250" s="3" t="s">
        <v>428</v>
      </c>
      <c r="T250" s="5" t="n">
        <f aca="false">IF(C250="","",DATE(VALUE(MID(C250,7,4)),VALUE(MID(C250,4,2)),VALUE(MID(C250,1,2)))+TIME(VALUE(MID(C250,12,2)),VALUE(MID(C250,15,2)),0))</f>
        <v>42823.1729166667</v>
      </c>
      <c r="U250" s="3" t="str">
        <f aca="false">IFERROR(IF(ISNUMBER(VALUE(TRIM(MID(A250,FIND("-",A250)+1,FIND("km",A250)-FIND("-",A250)-1)))),"Distance + direction + city","Named-region"),"Named-region")</f>
        <v>Distance + direction + city</v>
      </c>
      <c r="V250" s="3" t="str">
        <f aca="false">LOWER(M250)</f>
        <v>mww</v>
      </c>
      <c r="W250" s="3" t="n">
        <f aca="false">COUNTIFS($A$2:$A$1001,A250,$C$2:$C$1001,C250)</f>
        <v>1</v>
      </c>
      <c r="X250" s="3" t="str">
        <f aca="false">IF(W250&gt;1,"Duplicate","Unique")</f>
        <v>Unique</v>
      </c>
      <c r="Y250" s="3" t="str">
        <f aca="false">IF(B250&lt;6.5,"&lt;6.5",IF(B250&lt;7,"6.5–6.9",IF(B250&lt;7.5,"7.0–7.4",IF(B250&lt;8,"7.5–7.9","8.0+"))))</f>
        <v>6.5–6.9</v>
      </c>
      <c r="Z250" s="3" t="n">
        <f aca="false">IF(T250="","",YEAR(T250))</f>
        <v>2017</v>
      </c>
    </row>
    <row r="251" customFormat="false" ht="13.8" hidden="false" customHeight="false" outlineLevel="0" collapsed="false">
      <c r="A251" s="3" t="s">
        <v>726</v>
      </c>
      <c r="B251" s="3" t="n">
        <v>6.9</v>
      </c>
      <c r="C251" s="3" t="s">
        <v>727</v>
      </c>
      <c r="D251" s="3" t="n">
        <v>2</v>
      </c>
      <c r="E251" s="3" t="n">
        <v>3</v>
      </c>
      <c r="F251" s="3" t="s">
        <v>21</v>
      </c>
      <c r="G251" s="3" t="n">
        <v>1</v>
      </c>
      <c r="H251" s="3" t="n">
        <v>733</v>
      </c>
      <c r="I251" s="3" t="s">
        <v>22</v>
      </c>
      <c r="J251" s="3" t="n">
        <v>0</v>
      </c>
      <c r="K251" s="3" t="n">
        <v>6.012</v>
      </c>
      <c r="L251" s="3" t="n">
        <v>19</v>
      </c>
      <c r="M251" s="3" t="s">
        <v>23</v>
      </c>
      <c r="N251" s="3" t="n">
        <v>414.5</v>
      </c>
      <c r="O251" s="3" t="n">
        <v>-23.2593</v>
      </c>
      <c r="P251" s="3" t="n">
        <v>-178.804</v>
      </c>
      <c r="Q251" s="3" t="s">
        <v>50</v>
      </c>
      <c r="R251" s="3"/>
      <c r="S251" s="3"/>
      <c r="T251" s="5" t="n">
        <f aca="false">IF(C251="","",DATE(VALUE(MID(C251,7,4)),VALUE(MID(C251,4,2)),VALUE(MID(C251,1,2)))+TIME(VALUE(MID(C251,12,2)),VALUE(MID(C251,15,2)),0))</f>
        <v>42790.7277777778</v>
      </c>
      <c r="U251" s="3" t="str">
        <f aca="false">IFERROR(IF(ISNUMBER(VALUE(TRIM(MID(A251,FIND("-",A251)+1,FIND("km",A251)-FIND("-",A251)-1)))),"Distance + direction + city","Named-region"),"Named-region")</f>
        <v>Named-region</v>
      </c>
      <c r="V251" s="3" t="str">
        <f aca="false">LOWER(M251)</f>
        <v>mww</v>
      </c>
      <c r="W251" s="3" t="n">
        <f aca="false">COUNTIFS($A$2:$A$1001,A251,$C$2:$C$1001,C251)</f>
        <v>1</v>
      </c>
      <c r="X251" s="3" t="str">
        <f aca="false">IF(W251&gt;1,"Duplicate","Unique")</f>
        <v>Unique</v>
      </c>
      <c r="Y251" s="3" t="str">
        <f aca="false">IF(B251&lt;6.5,"&lt;6.5",IF(B251&lt;7,"6.5–6.9",IF(B251&lt;7.5,"7.0–7.4",IF(B251&lt;8,"7.5–7.9","8.0+"))))</f>
        <v>6.5–6.9</v>
      </c>
      <c r="Z251" s="3" t="n">
        <f aca="false">IF(T251="","",YEAR(T251))</f>
        <v>2017</v>
      </c>
    </row>
    <row r="252" customFormat="false" ht="13.8" hidden="false" customHeight="false" outlineLevel="0" collapsed="false">
      <c r="A252" s="3" t="s">
        <v>728</v>
      </c>
      <c r="B252" s="3" t="n">
        <v>6.5</v>
      </c>
      <c r="C252" s="3" t="s">
        <v>729</v>
      </c>
      <c r="D252" s="3" t="n">
        <v>3</v>
      </c>
      <c r="E252" s="3" t="n">
        <v>3</v>
      </c>
      <c r="F252" s="3" t="s">
        <v>21</v>
      </c>
      <c r="G252" s="3" t="n">
        <v>0</v>
      </c>
      <c r="H252" s="3" t="n">
        <v>653</v>
      </c>
      <c r="I252" s="3" t="s">
        <v>22</v>
      </c>
      <c r="J252" s="3" t="n">
        <v>0</v>
      </c>
      <c r="K252" s="3" t="n">
        <v>4.242</v>
      </c>
      <c r="L252" s="3" t="n">
        <v>14</v>
      </c>
      <c r="M252" s="3" t="s">
        <v>23</v>
      </c>
      <c r="N252" s="3" t="n">
        <v>595.98</v>
      </c>
      <c r="O252" s="3" t="n">
        <v>-19.2814</v>
      </c>
      <c r="P252" s="3" t="n">
        <v>-63.9047</v>
      </c>
      <c r="Q252" s="3" t="s">
        <v>730</v>
      </c>
      <c r="R252" s="3" t="s">
        <v>33</v>
      </c>
      <c r="S252" s="3" t="s">
        <v>618</v>
      </c>
      <c r="T252" s="5" t="n">
        <f aca="false">IF(C252="","",DATE(VALUE(MID(C252,7,4)),VALUE(MID(C252,4,2)),VALUE(MID(C252,1,2)))+TIME(VALUE(MID(C252,12,2)),VALUE(MID(C252,15,2)),0))</f>
        <v>42787.5895833333</v>
      </c>
      <c r="U252" s="3" t="str">
        <f aca="false">IFERROR(IF(ISNUMBER(VALUE(TRIM(MID(A252,FIND("-",A252)+1,FIND("km",A252)-FIND("-",A252)-1)))),"Distance + direction + city","Named-region"),"Named-region")</f>
        <v>Distance + direction + city</v>
      </c>
      <c r="V252" s="3" t="str">
        <f aca="false">LOWER(M252)</f>
        <v>mww</v>
      </c>
      <c r="W252" s="3" t="n">
        <f aca="false">COUNTIFS($A$2:$A$1001,A252,$C$2:$C$1001,C252)</f>
        <v>1</v>
      </c>
      <c r="X252" s="3" t="str">
        <f aca="false">IF(W252&gt;1,"Duplicate","Unique")</f>
        <v>Unique</v>
      </c>
      <c r="Y252" s="3" t="str">
        <f aca="false">IF(B252&lt;6.5,"&lt;6.5",IF(B252&lt;7,"6.5–6.9",IF(B252&lt;7.5,"7.0–7.4",IF(B252&lt;8,"7.5–7.9","8.0+"))))</f>
        <v>6.5–6.9</v>
      </c>
      <c r="Z252" s="3" t="n">
        <f aca="false">IF(T252="","",YEAR(T252))</f>
        <v>2017</v>
      </c>
    </row>
    <row r="253" customFormat="false" ht="13.8" hidden="false" customHeight="false" outlineLevel="0" collapsed="false">
      <c r="A253" s="3" t="s">
        <v>731</v>
      </c>
      <c r="B253" s="3" t="n">
        <v>6.5</v>
      </c>
      <c r="C253" s="6" t="s">
        <v>732</v>
      </c>
      <c r="D253" s="3" t="n">
        <v>8</v>
      </c>
      <c r="E253" s="3" t="n">
        <v>7</v>
      </c>
      <c r="F253" s="3" t="s">
        <v>28</v>
      </c>
      <c r="G253" s="3" t="n">
        <v>1</v>
      </c>
      <c r="H253" s="3" t="n">
        <v>718</v>
      </c>
      <c r="I253" s="3" t="s">
        <v>22</v>
      </c>
      <c r="J253" s="3" t="n">
        <v>0</v>
      </c>
      <c r="K253" s="3" t="n">
        <v>2.822</v>
      </c>
      <c r="L253" s="3" t="n">
        <v>36</v>
      </c>
      <c r="M253" s="3" t="s">
        <v>23</v>
      </c>
      <c r="N253" s="3" t="n">
        <v>15</v>
      </c>
      <c r="O253" s="3" t="n">
        <v>9.9071</v>
      </c>
      <c r="P253" s="3" t="n">
        <v>125.452</v>
      </c>
      <c r="Q253" s="3" t="s">
        <v>733</v>
      </c>
      <c r="R253" s="3"/>
      <c r="S253" s="3" t="s">
        <v>191</v>
      </c>
      <c r="T253" s="5" t="n">
        <f aca="false">IF(C253="","",DATE(VALUE(MID(C253,7,4)),VALUE(MID(C253,4,2)),VALUE(MID(C253,1,2)))+TIME(VALUE(MID(C253,12,2)),VALUE(MID(C253,15,2)),0))</f>
        <v>42776.5854166667</v>
      </c>
      <c r="U253" s="3" t="str">
        <f aca="false">IFERROR(IF(ISNUMBER(VALUE(TRIM(MID(A253,FIND("-",A253)+1,FIND("km",A253)-FIND("-",A253)-1)))),"Distance + direction + city","Named-region"),"Named-region")</f>
        <v>Distance + direction + city</v>
      </c>
      <c r="V253" s="3" t="str">
        <f aca="false">LOWER(M253)</f>
        <v>mww</v>
      </c>
      <c r="W253" s="3" t="n">
        <f aca="false">COUNTIFS($A$2:$A$1001,A253,$C$2:$C$1001,C253)</f>
        <v>1</v>
      </c>
      <c r="X253" s="3" t="str">
        <f aca="false">IF(W253&gt;1,"Duplicate","Unique")</f>
        <v>Unique</v>
      </c>
      <c r="Y253" s="3" t="str">
        <f aca="false">IF(B253&lt;6.5,"&lt;6.5",IF(B253&lt;7,"6.5–6.9",IF(B253&lt;7.5,"7.0–7.4",IF(B253&lt;8,"7.5–7.9","8.0+"))))</f>
        <v>6.5–6.9</v>
      </c>
      <c r="Z253" s="3" t="n">
        <f aca="false">IF(T253="","",YEAR(T253))</f>
        <v>2017</v>
      </c>
    </row>
    <row r="254" customFormat="false" ht="13.8" hidden="false" customHeight="false" outlineLevel="0" collapsed="false">
      <c r="A254" s="3" t="s">
        <v>734</v>
      </c>
      <c r="B254" s="3" t="n">
        <v>7.9</v>
      </c>
      <c r="C254" s="3" t="s">
        <v>735</v>
      </c>
      <c r="D254" s="3" t="n">
        <v>9</v>
      </c>
      <c r="E254" s="3" t="n">
        <v>7</v>
      </c>
      <c r="F254" s="3" t="s">
        <v>28</v>
      </c>
      <c r="G254" s="3" t="n">
        <v>1</v>
      </c>
      <c r="H254" s="3" t="n">
        <v>987</v>
      </c>
      <c r="I254" s="3" t="s">
        <v>22</v>
      </c>
      <c r="J254" s="3" t="n">
        <v>0</v>
      </c>
      <c r="K254" s="3" t="n">
        <v>3.625</v>
      </c>
      <c r="L254" s="3" t="n">
        <v>9</v>
      </c>
      <c r="M254" s="3" t="s">
        <v>23</v>
      </c>
      <c r="N254" s="3" t="n">
        <v>135</v>
      </c>
      <c r="O254" s="3" t="n">
        <v>-6.2464</v>
      </c>
      <c r="P254" s="3" t="n">
        <v>155.172</v>
      </c>
      <c r="Q254" s="3" t="s">
        <v>736</v>
      </c>
      <c r="R254" s="3"/>
      <c r="S254" s="3" t="s">
        <v>85</v>
      </c>
      <c r="T254" s="5" t="n">
        <f aca="false">IF(C254="","",DATE(VALUE(MID(C254,7,4)),VALUE(MID(C254,4,2)),VALUE(MID(C254,1,2)))+TIME(VALUE(MID(C254,12,2)),VALUE(MID(C254,15,2)),0))</f>
        <v>42757.1875</v>
      </c>
      <c r="U254" s="3" t="str">
        <f aca="false">IFERROR(IF(ISNUMBER(VALUE(TRIM(MID(A254,FIND("-",A254)+1,FIND("km",A254)-FIND("-",A254)-1)))),"Distance + direction + city","Named-region"),"Named-region")</f>
        <v>Distance + direction + city</v>
      </c>
      <c r="V254" s="3" t="str">
        <f aca="false">LOWER(M254)</f>
        <v>mww</v>
      </c>
      <c r="W254" s="3" t="n">
        <f aca="false">COUNTIFS($A$2:$A$1001,A254,$C$2:$C$1001,C254)</f>
        <v>1</v>
      </c>
      <c r="X254" s="3" t="str">
        <f aca="false">IF(W254&gt;1,"Duplicate","Unique")</f>
        <v>Unique</v>
      </c>
      <c r="Y254" s="3" t="str">
        <f aca="false">IF(B254&lt;6.5,"&lt;6.5",IF(B254&lt;7,"6.5–6.9",IF(B254&lt;7.5,"7.0–7.4",IF(B254&lt;8,"7.5–7.9","8.0+"))))</f>
        <v>7.5–7.9</v>
      </c>
      <c r="Z254" s="3" t="n">
        <f aca="false">IF(T254="","",YEAR(T254))</f>
        <v>2017</v>
      </c>
    </row>
    <row r="255" customFormat="false" ht="13.8" hidden="false" customHeight="false" outlineLevel="0" collapsed="false">
      <c r="A255" s="3" t="s">
        <v>737</v>
      </c>
      <c r="B255" s="3" t="n">
        <v>6.5</v>
      </c>
      <c r="C255" s="3" t="s">
        <v>738</v>
      </c>
      <c r="D255" s="3" t="n">
        <v>6</v>
      </c>
      <c r="E255" s="3" t="n">
        <v>6</v>
      </c>
      <c r="F255" s="3" t="s">
        <v>21</v>
      </c>
      <c r="G255" s="3" t="n">
        <v>1</v>
      </c>
      <c r="H255" s="3" t="n">
        <v>654</v>
      </c>
      <c r="I255" s="3" t="s">
        <v>22</v>
      </c>
      <c r="J255" s="3" t="n">
        <v>0</v>
      </c>
      <c r="K255" s="3" t="n">
        <v>1.64</v>
      </c>
      <c r="L255" s="3" t="n">
        <v>21</v>
      </c>
      <c r="M255" s="3" t="s">
        <v>23</v>
      </c>
      <c r="N255" s="3" t="n">
        <v>36</v>
      </c>
      <c r="O255" s="3" t="n">
        <v>-10.3506</v>
      </c>
      <c r="P255" s="3" t="n">
        <v>161.335</v>
      </c>
      <c r="Q255" s="3" t="s">
        <v>581</v>
      </c>
      <c r="R255" s="3"/>
      <c r="S255" s="3" t="s">
        <v>140</v>
      </c>
      <c r="T255" s="5" t="n">
        <f aca="false">IF(C255="","",DATE(VALUE(MID(C255,7,4)),VALUE(MID(C255,4,2)),VALUE(MID(C255,1,2)))+TIME(VALUE(MID(C255,12,2)),VALUE(MID(C255,15,2)),0))</f>
        <v>42754.9611111111</v>
      </c>
      <c r="U255" s="3" t="str">
        <f aca="false">IFERROR(IF(ISNUMBER(VALUE(TRIM(MID(A255,FIND("-",A255)+1,FIND("km",A255)-FIND("-",A255)-1)))),"Distance + direction + city","Named-region"),"Named-region")</f>
        <v>Distance + direction + city</v>
      </c>
      <c r="V255" s="3" t="str">
        <f aca="false">LOWER(M255)</f>
        <v>mww</v>
      </c>
      <c r="W255" s="3" t="n">
        <f aca="false">COUNTIFS($A$2:$A$1001,A255,$C$2:$C$1001,C255)</f>
        <v>1</v>
      </c>
      <c r="X255" s="3" t="str">
        <f aca="false">IF(W255&gt;1,"Duplicate","Unique")</f>
        <v>Unique</v>
      </c>
      <c r="Y255" s="3" t="str">
        <f aca="false">IF(B255&lt;6.5,"&lt;6.5",IF(B255&lt;7,"6.5–6.9",IF(B255&lt;7.5,"7.0–7.4",IF(B255&lt;8,"7.5–7.9","8.0+"))))</f>
        <v>6.5–6.9</v>
      </c>
      <c r="Z255" s="3" t="n">
        <f aca="false">IF(T255="","",YEAR(T255))</f>
        <v>2017</v>
      </c>
    </row>
    <row r="256" customFormat="false" ht="13.8" hidden="false" customHeight="false" outlineLevel="0" collapsed="false">
      <c r="A256" s="3" t="s">
        <v>739</v>
      </c>
      <c r="B256" s="3" t="n">
        <v>7.3</v>
      </c>
      <c r="C256" s="6" t="s">
        <v>740</v>
      </c>
      <c r="D256" s="3" t="n">
        <v>6</v>
      </c>
      <c r="E256" s="3" t="n">
        <v>3</v>
      </c>
      <c r="F256" s="3" t="s">
        <v>21</v>
      </c>
      <c r="G256" s="3" t="n">
        <v>1</v>
      </c>
      <c r="H256" s="3" t="n">
        <v>849</v>
      </c>
      <c r="I256" s="3" t="s">
        <v>22</v>
      </c>
      <c r="J256" s="3" t="n">
        <v>0</v>
      </c>
      <c r="K256" s="3" t="n">
        <v>3.813</v>
      </c>
      <c r="L256" s="3" t="n">
        <v>18</v>
      </c>
      <c r="M256" s="3" t="s">
        <v>23</v>
      </c>
      <c r="N256" s="3" t="n">
        <v>627.17</v>
      </c>
      <c r="O256" s="3" t="n">
        <v>4.4782</v>
      </c>
      <c r="P256" s="3" t="n">
        <v>122.617</v>
      </c>
      <c r="Q256" s="3" t="s">
        <v>741</v>
      </c>
      <c r="R256" s="3"/>
      <c r="S256" s="3"/>
      <c r="T256" s="5" t="n">
        <f aca="false">IF(C256="","",DATE(VALUE(MID(C256,7,4)),VALUE(MID(C256,4,2)),VALUE(MID(C256,1,2)))+TIME(VALUE(MID(C256,12,2)),VALUE(MID(C256,15,2)),0))</f>
        <v>42745.2590277778</v>
      </c>
      <c r="U256" s="3" t="str">
        <f aca="false">IFERROR(IF(ISNUMBER(VALUE(TRIM(MID(A256,FIND("-",A256)+1,FIND("km",A256)-FIND("-",A256)-1)))),"Distance + direction + city","Named-region"),"Named-region")</f>
        <v>Distance + direction + city</v>
      </c>
      <c r="V256" s="3" t="str">
        <f aca="false">LOWER(M256)</f>
        <v>mww</v>
      </c>
      <c r="W256" s="3" t="n">
        <f aca="false">COUNTIFS($A$2:$A$1001,A256,$C$2:$C$1001,C256)</f>
        <v>1</v>
      </c>
      <c r="X256" s="3" t="str">
        <f aca="false">IF(W256&gt;1,"Duplicate","Unique")</f>
        <v>Unique</v>
      </c>
      <c r="Y256" s="3" t="str">
        <f aca="false">IF(B256&lt;6.5,"&lt;6.5",IF(B256&lt;7,"6.5–6.9",IF(B256&lt;7.5,"7.0–7.4",IF(B256&lt;8,"7.5–7.9","8.0+"))))</f>
        <v>7.0–7.4</v>
      </c>
      <c r="Z256" s="3" t="n">
        <f aca="false">IF(T256="","",YEAR(T256))</f>
        <v>2017</v>
      </c>
    </row>
    <row r="257" customFormat="false" ht="13.8" hidden="false" customHeight="false" outlineLevel="0" collapsed="false">
      <c r="A257" s="3" t="s">
        <v>742</v>
      </c>
      <c r="B257" s="3" t="n">
        <v>6.9</v>
      </c>
      <c r="C257" s="6" t="s">
        <v>743</v>
      </c>
      <c r="D257" s="3" t="n">
        <v>6</v>
      </c>
      <c r="E257" s="3" t="n">
        <v>4</v>
      </c>
      <c r="F257" s="3" t="s">
        <v>21</v>
      </c>
      <c r="G257" s="3" t="n">
        <v>1</v>
      </c>
      <c r="H257" s="3" t="n">
        <v>742</v>
      </c>
      <c r="I257" s="3" t="s">
        <v>22</v>
      </c>
      <c r="J257" s="3" t="n">
        <v>0</v>
      </c>
      <c r="K257" s="3" t="n">
        <v>2.495</v>
      </c>
      <c r="L257" s="3" t="n">
        <v>13</v>
      </c>
      <c r="M257" s="3" t="s">
        <v>23</v>
      </c>
      <c r="N257" s="3" t="n">
        <v>12</v>
      </c>
      <c r="O257" s="3" t="n">
        <v>-19.3733</v>
      </c>
      <c r="P257" s="3" t="n">
        <v>176.052</v>
      </c>
      <c r="Q257" s="3" t="s">
        <v>744</v>
      </c>
      <c r="R257" s="3"/>
      <c r="S257" s="3"/>
      <c r="T257" s="5" t="n">
        <f aca="false">IF(C257="","",DATE(VALUE(MID(C257,7,4)),VALUE(MID(C257,4,2)),VALUE(MID(C257,1,2)))+TIME(VALUE(MID(C257,12,2)),VALUE(MID(C257,15,2)),0))</f>
        <v>42738.9111111111</v>
      </c>
      <c r="U257" s="3" t="str">
        <f aca="false">IFERROR(IF(ISNUMBER(VALUE(TRIM(MID(A257,FIND("-",A257)+1,FIND("km",A257)-FIND("-",A257)-1)))),"Distance + direction + city","Named-region"),"Named-region")</f>
        <v>Distance + direction + city</v>
      </c>
      <c r="V257" s="3" t="str">
        <f aca="false">LOWER(M257)</f>
        <v>mww</v>
      </c>
      <c r="W257" s="3" t="n">
        <f aca="false">COUNTIFS($A$2:$A$1001,A257,$C$2:$C$1001,C257)</f>
        <v>1</v>
      </c>
      <c r="X257" s="3" t="str">
        <f aca="false">IF(W257&gt;1,"Duplicate","Unique")</f>
        <v>Unique</v>
      </c>
      <c r="Y257" s="3" t="str">
        <f aca="false">IF(B257&lt;6.5,"&lt;6.5",IF(B257&lt;7,"6.5–6.9",IF(B257&lt;7.5,"7.0–7.4",IF(B257&lt;8,"7.5–7.9","8.0+"))))</f>
        <v>6.5–6.9</v>
      </c>
      <c r="Z257" s="3" t="n">
        <f aca="false">IF(T257="","",YEAR(T257))</f>
        <v>2017</v>
      </c>
    </row>
    <row r="258" customFormat="false" ht="13.8" hidden="false" customHeight="false" outlineLevel="0" collapsed="false">
      <c r="A258" s="3" t="s">
        <v>745</v>
      </c>
      <c r="B258" s="3" t="n">
        <v>7.6</v>
      </c>
      <c r="C258" s="3" t="s">
        <v>746</v>
      </c>
      <c r="D258" s="3" t="n">
        <v>9</v>
      </c>
      <c r="E258" s="3" t="n">
        <v>8</v>
      </c>
      <c r="F258" s="3" t="s">
        <v>28</v>
      </c>
      <c r="G258" s="3" t="n">
        <v>1</v>
      </c>
      <c r="H258" s="3" t="n">
        <v>1152</v>
      </c>
      <c r="I258" s="3" t="s">
        <v>22</v>
      </c>
      <c r="J258" s="3" t="n">
        <v>0</v>
      </c>
      <c r="K258" s="3" t="n">
        <v>0.355</v>
      </c>
      <c r="L258" s="3" t="n">
        <v>29</v>
      </c>
      <c r="M258" s="3" t="s">
        <v>23</v>
      </c>
      <c r="N258" s="3" t="n">
        <v>38</v>
      </c>
      <c r="O258" s="3" t="n">
        <v>-43.4064</v>
      </c>
      <c r="P258" s="3" t="n">
        <v>-73.9413</v>
      </c>
      <c r="Q258" s="3" t="s">
        <v>747</v>
      </c>
      <c r="R258" s="3" t="s">
        <v>33</v>
      </c>
      <c r="S258" s="3" t="s">
        <v>373</v>
      </c>
      <c r="T258" s="5" t="n">
        <f aca="false">IF(C258="","",DATE(VALUE(MID(C258,7,4)),VALUE(MID(C258,4,2)),VALUE(MID(C258,1,2)))+TIME(VALUE(MID(C258,12,2)),VALUE(MID(C258,15,2)),0))</f>
        <v>42729.5986111111</v>
      </c>
      <c r="U258" s="3" t="str">
        <f aca="false">IFERROR(IF(ISNUMBER(VALUE(TRIM(MID(A258,FIND("-",A258)+1,FIND("km",A258)-FIND("-",A258)-1)))),"Distance + direction + city","Named-region"),"Named-region")</f>
        <v>Distance + direction + city</v>
      </c>
      <c r="V258" s="3" t="str">
        <f aca="false">LOWER(M258)</f>
        <v>mww</v>
      </c>
      <c r="W258" s="3" t="n">
        <f aca="false">COUNTIFS($A$2:$A$1001,A258,$C$2:$C$1001,C258)</f>
        <v>1</v>
      </c>
      <c r="X258" s="3" t="str">
        <f aca="false">IF(W258&gt;1,"Duplicate","Unique")</f>
        <v>Unique</v>
      </c>
      <c r="Y258" s="3" t="str">
        <f aca="false">IF(B258&lt;6.5,"&lt;6.5",IF(B258&lt;7,"6.5–6.9",IF(B258&lt;7.5,"7.0–7.4",IF(B258&lt;8,"7.5–7.9","8.0+"))))</f>
        <v>7.5–7.9</v>
      </c>
      <c r="Z258" s="3" t="n">
        <f aca="false">IF(T258="","",YEAR(T258))</f>
        <v>2016</v>
      </c>
    </row>
    <row r="259" customFormat="false" ht="13.8" hidden="false" customHeight="false" outlineLevel="0" collapsed="false">
      <c r="A259" s="3" t="s">
        <v>748</v>
      </c>
      <c r="B259" s="3" t="n">
        <v>6.7</v>
      </c>
      <c r="C259" s="3" t="s">
        <v>749</v>
      </c>
      <c r="D259" s="3" t="n">
        <v>5</v>
      </c>
      <c r="E259" s="3" t="n">
        <v>5</v>
      </c>
      <c r="F259" s="3" t="s">
        <v>21</v>
      </c>
      <c r="G259" s="3" t="n">
        <v>0</v>
      </c>
      <c r="H259" s="3" t="n">
        <v>726</v>
      </c>
      <c r="I259" s="3" t="s">
        <v>22</v>
      </c>
      <c r="J259" s="3" t="n">
        <v>0</v>
      </c>
      <c r="K259" s="3" t="n">
        <v>3.38</v>
      </c>
      <c r="L259" s="3" t="n">
        <v>17</v>
      </c>
      <c r="M259" s="3" t="s">
        <v>23</v>
      </c>
      <c r="N259" s="3" t="n">
        <v>152</v>
      </c>
      <c r="O259" s="3" t="n">
        <v>-7.5082</v>
      </c>
      <c r="P259" s="3" t="n">
        <v>127.921</v>
      </c>
      <c r="Q259" s="3" t="s">
        <v>248</v>
      </c>
      <c r="R259" s="3"/>
      <c r="S259" s="3" t="s">
        <v>68</v>
      </c>
      <c r="T259" s="5" t="n">
        <f aca="false">IF(C259="","",DATE(VALUE(MID(C259,7,4)),VALUE(MID(C259,4,2)),VALUE(MID(C259,1,2)))+TIME(VALUE(MID(C259,12,2)),VALUE(MID(C259,15,2)),0))</f>
        <v>42725.0118055556</v>
      </c>
      <c r="U259" s="3" t="str">
        <f aca="false">IFERROR(IF(ISNUMBER(VALUE(TRIM(MID(A259,FIND("-",A259)+1,FIND("km",A259)-FIND("-",A259)-1)))),"Distance + direction + city","Named-region"),"Named-region")</f>
        <v>Distance + direction + city</v>
      </c>
      <c r="V259" s="3" t="str">
        <f aca="false">LOWER(M259)</f>
        <v>mww</v>
      </c>
      <c r="W259" s="3" t="n">
        <f aca="false">COUNTIFS($A$2:$A$1001,A259,$C$2:$C$1001,C259)</f>
        <v>1</v>
      </c>
      <c r="X259" s="3" t="str">
        <f aca="false">IF(W259&gt;1,"Duplicate","Unique")</f>
        <v>Unique</v>
      </c>
      <c r="Y259" s="3" t="str">
        <f aca="false">IF(B259&lt;6.5,"&lt;6.5",IF(B259&lt;7,"6.5–6.9",IF(B259&lt;7.5,"7.0–7.4",IF(B259&lt;8,"7.5–7.9","8.0+"))))</f>
        <v>6.5–6.9</v>
      </c>
      <c r="Z259" s="3" t="n">
        <f aca="false">IF(T259="","",YEAR(T259))</f>
        <v>2016</v>
      </c>
    </row>
    <row r="260" customFormat="false" ht="13.8" hidden="false" customHeight="false" outlineLevel="0" collapsed="false">
      <c r="A260" s="3" t="s">
        <v>750</v>
      </c>
      <c r="B260" s="3" t="n">
        <v>7.9</v>
      </c>
      <c r="C260" s="3" t="s">
        <v>751</v>
      </c>
      <c r="D260" s="3" t="n">
        <v>9</v>
      </c>
      <c r="E260" s="3" t="n">
        <v>7</v>
      </c>
      <c r="F260" s="3" t="s">
        <v>28</v>
      </c>
      <c r="G260" s="3" t="n">
        <v>1</v>
      </c>
      <c r="H260" s="3" t="n">
        <v>972</v>
      </c>
      <c r="I260" s="3" t="s">
        <v>22</v>
      </c>
      <c r="J260" s="3" t="n">
        <v>0</v>
      </c>
      <c r="K260" s="3" t="n">
        <v>1.389</v>
      </c>
      <c r="L260" s="3" t="n">
        <v>13</v>
      </c>
      <c r="M260" s="3" t="s">
        <v>23</v>
      </c>
      <c r="N260" s="3" t="n">
        <v>94.54</v>
      </c>
      <c r="O260" s="3" t="n">
        <v>-4.5049</v>
      </c>
      <c r="P260" s="3" t="n">
        <v>153.522</v>
      </c>
      <c r="Q260" s="3" t="s">
        <v>625</v>
      </c>
      <c r="R260" s="3"/>
      <c r="S260" s="3" t="s">
        <v>85</v>
      </c>
      <c r="T260" s="5" t="n">
        <f aca="false">IF(C260="","",DATE(VALUE(MID(C260,7,4)),VALUE(MID(C260,4,2)),VALUE(MID(C260,1,2)))+TIME(VALUE(MID(C260,12,2)),VALUE(MID(C260,15,2)),0))</f>
        <v>42721.4520833333</v>
      </c>
      <c r="U260" s="3" t="str">
        <f aca="false">IFERROR(IF(ISNUMBER(VALUE(TRIM(MID(A260,FIND("-",A260)+1,FIND("km",A260)-FIND("-",A260)-1)))),"Distance + direction + city","Named-region"),"Named-region")</f>
        <v>Distance + direction + city</v>
      </c>
      <c r="V260" s="3" t="str">
        <f aca="false">LOWER(M260)</f>
        <v>mww</v>
      </c>
      <c r="W260" s="3" t="n">
        <f aca="false">COUNTIFS($A$2:$A$1001,A260,$C$2:$C$1001,C260)</f>
        <v>1</v>
      </c>
      <c r="X260" s="3" t="str">
        <f aca="false">IF(W260&gt;1,"Duplicate","Unique")</f>
        <v>Unique</v>
      </c>
      <c r="Y260" s="3" t="str">
        <f aca="false">IF(B260&lt;6.5,"&lt;6.5",IF(B260&lt;7,"6.5–6.9",IF(B260&lt;7.5,"7.0–7.4",IF(B260&lt;8,"7.5–7.9","8.0+"))))</f>
        <v>7.5–7.9</v>
      </c>
      <c r="Z260" s="3" t="n">
        <f aca="false">IF(T260="","",YEAR(T260))</f>
        <v>2016</v>
      </c>
    </row>
    <row r="261" customFormat="false" ht="13.8" hidden="false" customHeight="false" outlineLevel="0" collapsed="false">
      <c r="A261" s="3" t="s">
        <v>752</v>
      </c>
      <c r="B261" s="3" t="n">
        <v>6.9</v>
      </c>
      <c r="C261" s="6" t="s">
        <v>753</v>
      </c>
      <c r="D261" s="3" t="n">
        <v>8</v>
      </c>
      <c r="E261" s="3" t="n">
        <v>6</v>
      </c>
      <c r="F261" s="3" t="s">
        <v>21</v>
      </c>
      <c r="G261" s="3" t="n">
        <v>1</v>
      </c>
      <c r="H261" s="3" t="n">
        <v>737</v>
      </c>
      <c r="I261" s="3" t="s">
        <v>22</v>
      </c>
      <c r="J261" s="3" t="n">
        <v>0</v>
      </c>
      <c r="K261" s="3" t="n">
        <v>1.747</v>
      </c>
      <c r="L261" s="3" t="n">
        <v>26</v>
      </c>
      <c r="M261" s="3" t="s">
        <v>23</v>
      </c>
      <c r="N261" s="3" t="n">
        <v>19.73</v>
      </c>
      <c r="O261" s="3" t="n">
        <v>-10.749</v>
      </c>
      <c r="P261" s="3" t="n">
        <v>161.132</v>
      </c>
      <c r="Q261" s="3" t="s">
        <v>581</v>
      </c>
      <c r="R261" s="3"/>
      <c r="S261" s="3"/>
      <c r="T261" s="5" t="n">
        <f aca="false">IF(C261="","",DATE(VALUE(MID(C261,7,4)),VALUE(MID(C261,4,2)),VALUE(MID(C261,1,2)))+TIME(VALUE(MID(C261,12,2)),VALUE(MID(C261,15,2)),0))</f>
        <v>42713.7986111111</v>
      </c>
      <c r="U261" s="3" t="str">
        <f aca="false">IFERROR(IF(ISNUMBER(VALUE(TRIM(MID(A261,FIND("-",A261)+1,FIND("km",A261)-FIND("-",A261)-1)))),"Distance + direction + city","Named-region"),"Named-region")</f>
        <v>Distance + direction + city</v>
      </c>
      <c r="V261" s="3" t="str">
        <f aca="false">LOWER(M261)</f>
        <v>mww</v>
      </c>
      <c r="W261" s="3" t="n">
        <f aca="false">COUNTIFS($A$2:$A$1001,A261,$C$2:$C$1001,C261)</f>
        <v>1</v>
      </c>
      <c r="X261" s="3" t="str">
        <f aca="false">IF(W261&gt;1,"Duplicate","Unique")</f>
        <v>Unique</v>
      </c>
      <c r="Y261" s="3" t="str">
        <f aca="false">IF(B261&lt;6.5,"&lt;6.5",IF(B261&lt;7,"6.5–6.9",IF(B261&lt;7.5,"7.0–7.4",IF(B261&lt;8,"7.5–7.9","8.0+"))))</f>
        <v>6.5–6.9</v>
      </c>
      <c r="Z261" s="3" t="n">
        <f aca="false">IF(T261="","",YEAR(T261))</f>
        <v>2016</v>
      </c>
    </row>
    <row r="262" customFormat="false" ht="13.8" hidden="false" customHeight="false" outlineLevel="0" collapsed="false">
      <c r="A262" s="3" t="s">
        <v>754</v>
      </c>
      <c r="B262" s="3" t="n">
        <v>6.5</v>
      </c>
      <c r="C262" s="6" t="s">
        <v>755</v>
      </c>
      <c r="D262" s="3" t="n">
        <v>0</v>
      </c>
      <c r="E262" s="3" t="n">
        <v>5</v>
      </c>
      <c r="F262" s="3" t="s">
        <v>21</v>
      </c>
      <c r="G262" s="3" t="n">
        <v>0</v>
      </c>
      <c r="H262" s="3" t="n">
        <v>650</v>
      </c>
      <c r="I262" s="3" t="s">
        <v>22</v>
      </c>
      <c r="J262" s="3" t="n">
        <v>0</v>
      </c>
      <c r="K262" s="3" t="n">
        <v>1.937</v>
      </c>
      <c r="L262" s="3" t="n">
        <v>18</v>
      </c>
      <c r="M262" s="3" t="s">
        <v>23</v>
      </c>
      <c r="N262" s="3" t="n">
        <v>12.26</v>
      </c>
      <c r="O262" s="3" t="n">
        <v>-10.8416</v>
      </c>
      <c r="P262" s="3" t="n">
        <v>161.314</v>
      </c>
      <c r="Q262" s="3" t="s">
        <v>581</v>
      </c>
      <c r="R262" s="3"/>
      <c r="S262" s="3"/>
      <c r="T262" s="5" t="n">
        <f aca="false">IF(C262="","",DATE(VALUE(MID(C262,7,4)),VALUE(MID(C262,4,2)),VALUE(MID(C262,1,2)))+TIME(VALUE(MID(C262,12,2)),VALUE(MID(C262,15,2)),0))</f>
        <v>42712.9138888889</v>
      </c>
      <c r="U262" s="3" t="str">
        <f aca="false">IFERROR(IF(ISNUMBER(VALUE(TRIM(MID(A262,FIND("-",A262)+1,FIND("km",A262)-FIND("-",A262)-1)))),"Distance + direction + city","Named-region"),"Named-region")</f>
        <v>Distance + direction + city</v>
      </c>
      <c r="V262" s="3" t="str">
        <f aca="false">LOWER(M262)</f>
        <v>mww</v>
      </c>
      <c r="W262" s="3" t="n">
        <f aca="false">COUNTIFS($A$2:$A$1001,A262,$C$2:$C$1001,C262)</f>
        <v>1</v>
      </c>
      <c r="X262" s="3" t="str">
        <f aca="false">IF(W262&gt;1,"Duplicate","Unique")</f>
        <v>Unique</v>
      </c>
      <c r="Y262" s="3" t="str">
        <f aca="false">IF(B262&lt;6.5,"&lt;6.5",IF(B262&lt;7,"6.5–6.9",IF(B262&lt;7.5,"7.0–7.4",IF(B262&lt;8,"7.5–7.9","8.0+"))))</f>
        <v>6.5–6.9</v>
      </c>
      <c r="Z262" s="3" t="n">
        <f aca="false">IF(T262="","",YEAR(T262))</f>
        <v>2016</v>
      </c>
    </row>
    <row r="263" customFormat="false" ht="13.8" hidden="false" customHeight="false" outlineLevel="0" collapsed="false">
      <c r="A263" s="3" t="s">
        <v>756</v>
      </c>
      <c r="B263" s="3" t="n">
        <v>7.8</v>
      </c>
      <c r="C263" s="6" t="s">
        <v>757</v>
      </c>
      <c r="D263" s="3" t="n">
        <v>9</v>
      </c>
      <c r="E263" s="3" t="n">
        <v>8</v>
      </c>
      <c r="F263" s="3" t="s">
        <v>21</v>
      </c>
      <c r="G263" s="3" t="n">
        <v>1</v>
      </c>
      <c r="H263" s="3" t="n">
        <v>961</v>
      </c>
      <c r="I263" s="3" t="s">
        <v>22</v>
      </c>
      <c r="J263" s="3" t="n">
        <v>0</v>
      </c>
      <c r="K263" s="3" t="n">
        <v>1.836</v>
      </c>
      <c r="L263" s="3" t="n">
        <v>13</v>
      </c>
      <c r="M263" s="3" t="s">
        <v>23</v>
      </c>
      <c r="N263" s="3" t="n">
        <v>40</v>
      </c>
      <c r="O263" s="3" t="n">
        <v>-10.6812</v>
      </c>
      <c r="P263" s="3" t="n">
        <v>161.327</v>
      </c>
      <c r="Q263" s="3" t="s">
        <v>581</v>
      </c>
      <c r="R263" s="3"/>
      <c r="S263" s="3" t="s">
        <v>140</v>
      </c>
      <c r="T263" s="5" t="n">
        <f aca="false">IF(C263="","",DATE(VALUE(MID(C263,7,4)),VALUE(MID(C263,4,2)),VALUE(MID(C263,1,2)))+TIME(VALUE(MID(C263,12,2)),VALUE(MID(C263,15,2)),0))</f>
        <v>42712.7347222222</v>
      </c>
      <c r="U263" s="3" t="str">
        <f aca="false">IFERROR(IF(ISNUMBER(VALUE(TRIM(MID(A263,FIND("-",A263)+1,FIND("km",A263)-FIND("-",A263)-1)))),"Distance + direction + city","Named-region"),"Named-region")</f>
        <v>Distance + direction + city</v>
      </c>
      <c r="V263" s="3" t="str">
        <f aca="false">LOWER(M263)</f>
        <v>mww</v>
      </c>
      <c r="W263" s="3" t="n">
        <f aca="false">COUNTIFS($A$2:$A$1001,A263,$C$2:$C$1001,C263)</f>
        <v>1</v>
      </c>
      <c r="X263" s="3" t="str">
        <f aca="false">IF(W263&gt;1,"Duplicate","Unique")</f>
        <v>Unique</v>
      </c>
      <c r="Y263" s="3" t="str">
        <f aca="false">IF(B263&lt;6.5,"&lt;6.5",IF(B263&lt;7,"6.5–6.9",IF(B263&lt;7.5,"7.0–7.4",IF(B263&lt;8,"7.5–7.9","8.0+"))))</f>
        <v>7.5–7.9</v>
      </c>
      <c r="Z263" s="3" t="n">
        <f aca="false">IF(T263="","",YEAR(T263))</f>
        <v>2016</v>
      </c>
    </row>
    <row r="264" customFormat="false" ht="13.8" hidden="false" customHeight="false" outlineLevel="0" collapsed="false">
      <c r="A264" s="3" t="s">
        <v>758</v>
      </c>
      <c r="B264" s="3" t="n">
        <v>6.6</v>
      </c>
      <c r="C264" s="6" t="s">
        <v>759</v>
      </c>
      <c r="D264" s="3" t="n">
        <v>5</v>
      </c>
      <c r="E264" s="3" t="n">
        <v>4</v>
      </c>
      <c r="F264" s="3" t="s">
        <v>21</v>
      </c>
      <c r="G264" s="3" t="n">
        <v>1</v>
      </c>
      <c r="H264" s="3" t="n">
        <v>1120</v>
      </c>
      <c r="I264" s="3" t="s">
        <v>22</v>
      </c>
      <c r="J264" s="3" t="n">
        <v>0</v>
      </c>
      <c r="K264" s="3" t="n">
        <v>1.405</v>
      </c>
      <c r="L264" s="3" t="n">
        <v>55</v>
      </c>
      <c r="M264" s="3" t="s">
        <v>23</v>
      </c>
      <c r="N264" s="3" t="n">
        <v>8.45</v>
      </c>
      <c r="O264" s="3" t="n">
        <v>40.4535</v>
      </c>
      <c r="P264" s="3" t="n">
        <v>-126.194</v>
      </c>
      <c r="Q264" s="3" t="s">
        <v>760</v>
      </c>
      <c r="R264" s="3"/>
      <c r="S264" s="3"/>
      <c r="T264" s="5" t="n">
        <f aca="false">IF(C264="","",DATE(VALUE(MID(C264,7,4)),VALUE(MID(C264,4,2)),VALUE(MID(C264,1,2)))+TIME(VALUE(MID(C264,12,2)),VALUE(MID(C264,15,2)),0))</f>
        <v>42712.6173611111</v>
      </c>
      <c r="U264" s="3" t="str">
        <f aca="false">IFERROR(IF(ISNUMBER(VALUE(TRIM(MID(A264,FIND("-",A264)+1,FIND("km",A264)-FIND("-",A264)-1)))),"Distance + direction + city","Named-region"),"Named-region")</f>
        <v>Distance + direction + city</v>
      </c>
      <c r="V264" s="3" t="str">
        <f aca="false">LOWER(M264)</f>
        <v>mww</v>
      </c>
      <c r="W264" s="3" t="n">
        <f aca="false">COUNTIFS($A$2:$A$1001,A264,$C$2:$C$1001,C264)</f>
        <v>1</v>
      </c>
      <c r="X264" s="3" t="str">
        <f aca="false">IF(W264&gt;1,"Duplicate","Unique")</f>
        <v>Unique</v>
      </c>
      <c r="Y264" s="3" t="str">
        <f aca="false">IF(B264&lt;6.5,"&lt;6.5",IF(B264&lt;7,"6.5–6.9",IF(B264&lt;7.5,"7.0–7.4",IF(B264&lt;8,"7.5–7.9","8.0+"))))</f>
        <v>6.5–6.9</v>
      </c>
      <c r="Z264" s="3" t="n">
        <f aca="false">IF(T264="","",YEAR(T264))</f>
        <v>2016</v>
      </c>
    </row>
    <row r="265" customFormat="false" ht="13.8" hidden="false" customHeight="false" outlineLevel="0" collapsed="false">
      <c r="A265" s="3" t="s">
        <v>761</v>
      </c>
      <c r="B265" s="3" t="n">
        <v>6.5</v>
      </c>
      <c r="C265" s="6" t="s">
        <v>762</v>
      </c>
      <c r="D265" s="3" t="n">
        <v>9</v>
      </c>
      <c r="E265" s="3" t="n">
        <v>8</v>
      </c>
      <c r="F265" s="3" t="s">
        <v>28</v>
      </c>
      <c r="G265" s="3" t="n">
        <v>0</v>
      </c>
      <c r="H265" s="3" t="n">
        <v>731</v>
      </c>
      <c r="I265" s="3" t="s">
        <v>22</v>
      </c>
      <c r="J265" s="3" t="n">
        <v>0</v>
      </c>
      <c r="K265" s="3" t="n">
        <v>0.778</v>
      </c>
      <c r="L265" s="3" t="n">
        <v>27</v>
      </c>
      <c r="M265" s="3" t="s">
        <v>23</v>
      </c>
      <c r="N265" s="3" t="n">
        <v>13</v>
      </c>
      <c r="O265" s="3" t="n">
        <v>5.2834</v>
      </c>
      <c r="P265" s="3" t="n">
        <v>96.1678</v>
      </c>
      <c r="Q265" s="3" t="s">
        <v>763</v>
      </c>
      <c r="R265" s="3"/>
      <c r="S265" s="3" t="s">
        <v>68</v>
      </c>
      <c r="T265" s="5" t="n">
        <f aca="false">IF(C265="","",DATE(VALUE(MID(C265,7,4)),VALUE(MID(C265,4,2)),VALUE(MID(C265,1,2)))+TIME(VALUE(MID(C265,12,2)),VALUE(MID(C265,15,2)),0))</f>
        <v>42710.91875</v>
      </c>
      <c r="U265" s="3" t="str">
        <f aca="false">IFERROR(IF(ISNUMBER(VALUE(TRIM(MID(A265,FIND("-",A265)+1,FIND("km",A265)-FIND("-",A265)-1)))),"Distance + direction + city","Named-region"),"Named-region")</f>
        <v>Distance + direction + city</v>
      </c>
      <c r="V265" s="3" t="str">
        <f aca="false">LOWER(M265)</f>
        <v>mww</v>
      </c>
      <c r="W265" s="3" t="n">
        <f aca="false">COUNTIFS($A$2:$A$1001,A265,$C$2:$C$1001,C265)</f>
        <v>1</v>
      </c>
      <c r="X265" s="3" t="str">
        <f aca="false">IF(W265&gt;1,"Duplicate","Unique")</f>
        <v>Unique</v>
      </c>
      <c r="Y265" s="3" t="str">
        <f aca="false">IF(B265&lt;6.5,"&lt;6.5",IF(B265&lt;7,"6.5–6.9",IF(B265&lt;7.5,"7.0–7.4",IF(B265&lt;8,"7.5–7.9","8.0+"))))</f>
        <v>6.5–6.9</v>
      </c>
      <c r="Z265" s="3" t="n">
        <f aca="false">IF(T265="","",YEAR(T265))</f>
        <v>2016</v>
      </c>
    </row>
    <row r="266" customFormat="false" ht="13.8" hidden="false" customHeight="false" outlineLevel="0" collapsed="false">
      <c r="A266" s="3" t="s">
        <v>764</v>
      </c>
      <c r="B266" s="3" t="n">
        <v>6.6</v>
      </c>
      <c r="C266" s="3" t="s">
        <v>765</v>
      </c>
      <c r="D266" s="3" t="n">
        <v>8</v>
      </c>
      <c r="E266" s="3" t="n">
        <v>7</v>
      </c>
      <c r="F266" s="3" t="s">
        <v>21</v>
      </c>
      <c r="G266" s="3" t="n">
        <v>0</v>
      </c>
      <c r="H266" s="3" t="n">
        <v>693</v>
      </c>
      <c r="I266" s="3" t="s">
        <v>22</v>
      </c>
      <c r="J266" s="3" t="n">
        <v>0</v>
      </c>
      <c r="K266" s="3" t="n">
        <v>1.697</v>
      </c>
      <c r="L266" s="3" t="n">
        <v>20</v>
      </c>
      <c r="M266" s="3" t="s">
        <v>23</v>
      </c>
      <c r="N266" s="3" t="n">
        <v>17</v>
      </c>
      <c r="O266" s="3" t="n">
        <v>39.2732</v>
      </c>
      <c r="P266" s="3" t="n">
        <v>73.9776</v>
      </c>
      <c r="Q266" s="3" t="s">
        <v>110</v>
      </c>
      <c r="R266" s="3" t="s">
        <v>80</v>
      </c>
      <c r="S266" s="3" t="s">
        <v>184</v>
      </c>
      <c r="T266" s="5" t="n">
        <f aca="false">IF(C266="","",DATE(VALUE(MID(C266,7,4)),VALUE(MID(C266,4,2)),VALUE(MID(C266,1,2)))+TIME(VALUE(MID(C266,12,2)),VALUE(MID(C266,15,2)),0))</f>
        <v>42699.6</v>
      </c>
      <c r="U266" s="3" t="str">
        <f aca="false">IFERROR(IF(ISNUMBER(VALUE(TRIM(MID(A266,FIND("-",A266)+1,FIND("km",A266)-FIND("-",A266)-1)))),"Distance + direction + city","Named-region"),"Named-region")</f>
        <v>Distance + direction + city</v>
      </c>
      <c r="V266" s="3" t="str">
        <f aca="false">LOWER(M266)</f>
        <v>mww</v>
      </c>
      <c r="W266" s="3" t="n">
        <f aca="false">COUNTIFS($A$2:$A$1001,A266,$C$2:$C$1001,C266)</f>
        <v>1</v>
      </c>
      <c r="X266" s="3" t="str">
        <f aca="false">IF(W266&gt;1,"Duplicate","Unique")</f>
        <v>Unique</v>
      </c>
      <c r="Y266" s="3" t="str">
        <f aca="false">IF(B266&lt;6.5,"&lt;6.5",IF(B266&lt;7,"6.5–6.9",IF(B266&lt;7.5,"7.0–7.4",IF(B266&lt;8,"7.5–7.9","8.0+"))))</f>
        <v>6.5–6.9</v>
      </c>
      <c r="Z266" s="3" t="n">
        <f aca="false">IF(T266="","",YEAR(T266))</f>
        <v>2016</v>
      </c>
    </row>
    <row r="267" customFormat="false" ht="13.8" hidden="false" customHeight="false" outlineLevel="0" collapsed="false">
      <c r="A267" s="3" t="s">
        <v>766</v>
      </c>
      <c r="B267" s="3" t="n">
        <v>6.9</v>
      </c>
      <c r="C267" s="3" t="s">
        <v>767</v>
      </c>
      <c r="D267" s="3" t="n">
        <v>5</v>
      </c>
      <c r="E267" s="3" t="n">
        <v>4</v>
      </c>
      <c r="F267" s="3" t="s">
        <v>21</v>
      </c>
      <c r="G267" s="3" t="n">
        <v>1</v>
      </c>
      <c r="H267" s="3" t="n">
        <v>855</v>
      </c>
      <c r="I267" s="3" t="s">
        <v>22</v>
      </c>
      <c r="J267" s="3" t="n">
        <v>0</v>
      </c>
      <c r="K267" s="3" t="n">
        <v>1.796</v>
      </c>
      <c r="L267" s="3" t="n">
        <v>20</v>
      </c>
      <c r="M267" s="3" t="s">
        <v>23</v>
      </c>
      <c r="N267" s="3" t="n">
        <v>10</v>
      </c>
      <c r="O267" s="3" t="n">
        <v>11.9097</v>
      </c>
      <c r="P267" s="3" t="n">
        <v>-88.8968</v>
      </c>
      <c r="Q267" s="3" t="s">
        <v>768</v>
      </c>
      <c r="R267" s="3"/>
      <c r="S267" s="3"/>
      <c r="T267" s="5" t="n">
        <f aca="false">IF(C267="","",DATE(VALUE(MID(C267,7,4)),VALUE(MID(C267,4,2)),VALUE(MID(C267,1,2)))+TIME(VALUE(MID(C267,12,2)),VALUE(MID(C267,15,2)),0))</f>
        <v>42698.7798611111</v>
      </c>
      <c r="U267" s="3" t="str">
        <f aca="false">IFERROR(IF(ISNUMBER(VALUE(TRIM(MID(A267,FIND("-",A267)+1,FIND("km",A267)-FIND("-",A267)-1)))),"Distance + direction + city","Named-region"),"Named-region")</f>
        <v>Distance + direction + city</v>
      </c>
      <c r="V267" s="3" t="str">
        <f aca="false">LOWER(M267)</f>
        <v>mww</v>
      </c>
      <c r="W267" s="3" t="n">
        <f aca="false">COUNTIFS($A$2:$A$1001,A267,$C$2:$C$1001,C267)</f>
        <v>1</v>
      </c>
      <c r="X267" s="3" t="str">
        <f aca="false">IF(W267&gt;1,"Duplicate","Unique")</f>
        <v>Unique</v>
      </c>
      <c r="Y267" s="3" t="str">
        <f aca="false">IF(B267&lt;6.5,"&lt;6.5",IF(B267&lt;7,"6.5–6.9",IF(B267&lt;7.5,"7.0–7.4",IF(B267&lt;8,"7.5–7.9","8.0+"))))</f>
        <v>6.5–6.9</v>
      </c>
      <c r="Z267" s="3" t="n">
        <f aca="false">IF(T267="","",YEAR(T267))</f>
        <v>2016</v>
      </c>
    </row>
    <row r="268" customFormat="false" ht="13.8" hidden="false" customHeight="false" outlineLevel="0" collapsed="false">
      <c r="A268" s="3" t="s">
        <v>769</v>
      </c>
      <c r="B268" s="3" t="n">
        <v>6.9</v>
      </c>
      <c r="C268" s="3" t="s">
        <v>770</v>
      </c>
      <c r="D268" s="3" t="n">
        <v>9</v>
      </c>
      <c r="E268" s="3" t="n">
        <v>6</v>
      </c>
      <c r="F268" s="3" t="s">
        <v>21</v>
      </c>
      <c r="G268" s="3" t="n">
        <v>1</v>
      </c>
      <c r="H268" s="3" t="n">
        <v>1144</v>
      </c>
      <c r="I268" s="3" t="s">
        <v>22</v>
      </c>
      <c r="J268" s="3" t="n">
        <v>0</v>
      </c>
      <c r="K268" s="3" t="n">
        <v>0.671</v>
      </c>
      <c r="L268" s="3" t="n">
        <v>10</v>
      </c>
      <c r="M268" s="3" t="s">
        <v>23</v>
      </c>
      <c r="N268" s="3" t="n">
        <v>9</v>
      </c>
      <c r="O268" s="3" t="n">
        <v>37.3931</v>
      </c>
      <c r="P268" s="3" t="n">
        <v>141.387</v>
      </c>
      <c r="Q268" s="3" t="s">
        <v>217</v>
      </c>
      <c r="R268" s="3" t="s">
        <v>80</v>
      </c>
      <c r="S268" s="3"/>
      <c r="T268" s="5" t="n">
        <f aca="false">IF(C268="","",DATE(VALUE(MID(C268,7,4)),VALUE(MID(C268,4,2)),VALUE(MID(C268,1,2)))+TIME(VALUE(MID(C268,12,2)),VALUE(MID(C268,15,2)),0))</f>
        <v>42695.8743055556</v>
      </c>
      <c r="U268" s="3" t="str">
        <f aca="false">IFERROR(IF(ISNUMBER(VALUE(TRIM(MID(A268,FIND("-",A268)+1,FIND("km",A268)-FIND("-",A268)-1)))),"Distance + direction + city","Named-region"),"Named-region")</f>
        <v>Distance + direction + city</v>
      </c>
      <c r="V268" s="3" t="str">
        <f aca="false">LOWER(M268)</f>
        <v>mww</v>
      </c>
      <c r="W268" s="3" t="n">
        <f aca="false">COUNTIFS($A$2:$A$1001,A268,$C$2:$C$1001,C268)</f>
        <v>1</v>
      </c>
      <c r="X268" s="3" t="str">
        <f aca="false">IF(W268&gt;1,"Duplicate","Unique")</f>
        <v>Unique</v>
      </c>
      <c r="Y268" s="3" t="str">
        <f aca="false">IF(B268&lt;6.5,"&lt;6.5",IF(B268&lt;7,"6.5–6.9",IF(B268&lt;7.5,"7.0–7.4",IF(B268&lt;8,"7.5–7.9","8.0+"))))</f>
        <v>6.5–6.9</v>
      </c>
      <c r="Z268" s="3" t="n">
        <f aca="false">IF(T268="","",YEAR(T268))</f>
        <v>2016</v>
      </c>
    </row>
    <row r="269" customFormat="false" ht="13.8" hidden="false" customHeight="false" outlineLevel="0" collapsed="false">
      <c r="A269" s="3" t="s">
        <v>771</v>
      </c>
      <c r="B269" s="3" t="n">
        <v>6.5</v>
      </c>
      <c r="C269" s="3" t="s">
        <v>772</v>
      </c>
      <c r="D269" s="3" t="n">
        <v>7</v>
      </c>
      <c r="E269" s="3" t="n">
        <v>7</v>
      </c>
      <c r="F269" s="3" t="s">
        <v>28</v>
      </c>
      <c r="G269" s="3" t="n">
        <v>1</v>
      </c>
      <c r="H269" s="3" t="n">
        <v>664</v>
      </c>
      <c r="I269" s="3" t="s">
        <v>22</v>
      </c>
      <c r="J269" s="3" t="n">
        <v>0</v>
      </c>
      <c r="K269" s="3" t="n">
        <v>0.283</v>
      </c>
      <c r="L269" s="3" t="n">
        <v>56</v>
      </c>
      <c r="M269" s="3" t="s">
        <v>23</v>
      </c>
      <c r="N269" s="3" t="n">
        <v>9</v>
      </c>
      <c r="O269" s="3" t="n">
        <v>-42.6058</v>
      </c>
      <c r="P269" s="3" t="n">
        <v>173.254</v>
      </c>
      <c r="Q269" s="3" t="s">
        <v>773</v>
      </c>
      <c r="R269" s="3"/>
      <c r="S269" s="3" t="s">
        <v>774</v>
      </c>
      <c r="T269" s="5" t="n">
        <f aca="false">IF(C269="","",DATE(VALUE(MID(C269,7,4)),VALUE(MID(C269,4,2)),VALUE(MID(C269,1,2)))+TIME(VALUE(MID(C269,12,2)),VALUE(MID(C269,15,2)),0))</f>
        <v>42688.0236111111</v>
      </c>
      <c r="U269" s="3" t="str">
        <f aca="false">IFERROR(IF(ISNUMBER(VALUE(TRIM(MID(A269,FIND("-",A269)+1,FIND("km",A269)-FIND("-",A269)-1)))),"Distance + direction + city","Named-region"),"Named-region")</f>
        <v>Distance + direction + city</v>
      </c>
      <c r="V269" s="3" t="str">
        <f aca="false">LOWER(M269)</f>
        <v>mww</v>
      </c>
      <c r="W269" s="3" t="n">
        <f aca="false">COUNTIFS($A$2:$A$1001,A269,$C$2:$C$1001,C269)</f>
        <v>1</v>
      </c>
      <c r="X269" s="3" t="str">
        <f aca="false">IF(W269&gt;1,"Duplicate","Unique")</f>
        <v>Unique</v>
      </c>
      <c r="Y269" s="3" t="str">
        <f aca="false">IF(B269&lt;6.5,"&lt;6.5",IF(B269&lt;7,"6.5–6.9",IF(B269&lt;7.5,"7.0–7.4",IF(B269&lt;8,"7.5–7.9","8.0+"))))</f>
        <v>6.5–6.9</v>
      </c>
      <c r="Z269" s="3" t="n">
        <f aca="false">IF(T269="","",YEAR(T269))</f>
        <v>2016</v>
      </c>
    </row>
    <row r="270" customFormat="false" ht="13.8" hidden="false" customHeight="false" outlineLevel="0" collapsed="false">
      <c r="A270" s="3" t="s">
        <v>775</v>
      </c>
      <c r="B270" s="3" t="n">
        <v>6.5</v>
      </c>
      <c r="C270" s="3" t="s">
        <v>776</v>
      </c>
      <c r="D270" s="3" t="n">
        <v>6</v>
      </c>
      <c r="E270" s="3" t="n">
        <v>7</v>
      </c>
      <c r="F270" s="3" t="s">
        <v>28</v>
      </c>
      <c r="G270" s="3" t="n">
        <v>1</v>
      </c>
      <c r="H270" s="3" t="n">
        <v>656</v>
      </c>
      <c r="I270" s="3" t="s">
        <v>22</v>
      </c>
      <c r="J270" s="3" t="n">
        <v>0</v>
      </c>
      <c r="K270" s="3" t="n">
        <v>0.135</v>
      </c>
      <c r="L270" s="3" t="n">
        <v>58</v>
      </c>
      <c r="M270" s="3" t="s">
        <v>23</v>
      </c>
      <c r="N270" s="3" t="n">
        <v>10</v>
      </c>
      <c r="O270" s="3" t="n">
        <v>-42.3205</v>
      </c>
      <c r="P270" s="3" t="n">
        <v>173.669</v>
      </c>
      <c r="Q270" s="3" t="s">
        <v>777</v>
      </c>
      <c r="R270" s="3"/>
      <c r="S270" s="3" t="s">
        <v>774</v>
      </c>
      <c r="T270" s="5" t="n">
        <f aca="false">IF(C270="","",DATE(VALUE(MID(C270,7,4)),VALUE(MID(C270,4,2)),VALUE(MID(C270,1,2)))+TIME(VALUE(MID(C270,12,2)),VALUE(MID(C270,15,2)),0))</f>
        <v>42687.4805555556</v>
      </c>
      <c r="U270" s="3" t="str">
        <f aca="false">IFERROR(IF(ISNUMBER(VALUE(TRIM(MID(A270,FIND("-",A270)+1,FIND("km",A270)-FIND("-",A270)-1)))),"Distance + direction + city","Named-region"),"Named-region")</f>
        <v>Distance + direction + city</v>
      </c>
      <c r="V270" s="3" t="str">
        <f aca="false">LOWER(M270)</f>
        <v>mww</v>
      </c>
      <c r="W270" s="3" t="n">
        <f aca="false">COUNTIFS($A$2:$A$1001,A270,$C$2:$C$1001,C270)</f>
        <v>1</v>
      </c>
      <c r="X270" s="3" t="str">
        <f aca="false">IF(W270&gt;1,"Duplicate","Unique")</f>
        <v>Unique</v>
      </c>
      <c r="Y270" s="3" t="str">
        <f aca="false">IF(B270&lt;6.5,"&lt;6.5",IF(B270&lt;7,"6.5–6.9",IF(B270&lt;7.5,"7.0–7.4",IF(B270&lt;8,"7.5–7.9","8.0+"))))</f>
        <v>6.5–6.9</v>
      </c>
      <c r="Z270" s="3" t="n">
        <f aca="false">IF(T270="","",YEAR(T270))</f>
        <v>2016</v>
      </c>
    </row>
    <row r="271" customFormat="false" ht="13.8" hidden="false" customHeight="false" outlineLevel="0" collapsed="false">
      <c r="A271" s="3" t="s">
        <v>778</v>
      </c>
      <c r="B271" s="3" t="n">
        <v>7.8</v>
      </c>
      <c r="C271" s="3" t="s">
        <v>779</v>
      </c>
      <c r="D271" s="3" t="n">
        <v>9</v>
      </c>
      <c r="E271" s="3" t="n">
        <v>9</v>
      </c>
      <c r="F271" s="3" t="s">
        <v>95</v>
      </c>
      <c r="G271" s="3" t="n">
        <v>1</v>
      </c>
      <c r="H271" s="3" t="n">
        <v>1545</v>
      </c>
      <c r="I271" s="3" t="s">
        <v>22</v>
      </c>
      <c r="J271" s="3" t="n">
        <v>0</v>
      </c>
      <c r="K271" s="3" t="n">
        <v>0.481</v>
      </c>
      <c r="L271" s="3" t="n">
        <v>21</v>
      </c>
      <c r="M271" s="3" t="s">
        <v>23</v>
      </c>
      <c r="N271" s="3" t="n">
        <v>15.11</v>
      </c>
      <c r="O271" s="3" t="n">
        <v>-42.7373</v>
      </c>
      <c r="P271" s="3" t="n">
        <v>173.054</v>
      </c>
      <c r="Q271" s="3" t="s">
        <v>773</v>
      </c>
      <c r="R271" s="3"/>
      <c r="S271" s="3" t="s">
        <v>774</v>
      </c>
      <c r="T271" s="5" t="n">
        <f aca="false">IF(C271="","",DATE(VALUE(MID(C271,7,4)),VALUE(MID(C271,4,2)),VALUE(MID(C271,1,2)))+TIME(VALUE(MID(C271,12,2)),VALUE(MID(C271,15,2)),0))</f>
        <v>42687.4597222222</v>
      </c>
      <c r="U271" s="3" t="str">
        <f aca="false">IFERROR(IF(ISNUMBER(VALUE(TRIM(MID(A271,FIND("-",A271)+1,FIND("km",A271)-FIND("-",A271)-1)))),"Distance + direction + city","Named-region"),"Named-region")</f>
        <v>Distance + direction + city</v>
      </c>
      <c r="V271" s="3" t="str">
        <f aca="false">LOWER(M271)</f>
        <v>mww</v>
      </c>
      <c r="W271" s="3" t="n">
        <f aca="false">COUNTIFS($A$2:$A$1001,A271,$C$2:$C$1001,C271)</f>
        <v>1</v>
      </c>
      <c r="X271" s="3" t="str">
        <f aca="false">IF(W271&gt;1,"Duplicate","Unique")</f>
        <v>Unique</v>
      </c>
      <c r="Y271" s="3" t="str">
        <f aca="false">IF(B271&lt;6.5,"&lt;6.5",IF(B271&lt;7,"6.5–6.9",IF(B271&lt;7.5,"7.0–7.4",IF(B271&lt;8,"7.5–7.9","8.0+"))))</f>
        <v>7.5–7.9</v>
      </c>
      <c r="Z271" s="3" t="n">
        <f aca="false">IF(T271="","",YEAR(T271))</f>
        <v>2016</v>
      </c>
    </row>
    <row r="272" customFormat="false" ht="13.8" hidden="false" customHeight="false" outlineLevel="0" collapsed="false">
      <c r="A272" s="3" t="s">
        <v>780</v>
      </c>
      <c r="B272" s="3" t="n">
        <v>6.6</v>
      </c>
      <c r="C272" s="3" t="s">
        <v>781</v>
      </c>
      <c r="D272" s="3" t="n">
        <v>9</v>
      </c>
      <c r="E272" s="3" t="n">
        <v>8</v>
      </c>
      <c r="F272" s="3" t="s">
        <v>121</v>
      </c>
      <c r="G272" s="3" t="n">
        <v>0</v>
      </c>
      <c r="H272" s="3" t="n">
        <v>2840</v>
      </c>
      <c r="I272" s="3" t="s">
        <v>22</v>
      </c>
      <c r="J272" s="3" t="n">
        <v>0</v>
      </c>
      <c r="K272" s="3" t="n">
        <v>0.174</v>
      </c>
      <c r="L272" s="3" t="n">
        <v>25</v>
      </c>
      <c r="M272" s="3" t="s">
        <v>23</v>
      </c>
      <c r="N272" s="3" t="n">
        <v>8</v>
      </c>
      <c r="O272" s="3" t="n">
        <v>42.8621</v>
      </c>
      <c r="P272" s="3" t="n">
        <v>13.0961</v>
      </c>
      <c r="Q272" s="3" t="s">
        <v>782</v>
      </c>
      <c r="R272" s="3" t="s">
        <v>361</v>
      </c>
      <c r="S272" s="3" t="s">
        <v>783</v>
      </c>
      <c r="T272" s="5" t="n">
        <f aca="false">IF(C272="","",DATE(VALUE(MID(C272,7,4)),VALUE(MID(C272,4,2)),VALUE(MID(C272,1,2)))+TIME(VALUE(MID(C272,12,2)),VALUE(MID(C272,15,2)),0))</f>
        <v>42673.2777777778</v>
      </c>
      <c r="U272" s="3" t="str">
        <f aca="false">IFERROR(IF(ISNUMBER(VALUE(TRIM(MID(A272,FIND("-",A272)+1,FIND("km",A272)-FIND("-",A272)-1)))),"Distance + direction + city","Named-region"),"Named-region")</f>
        <v>Distance + direction + city</v>
      </c>
      <c r="V272" s="3" t="str">
        <f aca="false">LOWER(M272)</f>
        <v>mww</v>
      </c>
      <c r="W272" s="3" t="n">
        <f aca="false">COUNTIFS($A$2:$A$1001,A272,$C$2:$C$1001,C272)</f>
        <v>1</v>
      </c>
      <c r="X272" s="3" t="str">
        <f aca="false">IF(W272&gt;1,"Duplicate","Unique")</f>
        <v>Unique</v>
      </c>
      <c r="Y272" s="3" t="str">
        <f aca="false">IF(B272&lt;6.5,"&lt;6.5",IF(B272&lt;7,"6.5–6.9",IF(B272&lt;7.5,"7.0–7.4",IF(B272&lt;8,"7.5–7.9","8.0+"))))</f>
        <v>6.5–6.9</v>
      </c>
      <c r="Z272" s="3" t="n">
        <f aca="false">IF(T272="","",YEAR(T272))</f>
        <v>2016</v>
      </c>
    </row>
    <row r="273" customFormat="false" ht="13.8" hidden="false" customHeight="false" outlineLevel="0" collapsed="false">
      <c r="A273" s="3" t="s">
        <v>784</v>
      </c>
      <c r="B273" s="3" t="n">
        <v>6.6</v>
      </c>
      <c r="C273" s="3" t="s">
        <v>785</v>
      </c>
      <c r="D273" s="3" t="n">
        <v>3</v>
      </c>
      <c r="E273" s="3" t="n">
        <v>3</v>
      </c>
      <c r="F273" s="3" t="s">
        <v>21</v>
      </c>
      <c r="G273" s="3" t="n">
        <v>0</v>
      </c>
      <c r="H273" s="3" t="n">
        <v>677</v>
      </c>
      <c r="I273" s="3" t="s">
        <v>22</v>
      </c>
      <c r="J273" s="3" t="n">
        <v>0</v>
      </c>
      <c r="K273" s="3" t="n">
        <v>2.022</v>
      </c>
      <c r="L273" s="3" t="n">
        <v>16</v>
      </c>
      <c r="M273" s="3" t="s">
        <v>23</v>
      </c>
      <c r="N273" s="3" t="n">
        <v>614</v>
      </c>
      <c r="O273" s="3" t="n">
        <v>-4.8626</v>
      </c>
      <c r="P273" s="3" t="n">
        <v>108.163</v>
      </c>
      <c r="Q273" s="3" t="s">
        <v>786</v>
      </c>
      <c r="R273" s="3"/>
      <c r="S273" s="3" t="s">
        <v>68</v>
      </c>
      <c r="T273" s="5" t="n">
        <f aca="false">IF(C273="","",DATE(VALUE(MID(C273,7,4)),VALUE(MID(C273,4,2)),VALUE(MID(C273,1,2)))+TIME(VALUE(MID(C273,12,2)),VALUE(MID(C273,15,2)),0))</f>
        <v>42662.0180555556</v>
      </c>
      <c r="U273" s="3" t="str">
        <f aca="false">IFERROR(IF(ISNUMBER(VALUE(TRIM(MID(A273,FIND("-",A273)+1,FIND("km",A273)-FIND("-",A273)-1)))),"Distance + direction + city","Named-region"),"Named-region")</f>
        <v>Distance + direction + city</v>
      </c>
      <c r="V273" s="3" t="str">
        <f aca="false">LOWER(M273)</f>
        <v>mww</v>
      </c>
      <c r="W273" s="3" t="n">
        <f aca="false">COUNTIFS($A$2:$A$1001,A273,$C$2:$C$1001,C273)</f>
        <v>1</v>
      </c>
      <c r="X273" s="3" t="str">
        <f aca="false">IF(W273&gt;1,"Duplicate","Unique")</f>
        <v>Unique</v>
      </c>
      <c r="Y273" s="3" t="str">
        <f aca="false">IF(B273&lt;6.5,"&lt;6.5",IF(B273&lt;7,"6.5–6.9",IF(B273&lt;7.5,"7.0–7.4",IF(B273&lt;8,"7.5–7.9","8.0+"))))</f>
        <v>6.5–6.9</v>
      </c>
      <c r="Z273" s="3" t="n">
        <f aca="false">IF(T273="","",YEAR(T273))</f>
        <v>2016</v>
      </c>
    </row>
    <row r="274" customFormat="false" ht="13.8" hidden="false" customHeight="false" outlineLevel="0" collapsed="false">
      <c r="A274" s="3" t="s">
        <v>787</v>
      </c>
      <c r="B274" s="3" t="n">
        <v>6.8</v>
      </c>
      <c r="C274" s="3" t="s">
        <v>788</v>
      </c>
      <c r="D274" s="3" t="n">
        <v>3</v>
      </c>
      <c r="E274" s="3" t="n">
        <v>6</v>
      </c>
      <c r="F274" s="3" t="s">
        <v>21</v>
      </c>
      <c r="G274" s="3" t="n">
        <v>1</v>
      </c>
      <c r="H274" s="3" t="n">
        <v>716</v>
      </c>
      <c r="I274" s="3" t="s">
        <v>22</v>
      </c>
      <c r="J274" s="3" t="n">
        <v>0</v>
      </c>
      <c r="K274" s="3" t="n">
        <v>3.727</v>
      </c>
      <c r="L274" s="3" t="n">
        <v>11</v>
      </c>
      <c r="M274" s="3" t="s">
        <v>23</v>
      </c>
      <c r="N274" s="3" t="n">
        <v>42</v>
      </c>
      <c r="O274" s="3" t="n">
        <v>-6.0033</v>
      </c>
      <c r="P274" s="3" t="n">
        <v>148.887</v>
      </c>
      <c r="Q274" s="3" t="s">
        <v>789</v>
      </c>
      <c r="R274" s="3"/>
      <c r="S274" s="3" t="s">
        <v>85</v>
      </c>
      <c r="T274" s="5" t="n">
        <f aca="false">IF(C274="","",DATE(VALUE(MID(C274,7,4)),VALUE(MID(C274,4,2)),VALUE(MID(C274,1,2)))+TIME(VALUE(MID(C274,12,2)),VALUE(MID(C274,15,2)),0))</f>
        <v>42660.2597222222</v>
      </c>
      <c r="U274" s="3" t="str">
        <f aca="false">IFERROR(IF(ISNUMBER(VALUE(TRIM(MID(A274,FIND("-",A274)+1,FIND("km",A274)-FIND("-",A274)-1)))),"Distance + direction + city","Named-region"),"Named-region")</f>
        <v>Distance + direction + city</v>
      </c>
      <c r="V274" s="3" t="str">
        <f aca="false">LOWER(M274)</f>
        <v>mww</v>
      </c>
      <c r="W274" s="3" t="n">
        <f aca="false">COUNTIFS($A$2:$A$1001,A274,$C$2:$C$1001,C274)</f>
        <v>1</v>
      </c>
      <c r="X274" s="3" t="str">
        <f aca="false">IF(W274&gt;1,"Duplicate","Unique")</f>
        <v>Unique</v>
      </c>
      <c r="Y274" s="3" t="str">
        <f aca="false">IF(B274&lt;6.5,"&lt;6.5",IF(B274&lt;7,"6.5–6.9",IF(B274&lt;7.5,"7.0–7.4",IF(B274&lt;8,"7.5–7.9","8.0+"))))</f>
        <v>6.5–6.9</v>
      </c>
      <c r="Z274" s="3" t="n">
        <f aca="false">IF(T274="","",YEAR(T274))</f>
        <v>2016</v>
      </c>
    </row>
    <row r="275" customFormat="false" ht="13.8" hidden="false" customHeight="false" outlineLevel="0" collapsed="false">
      <c r="A275" s="3" t="s">
        <v>790</v>
      </c>
      <c r="B275" s="3" t="n">
        <v>6.9</v>
      </c>
      <c r="C275" s="3" t="s">
        <v>791</v>
      </c>
      <c r="D275" s="3" t="n">
        <v>2</v>
      </c>
      <c r="E275" s="3" t="n">
        <v>3</v>
      </c>
      <c r="F275" s="3" t="s">
        <v>21</v>
      </c>
      <c r="G275" s="3" t="n">
        <v>1</v>
      </c>
      <c r="H275" s="3" t="n">
        <v>733</v>
      </c>
      <c r="I275" s="3" t="s">
        <v>22</v>
      </c>
      <c r="J275" s="3" t="n">
        <v>0</v>
      </c>
      <c r="K275" s="3" t="n">
        <v>4.051</v>
      </c>
      <c r="L275" s="3" t="n">
        <v>9</v>
      </c>
      <c r="M275" s="3" t="s">
        <v>23</v>
      </c>
      <c r="N275" s="3" t="n">
        <v>596.4</v>
      </c>
      <c r="O275" s="3" t="n">
        <v>-19.7819</v>
      </c>
      <c r="P275" s="3" t="n">
        <v>-178.244</v>
      </c>
      <c r="Q275" s="3" t="s">
        <v>792</v>
      </c>
      <c r="R275" s="3"/>
      <c r="S275" s="3" t="s">
        <v>146</v>
      </c>
      <c r="T275" s="5" t="n">
        <f aca="false">IF(C275="","",DATE(VALUE(MID(C275,7,4)),VALUE(MID(C275,4,2)),VALUE(MID(C275,1,2)))+TIME(VALUE(MID(C275,12,2)),VALUE(MID(C275,15,2)),0))</f>
        <v>42637.8944444444</v>
      </c>
      <c r="U275" s="3" t="str">
        <f aca="false">IFERROR(IF(ISNUMBER(VALUE(TRIM(MID(A275,FIND("-",A275)+1,FIND("km",A275)-FIND("-",A275)-1)))),"Distance + direction + city","Named-region"),"Named-region")</f>
        <v>Named-region</v>
      </c>
      <c r="V275" s="3" t="str">
        <f aca="false">LOWER(M275)</f>
        <v>mww</v>
      </c>
      <c r="W275" s="3" t="n">
        <f aca="false">COUNTIFS($A$2:$A$1001,A275,$C$2:$C$1001,C275)</f>
        <v>1</v>
      </c>
      <c r="X275" s="3" t="str">
        <f aca="false">IF(W275&gt;1,"Duplicate","Unique")</f>
        <v>Unique</v>
      </c>
      <c r="Y275" s="3" t="str">
        <f aca="false">IF(B275&lt;6.5,"&lt;6.5",IF(B275&lt;7,"6.5–6.9",IF(B275&lt;7.5,"7.0–7.4",IF(B275&lt;8,"7.5–7.9","8.0+"))))</f>
        <v>6.5–6.9</v>
      </c>
      <c r="Z275" s="3" t="n">
        <f aca="false">IF(T275="","",YEAR(T275))</f>
        <v>2016</v>
      </c>
    </row>
    <row r="276" customFormat="false" ht="13.8" hidden="false" customHeight="false" outlineLevel="0" collapsed="false">
      <c r="A276" s="3" t="s">
        <v>793</v>
      </c>
      <c r="B276" s="3" t="n">
        <v>7</v>
      </c>
      <c r="C276" s="6" t="s">
        <v>794</v>
      </c>
      <c r="D276" s="3" t="n">
        <v>5</v>
      </c>
      <c r="E276" s="3" t="n">
        <v>6</v>
      </c>
      <c r="F276" s="3" t="s">
        <v>21</v>
      </c>
      <c r="G276" s="3" t="n">
        <v>1</v>
      </c>
      <c r="H276" s="3" t="n">
        <v>897</v>
      </c>
      <c r="I276" s="3" t="s">
        <v>22</v>
      </c>
      <c r="J276" s="3" t="n">
        <v>0</v>
      </c>
      <c r="K276" s="3" t="n">
        <v>0.698</v>
      </c>
      <c r="L276" s="3" t="n">
        <v>21</v>
      </c>
      <c r="M276" s="3" t="s">
        <v>23</v>
      </c>
      <c r="N276" s="3" t="n">
        <v>19</v>
      </c>
      <c r="O276" s="3" t="n">
        <v>-37.3586</v>
      </c>
      <c r="P276" s="3" t="n">
        <v>179.146</v>
      </c>
      <c r="Q276" s="3" t="s">
        <v>342</v>
      </c>
      <c r="R276" s="3"/>
      <c r="S276" s="3"/>
      <c r="T276" s="5" t="n">
        <f aca="false">IF(C276="","",DATE(VALUE(MID(C276,7,4)),VALUE(MID(C276,4,2)),VALUE(MID(C276,1,2)))+TIME(VALUE(MID(C276,12,2)),VALUE(MID(C276,15,2)),0))</f>
        <v>42614.6923611111</v>
      </c>
      <c r="U276" s="3" t="str">
        <f aca="false">IFERROR(IF(ISNUMBER(VALUE(TRIM(MID(A276,FIND("-",A276)+1,FIND("km",A276)-FIND("-",A276)-1)))),"Distance + direction + city","Named-region"),"Named-region")</f>
        <v>Distance + direction + city</v>
      </c>
      <c r="V276" s="3" t="str">
        <f aca="false">LOWER(M276)</f>
        <v>mww</v>
      </c>
      <c r="W276" s="3" t="n">
        <f aca="false">COUNTIFS($A$2:$A$1001,A276,$C$2:$C$1001,C276)</f>
        <v>1</v>
      </c>
      <c r="X276" s="3" t="str">
        <f aca="false">IF(W276&gt;1,"Duplicate","Unique")</f>
        <v>Unique</v>
      </c>
      <c r="Y276" s="3" t="str">
        <f aca="false">IF(B276&lt;6.5,"&lt;6.5",IF(B276&lt;7,"6.5–6.9",IF(B276&lt;7.5,"7.0–7.4",IF(B276&lt;8,"7.5–7.9","8.0+"))))</f>
        <v>7.0–7.4</v>
      </c>
      <c r="Z276" s="3" t="n">
        <f aca="false">IF(T276="","",YEAR(T276))</f>
        <v>2016</v>
      </c>
    </row>
    <row r="277" customFormat="false" ht="13.8" hidden="false" customHeight="false" outlineLevel="0" collapsed="false">
      <c r="A277" s="3" t="s">
        <v>795</v>
      </c>
      <c r="B277" s="3" t="n">
        <v>6.8</v>
      </c>
      <c r="C277" s="3" t="s">
        <v>796</v>
      </c>
      <c r="D277" s="3" t="n">
        <v>4</v>
      </c>
      <c r="E277" s="3" t="n">
        <v>3</v>
      </c>
      <c r="F277" s="3" t="s">
        <v>21</v>
      </c>
      <c r="G277" s="3" t="n">
        <v>1</v>
      </c>
      <c r="H277" s="3" t="n">
        <v>713</v>
      </c>
      <c r="I277" s="3" t="s">
        <v>22</v>
      </c>
      <c r="J277" s="3" t="n">
        <v>0</v>
      </c>
      <c r="K277" s="3" t="n">
        <v>0.803</v>
      </c>
      <c r="L277" s="3" t="n">
        <v>12</v>
      </c>
      <c r="M277" s="3" t="s">
        <v>23</v>
      </c>
      <c r="N277" s="3" t="n">
        <v>476</v>
      </c>
      <c r="O277" s="3" t="n">
        <v>-3.6849</v>
      </c>
      <c r="P277" s="3" t="n">
        <v>152.792</v>
      </c>
      <c r="Q277" s="3" t="s">
        <v>797</v>
      </c>
      <c r="R277" s="3"/>
      <c r="S277" s="3" t="s">
        <v>85</v>
      </c>
      <c r="T277" s="5" t="n">
        <f aca="false">IF(C277="","",DATE(VALUE(MID(C277,7,4)),VALUE(MID(C277,4,2)),VALUE(MID(C277,1,2)))+TIME(VALUE(MID(C277,12,2)),VALUE(MID(C277,15,2)),0))</f>
        <v>42613.1326388889</v>
      </c>
      <c r="U277" s="3" t="str">
        <f aca="false">IFERROR(IF(ISNUMBER(VALUE(TRIM(MID(A277,FIND("-",A277)+1,FIND("km",A277)-FIND("-",A277)-1)))),"Distance + direction + city","Named-region"),"Named-region")</f>
        <v>Distance + direction + city</v>
      </c>
      <c r="V277" s="3" t="str">
        <f aca="false">LOWER(M277)</f>
        <v>mww</v>
      </c>
      <c r="W277" s="3" t="n">
        <f aca="false">COUNTIFS($A$2:$A$1001,A277,$C$2:$C$1001,C277)</f>
        <v>1</v>
      </c>
      <c r="X277" s="3" t="str">
        <f aca="false">IF(W277&gt;1,"Duplicate","Unique")</f>
        <v>Unique</v>
      </c>
      <c r="Y277" s="3" t="str">
        <f aca="false">IF(B277&lt;6.5,"&lt;6.5",IF(B277&lt;7,"6.5–6.9",IF(B277&lt;7.5,"7.0–7.4",IF(B277&lt;8,"7.5–7.9","8.0+"))))</f>
        <v>6.5–6.9</v>
      </c>
      <c r="Z277" s="3" t="n">
        <f aca="false">IF(T277="","",YEAR(T277))</f>
        <v>2016</v>
      </c>
    </row>
    <row r="278" customFormat="false" ht="13.8" hidden="false" customHeight="false" outlineLevel="0" collapsed="false">
      <c r="A278" s="3" t="s">
        <v>798</v>
      </c>
      <c r="B278" s="3" t="n">
        <v>6.8</v>
      </c>
      <c r="C278" s="3" t="s">
        <v>799</v>
      </c>
      <c r="D278" s="3" t="n">
        <v>6</v>
      </c>
      <c r="E278" s="3" t="n">
        <v>6</v>
      </c>
      <c r="F278" s="3" t="s">
        <v>28</v>
      </c>
      <c r="G278" s="3" t="n">
        <v>0</v>
      </c>
      <c r="H278" s="3" t="n">
        <v>981</v>
      </c>
      <c r="I278" s="3" t="s">
        <v>22</v>
      </c>
      <c r="J278" s="3" t="n">
        <v>0</v>
      </c>
      <c r="K278" s="3" t="n">
        <v>1.802</v>
      </c>
      <c r="L278" s="3" t="n">
        <v>17</v>
      </c>
      <c r="M278" s="3" t="s">
        <v>23</v>
      </c>
      <c r="N278" s="3" t="n">
        <v>82</v>
      </c>
      <c r="O278" s="3" t="n">
        <v>20.9228</v>
      </c>
      <c r="P278" s="3" t="n">
        <v>94.569</v>
      </c>
      <c r="Q278" s="3" t="s">
        <v>800</v>
      </c>
      <c r="R278" s="3" t="s">
        <v>80</v>
      </c>
      <c r="S278" s="3" t="s">
        <v>801</v>
      </c>
      <c r="T278" s="5" t="n">
        <f aca="false">IF(C278="","",DATE(VALUE(MID(C278,7,4)),VALUE(MID(C278,4,2)),VALUE(MID(C278,1,2)))+TIME(VALUE(MID(C278,12,2)),VALUE(MID(C278,15,2)),0))</f>
        <v>42606.4402777778</v>
      </c>
      <c r="U278" s="3" t="str">
        <f aca="false">IFERROR(IF(ISNUMBER(VALUE(TRIM(MID(A278,FIND("-",A278)+1,FIND("km",A278)-FIND("-",A278)-1)))),"Distance + direction + city","Named-region"),"Named-region")</f>
        <v>Distance + direction + city</v>
      </c>
      <c r="V278" s="3" t="str">
        <f aca="false">LOWER(M278)</f>
        <v>mww</v>
      </c>
      <c r="W278" s="3" t="n">
        <f aca="false">COUNTIFS($A$2:$A$1001,A278,$C$2:$C$1001,C278)</f>
        <v>1</v>
      </c>
      <c r="X278" s="3" t="str">
        <f aca="false">IF(W278&gt;1,"Duplicate","Unique")</f>
        <v>Unique</v>
      </c>
      <c r="Y278" s="3" t="str">
        <f aca="false">IF(B278&lt;6.5,"&lt;6.5",IF(B278&lt;7,"6.5–6.9",IF(B278&lt;7.5,"7.0–7.4",IF(B278&lt;8,"7.5–7.9","8.0+"))))</f>
        <v>6.5–6.9</v>
      </c>
      <c r="Z278" s="3" t="n">
        <f aca="false">IF(T278="","",YEAR(T278))</f>
        <v>2016</v>
      </c>
    </row>
    <row r="279" customFormat="false" ht="13.8" hidden="false" customHeight="false" outlineLevel="0" collapsed="false">
      <c r="A279" s="3" t="s">
        <v>802</v>
      </c>
      <c r="B279" s="3" t="n">
        <v>7.2</v>
      </c>
      <c r="C279" s="6" t="s">
        <v>803</v>
      </c>
      <c r="D279" s="3" t="n">
        <v>6</v>
      </c>
      <c r="E279" s="3" t="n">
        <v>5</v>
      </c>
      <c r="F279" s="3" t="s">
        <v>21</v>
      </c>
      <c r="G279" s="3" t="n">
        <v>1</v>
      </c>
      <c r="H279" s="3" t="n">
        <v>799</v>
      </c>
      <c r="I279" s="3" t="s">
        <v>22</v>
      </c>
      <c r="J279" s="3" t="n">
        <v>0</v>
      </c>
      <c r="K279" s="3" t="n">
        <v>4.823</v>
      </c>
      <c r="L279" s="3" t="n">
        <v>14</v>
      </c>
      <c r="M279" s="3" t="s">
        <v>23</v>
      </c>
      <c r="N279" s="3" t="n">
        <v>16.37</v>
      </c>
      <c r="O279" s="3" t="n">
        <v>-22.4765</v>
      </c>
      <c r="P279" s="3" t="n">
        <v>173.117</v>
      </c>
      <c r="Q279" s="3" t="s">
        <v>57</v>
      </c>
      <c r="R279" s="3"/>
      <c r="S279" s="3"/>
      <c r="T279" s="5" t="n">
        <f aca="false">IF(C279="","",DATE(VALUE(MID(C279,7,4)),VALUE(MID(C279,4,2)),VALUE(MID(C279,1,2)))+TIME(VALUE(MID(C279,12,2)),VALUE(MID(C279,15,2)),0))</f>
        <v>42594.0597222222</v>
      </c>
      <c r="U279" s="3" t="str">
        <f aca="false">IFERROR(IF(ISNUMBER(VALUE(TRIM(MID(A279,FIND("-",A279)+1,FIND("km",A279)-FIND("-",A279)-1)))),"Distance + direction + city","Named-region"),"Named-region")</f>
        <v>Named-region</v>
      </c>
      <c r="V279" s="3" t="str">
        <f aca="false">LOWER(M279)</f>
        <v>mww</v>
      </c>
      <c r="W279" s="3" t="n">
        <f aca="false">COUNTIFS($A$2:$A$1001,A279,$C$2:$C$1001,C279)</f>
        <v>1</v>
      </c>
      <c r="X279" s="3" t="str">
        <f aca="false">IF(W279&gt;1,"Duplicate","Unique")</f>
        <v>Unique</v>
      </c>
      <c r="Y279" s="3" t="str">
        <f aca="false">IF(B279&lt;6.5,"&lt;6.5",IF(B279&lt;7,"6.5–6.9",IF(B279&lt;7.5,"7.0–7.4",IF(B279&lt;8,"7.5–7.9","8.0+"))))</f>
        <v>7.0–7.4</v>
      </c>
      <c r="Z279" s="3" t="n">
        <f aca="false">IF(T279="","",YEAR(T279))</f>
        <v>2016</v>
      </c>
    </row>
    <row r="280" customFormat="false" ht="13.8" hidden="false" customHeight="false" outlineLevel="0" collapsed="false">
      <c r="A280" s="3" t="s">
        <v>804</v>
      </c>
      <c r="B280" s="3" t="n">
        <v>7.7</v>
      </c>
      <c r="C280" s="3" t="s">
        <v>805</v>
      </c>
      <c r="D280" s="3" t="n">
        <v>5</v>
      </c>
      <c r="E280" s="3" t="n">
        <v>6</v>
      </c>
      <c r="F280" s="3" t="s">
        <v>21</v>
      </c>
      <c r="G280" s="3" t="n">
        <v>1</v>
      </c>
      <c r="H280" s="3" t="n">
        <v>971</v>
      </c>
      <c r="I280" s="3" t="s">
        <v>22</v>
      </c>
      <c r="J280" s="3" t="n">
        <v>0</v>
      </c>
      <c r="K280" s="3" t="n">
        <v>3.294</v>
      </c>
      <c r="L280" s="3" t="n">
        <v>14</v>
      </c>
      <c r="M280" s="3" t="s">
        <v>23</v>
      </c>
      <c r="N280" s="3" t="n">
        <v>196</v>
      </c>
      <c r="O280" s="3" t="n">
        <v>18.5429</v>
      </c>
      <c r="P280" s="3" t="n">
        <v>145.507</v>
      </c>
      <c r="Q280" s="3" t="s">
        <v>806</v>
      </c>
      <c r="R280" s="3"/>
      <c r="S280" s="3"/>
      <c r="T280" s="5" t="n">
        <f aca="false">IF(C280="","",DATE(VALUE(MID(C280,7,4)),VALUE(MID(C280,4,2)),VALUE(MID(C280,1,2)))+TIME(VALUE(MID(C280,12,2)),VALUE(MID(C280,15,2)),0))</f>
        <v>42580.8875</v>
      </c>
      <c r="U280" s="3" t="str">
        <f aca="false">IFERROR(IF(ISNUMBER(VALUE(TRIM(MID(A280,FIND("-",A280)+1,FIND("km",A280)-FIND("-",A280)-1)))),"Distance + direction + city","Named-region"),"Named-region")</f>
        <v>Named-region</v>
      </c>
      <c r="V280" s="3" t="str">
        <f aca="false">LOWER(M280)</f>
        <v>mww</v>
      </c>
      <c r="W280" s="3" t="n">
        <f aca="false">COUNTIFS($A$2:$A$1001,A280,$C$2:$C$1001,C280)</f>
        <v>1</v>
      </c>
      <c r="X280" s="3" t="str">
        <f aca="false">IF(W280&gt;1,"Duplicate","Unique")</f>
        <v>Unique</v>
      </c>
      <c r="Y280" s="3" t="str">
        <f aca="false">IF(B280&lt;6.5,"&lt;6.5",IF(B280&lt;7,"6.5–6.9",IF(B280&lt;7.5,"7.0–7.4",IF(B280&lt;8,"7.5–7.9","8.0+"))))</f>
        <v>7.5–7.9</v>
      </c>
      <c r="Z280" s="3" t="n">
        <f aca="false">IF(T280="","",YEAR(T280))</f>
        <v>2016</v>
      </c>
    </row>
    <row r="281" customFormat="false" ht="13.8" hidden="false" customHeight="false" outlineLevel="0" collapsed="false">
      <c r="A281" s="3" t="s">
        <v>807</v>
      </c>
      <c r="B281" s="3" t="n">
        <v>6.6</v>
      </c>
      <c r="C281" s="6" t="s">
        <v>808</v>
      </c>
      <c r="D281" s="3" t="n">
        <v>4</v>
      </c>
      <c r="E281" s="3" t="n">
        <v>6</v>
      </c>
      <c r="F281" s="3" t="s">
        <v>21</v>
      </c>
      <c r="G281" s="3" t="n">
        <v>0</v>
      </c>
      <c r="H281" s="3" t="n">
        <v>671</v>
      </c>
      <c r="I281" s="3" t="s">
        <v>22</v>
      </c>
      <c r="J281" s="3" t="n">
        <v>0</v>
      </c>
      <c r="K281" s="3" t="n">
        <v>2.435</v>
      </c>
      <c r="L281" s="3" t="n">
        <v>16</v>
      </c>
      <c r="M281" s="3" t="s">
        <v>23</v>
      </c>
      <c r="N281" s="3" t="n">
        <v>50</v>
      </c>
      <c r="O281" s="3" t="n">
        <v>-2.0967</v>
      </c>
      <c r="P281" s="3" t="n">
        <v>100.665</v>
      </c>
      <c r="Q281" s="3" t="s">
        <v>809</v>
      </c>
      <c r="R281" s="3"/>
      <c r="S281" s="3" t="s">
        <v>68</v>
      </c>
      <c r="T281" s="5" t="n">
        <f aca="false">IF(C281="","",DATE(VALUE(MID(C281,7,4)),VALUE(MID(C281,4,2)),VALUE(MID(C281,1,2)))+TIME(VALUE(MID(C281,12,2)),VALUE(MID(C281,15,2)),0))</f>
        <v>42522.9555555556</v>
      </c>
      <c r="U281" s="3" t="str">
        <f aca="false">IFERROR(IF(ISNUMBER(VALUE(TRIM(MID(A281,FIND("-",A281)+1,FIND("km",A281)-FIND("-",A281)-1)))),"Distance + direction + city","Named-region"),"Named-region")</f>
        <v>Distance + direction + city</v>
      </c>
      <c r="V281" s="3" t="str">
        <f aca="false">LOWER(M281)</f>
        <v>mww</v>
      </c>
      <c r="W281" s="3" t="n">
        <f aca="false">COUNTIFS($A$2:$A$1001,A281,$C$2:$C$1001,C281)</f>
        <v>1</v>
      </c>
      <c r="X281" s="3" t="str">
        <f aca="false">IF(W281&gt;1,"Duplicate","Unique")</f>
        <v>Unique</v>
      </c>
      <c r="Y281" s="3" t="str">
        <f aca="false">IF(B281&lt;6.5,"&lt;6.5",IF(B281&lt;7,"6.5–6.9",IF(B281&lt;7.5,"7.0–7.4",IF(B281&lt;8,"7.5–7.9","8.0+"))))</f>
        <v>6.5–6.9</v>
      </c>
      <c r="Z281" s="3" t="n">
        <f aca="false">IF(T281="","",YEAR(T281))</f>
        <v>2016</v>
      </c>
    </row>
    <row r="282" customFormat="false" ht="13.8" hidden="false" customHeight="false" outlineLevel="0" collapsed="false">
      <c r="A282" s="3" t="s">
        <v>810</v>
      </c>
      <c r="B282" s="3" t="n">
        <v>7.2</v>
      </c>
      <c r="C282" s="3" t="s">
        <v>811</v>
      </c>
      <c r="D282" s="3" t="n">
        <v>1</v>
      </c>
      <c r="E282" s="3" t="n">
        <v>6</v>
      </c>
      <c r="F282" s="3" t="s">
        <v>21</v>
      </c>
      <c r="G282" s="3" t="n">
        <v>1</v>
      </c>
      <c r="H282" s="3" t="n">
        <v>798</v>
      </c>
      <c r="I282" s="3" t="s">
        <v>22</v>
      </c>
      <c r="J282" s="3" t="n">
        <v>0</v>
      </c>
      <c r="K282" s="3" t="n">
        <v>5.803</v>
      </c>
      <c r="L282" s="3" t="n">
        <v>24</v>
      </c>
      <c r="M282" s="3" t="s">
        <v>23</v>
      </c>
      <c r="N282" s="3" t="n">
        <v>78</v>
      </c>
      <c r="O282" s="3" t="n">
        <v>-56.2409</v>
      </c>
      <c r="P282" s="3" t="n">
        <v>-26.9353</v>
      </c>
      <c r="Q282" s="3" t="s">
        <v>275</v>
      </c>
      <c r="R282" s="3"/>
      <c r="S282" s="3"/>
      <c r="T282" s="5" t="n">
        <f aca="false">IF(C282="","",DATE(VALUE(MID(C282,7,4)),VALUE(MID(C282,4,2)),VALUE(MID(C282,1,2)))+TIME(VALUE(MID(C282,12,2)),VALUE(MID(C282,15,2)),0))</f>
        <v>42518.4069444445</v>
      </c>
      <c r="U282" s="3" t="str">
        <f aca="false">IFERROR(IF(ISNUMBER(VALUE(TRIM(MID(A282,FIND("-",A282)+1,FIND("km",A282)-FIND("-",A282)-1)))),"Distance + direction + city","Named-region"),"Named-region")</f>
        <v>Named-region</v>
      </c>
      <c r="V282" s="3" t="str">
        <f aca="false">LOWER(M282)</f>
        <v>mww</v>
      </c>
      <c r="W282" s="3" t="n">
        <f aca="false">COUNTIFS($A$2:$A$1001,A282,$C$2:$C$1001,C282)</f>
        <v>1</v>
      </c>
      <c r="X282" s="3" t="str">
        <f aca="false">IF(W282&gt;1,"Duplicate","Unique")</f>
        <v>Unique</v>
      </c>
      <c r="Y282" s="3" t="str">
        <f aca="false">IF(B282&lt;6.5,"&lt;6.5",IF(B282&lt;7,"6.5–6.9",IF(B282&lt;7.5,"7.0–7.4",IF(B282&lt;8,"7.5–7.9","8.0+"))))</f>
        <v>7.0–7.4</v>
      </c>
      <c r="Z282" s="3" t="n">
        <f aca="false">IF(T282="","",YEAR(T282))</f>
        <v>2016</v>
      </c>
    </row>
    <row r="283" customFormat="false" ht="13.8" hidden="false" customHeight="false" outlineLevel="0" collapsed="false">
      <c r="A283" s="3" t="s">
        <v>200</v>
      </c>
      <c r="B283" s="3" t="n">
        <v>6.9</v>
      </c>
      <c r="C283" s="3" t="s">
        <v>812</v>
      </c>
      <c r="D283" s="3" t="n">
        <v>3</v>
      </c>
      <c r="E283" s="3" t="n">
        <v>3</v>
      </c>
      <c r="F283" s="3" t="s">
        <v>21</v>
      </c>
      <c r="G283" s="3" t="n">
        <v>1</v>
      </c>
      <c r="H283" s="3" t="n">
        <v>733</v>
      </c>
      <c r="I283" s="3" t="s">
        <v>22</v>
      </c>
      <c r="J283" s="3" t="n">
        <v>0</v>
      </c>
      <c r="K283" s="3" t="n">
        <v>5.485</v>
      </c>
      <c r="L283" s="3" t="n">
        <v>19</v>
      </c>
      <c r="M283" s="3" t="s">
        <v>23</v>
      </c>
      <c r="N283" s="3" t="n">
        <v>405.69</v>
      </c>
      <c r="O283" s="3" t="n">
        <v>-21.9724</v>
      </c>
      <c r="P283" s="3" t="n">
        <v>-178.204</v>
      </c>
      <c r="Q283" s="3"/>
      <c r="R283" s="3"/>
      <c r="S283" s="3"/>
      <c r="T283" s="5" t="n">
        <f aca="false">IF(C283="","",DATE(VALUE(MID(C283,7,4)),VALUE(MID(C283,4,2)),VALUE(MID(C283,1,2)))+TIME(VALUE(MID(C283,12,2)),VALUE(MID(C283,15,2)),0))</f>
        <v>42518.2347222222</v>
      </c>
      <c r="U283" s="3" t="str">
        <f aca="false">IFERROR(IF(ISNUMBER(VALUE(TRIM(MID(A283,FIND("-",A283)+1,FIND("km",A283)-FIND("-",A283)-1)))),"Distance + direction + city","Named-region"),"Named-region")</f>
        <v>Named-region</v>
      </c>
      <c r="V283" s="3" t="str">
        <f aca="false">LOWER(M283)</f>
        <v>mww</v>
      </c>
      <c r="W283" s="3" t="n">
        <f aca="false">COUNTIFS($A$2:$A$1001,A283,$C$2:$C$1001,C283)</f>
        <v>1</v>
      </c>
      <c r="X283" s="3" t="str">
        <f aca="false">IF(W283&gt;1,"Duplicate","Unique")</f>
        <v>Unique</v>
      </c>
      <c r="Y283" s="3" t="str">
        <f aca="false">IF(B283&lt;6.5,"&lt;6.5",IF(B283&lt;7,"6.5–6.9",IF(B283&lt;7.5,"7.0–7.4",IF(B283&lt;8,"7.5–7.9","8.0+"))))</f>
        <v>6.5–6.9</v>
      </c>
      <c r="Z283" s="3" t="n">
        <f aca="false">IF(T283="","",YEAR(T283))</f>
        <v>2016</v>
      </c>
    </row>
    <row r="284" customFormat="false" ht="13.8" hidden="false" customHeight="false" outlineLevel="0" collapsed="false">
      <c r="A284" s="3" t="s">
        <v>813</v>
      </c>
      <c r="B284" s="3" t="n">
        <v>6.9</v>
      </c>
      <c r="C284" s="3" t="s">
        <v>814</v>
      </c>
      <c r="D284" s="3" t="n">
        <v>8</v>
      </c>
      <c r="E284" s="3" t="n">
        <v>7</v>
      </c>
      <c r="F284" s="3" t="s">
        <v>21</v>
      </c>
      <c r="G284" s="3" t="n">
        <v>1</v>
      </c>
      <c r="H284" s="3" t="n">
        <v>780</v>
      </c>
      <c r="I284" s="3" t="s">
        <v>22</v>
      </c>
      <c r="J284" s="3" t="n">
        <v>0</v>
      </c>
      <c r="K284" s="3" t="n">
        <v>1.192</v>
      </c>
      <c r="L284" s="3" t="n">
        <v>17</v>
      </c>
      <c r="M284" s="3" t="s">
        <v>23</v>
      </c>
      <c r="N284" s="3" t="n">
        <v>29.95</v>
      </c>
      <c r="O284" s="3" t="n">
        <v>0.4947</v>
      </c>
      <c r="P284" s="3" t="n">
        <v>-79.616</v>
      </c>
      <c r="Q284" s="3" t="s">
        <v>815</v>
      </c>
      <c r="R284" s="3" t="s">
        <v>33</v>
      </c>
      <c r="S284" s="3" t="s">
        <v>96</v>
      </c>
      <c r="T284" s="5" t="n">
        <f aca="false">IF(C284="","",DATE(VALUE(MID(C284,7,4)),VALUE(MID(C284,4,2)),VALUE(MID(C284,1,2)))+TIME(VALUE(MID(C284,12,2)),VALUE(MID(C284,15,2)),0))</f>
        <v>42508.6986111111</v>
      </c>
      <c r="U284" s="3" t="str">
        <f aca="false">IFERROR(IF(ISNUMBER(VALUE(TRIM(MID(A284,FIND("-",A284)+1,FIND("km",A284)-FIND("-",A284)-1)))),"Distance + direction + city","Named-region"),"Named-region")</f>
        <v>Distance + direction + city</v>
      </c>
      <c r="V284" s="3" t="str">
        <f aca="false">LOWER(M284)</f>
        <v>mww</v>
      </c>
      <c r="W284" s="3" t="n">
        <f aca="false">COUNTIFS($A$2:$A$1001,A284,$C$2:$C$1001,C284)</f>
        <v>1</v>
      </c>
      <c r="X284" s="3" t="str">
        <f aca="false">IF(W284&gt;1,"Duplicate","Unique")</f>
        <v>Unique</v>
      </c>
      <c r="Y284" s="3" t="str">
        <f aca="false">IF(B284&lt;6.5,"&lt;6.5",IF(B284&lt;7,"6.5–6.9",IF(B284&lt;7.5,"7.0–7.4",IF(B284&lt;8,"7.5–7.9","8.0+"))))</f>
        <v>6.5–6.9</v>
      </c>
      <c r="Z284" s="3" t="n">
        <f aca="false">IF(T284="","",YEAR(T284))</f>
        <v>2016</v>
      </c>
    </row>
    <row r="285" customFormat="false" ht="13.8" hidden="false" customHeight="false" outlineLevel="0" collapsed="false">
      <c r="A285" s="3" t="s">
        <v>816</v>
      </c>
      <c r="B285" s="3" t="n">
        <v>6.7</v>
      </c>
      <c r="C285" s="3" t="s">
        <v>817</v>
      </c>
      <c r="D285" s="3" t="n">
        <v>5</v>
      </c>
      <c r="E285" s="3" t="n">
        <v>7</v>
      </c>
      <c r="F285" s="3" t="s">
        <v>21</v>
      </c>
      <c r="G285" s="3" t="n">
        <v>1</v>
      </c>
      <c r="H285" s="3" t="n">
        <v>744</v>
      </c>
      <c r="I285" s="3" t="s">
        <v>22</v>
      </c>
      <c r="J285" s="3" t="n">
        <v>0</v>
      </c>
      <c r="K285" s="3" t="n">
        <v>1.352</v>
      </c>
      <c r="L285" s="3" t="n">
        <v>21</v>
      </c>
      <c r="M285" s="3" t="s">
        <v>23</v>
      </c>
      <c r="N285" s="3" t="n">
        <v>16</v>
      </c>
      <c r="O285" s="3" t="n">
        <v>0.4261</v>
      </c>
      <c r="P285" s="3" t="n">
        <v>-79.7899</v>
      </c>
      <c r="Q285" s="3" t="s">
        <v>818</v>
      </c>
      <c r="R285" s="3" t="s">
        <v>33</v>
      </c>
      <c r="S285" s="3" t="s">
        <v>96</v>
      </c>
      <c r="T285" s="5" t="n">
        <f aca="false">IF(C285="","",DATE(VALUE(MID(C285,7,4)),VALUE(MID(C285,4,2)),VALUE(MID(C285,1,2)))+TIME(VALUE(MID(C285,12,2)),VALUE(MID(C285,15,2)),0))</f>
        <v>42508.33125</v>
      </c>
      <c r="U285" s="3" t="str">
        <f aca="false">IFERROR(IF(ISNUMBER(VALUE(TRIM(MID(A285,FIND("-",A285)+1,FIND("km",A285)-FIND("-",A285)-1)))),"Distance + direction + city","Named-region"),"Named-region")</f>
        <v>Distance + direction + city</v>
      </c>
      <c r="V285" s="3" t="str">
        <f aca="false">LOWER(M285)</f>
        <v>mww</v>
      </c>
      <c r="W285" s="3" t="n">
        <f aca="false">COUNTIFS($A$2:$A$1001,A285,$C$2:$C$1001,C285)</f>
        <v>1</v>
      </c>
      <c r="X285" s="3" t="str">
        <f aca="false">IF(W285&gt;1,"Duplicate","Unique")</f>
        <v>Unique</v>
      </c>
      <c r="Y285" s="3" t="str">
        <f aca="false">IF(B285&lt;6.5,"&lt;6.5",IF(B285&lt;7,"6.5–6.9",IF(B285&lt;7.5,"7.0–7.4",IF(B285&lt;8,"7.5–7.9","8.0+"))))</f>
        <v>6.5–6.9</v>
      </c>
      <c r="Z285" s="3" t="n">
        <f aca="false">IF(T285="","",YEAR(T285))</f>
        <v>2016</v>
      </c>
    </row>
    <row r="286" customFormat="false" ht="13.8" hidden="false" customHeight="false" outlineLevel="0" collapsed="false">
      <c r="A286" s="3" t="s">
        <v>819</v>
      </c>
      <c r="B286" s="3" t="n">
        <v>7</v>
      </c>
      <c r="C286" s="3" t="s">
        <v>820</v>
      </c>
      <c r="D286" s="3" t="n">
        <v>7</v>
      </c>
      <c r="E286" s="3" t="n">
        <v>7</v>
      </c>
      <c r="F286" s="3" t="s">
        <v>21</v>
      </c>
      <c r="G286" s="3" t="n">
        <v>1</v>
      </c>
      <c r="H286" s="3" t="n">
        <v>755</v>
      </c>
      <c r="I286" s="3" t="s">
        <v>22</v>
      </c>
      <c r="J286" s="3" t="n">
        <v>0</v>
      </c>
      <c r="K286" s="3" t="n">
        <v>0.616</v>
      </c>
      <c r="L286" s="3" t="n">
        <v>14</v>
      </c>
      <c r="M286" s="3" t="s">
        <v>23</v>
      </c>
      <c r="N286" s="3" t="n">
        <v>24</v>
      </c>
      <c r="O286" s="3" t="n">
        <v>-16.0429</v>
      </c>
      <c r="P286" s="3" t="n">
        <v>167.379</v>
      </c>
      <c r="Q286" s="3" t="s">
        <v>821</v>
      </c>
      <c r="R286" s="3"/>
      <c r="S286" s="3" t="s">
        <v>25</v>
      </c>
      <c r="T286" s="5" t="n">
        <f aca="false">IF(C286="","",DATE(VALUE(MID(C286,7,4)),VALUE(MID(C286,4,2)),VALUE(MID(C286,1,2)))+TIME(VALUE(MID(C286,12,2)),VALUE(MID(C286,15,2)),0))</f>
        <v>42488.8145833333</v>
      </c>
      <c r="U286" s="3" t="str">
        <f aca="false">IFERROR(IF(ISNUMBER(VALUE(TRIM(MID(A286,FIND("-",A286)+1,FIND("km",A286)-FIND("-",A286)-1)))),"Distance + direction + city","Named-region"),"Named-region")</f>
        <v>Distance + direction + city</v>
      </c>
      <c r="V286" s="3" t="str">
        <f aca="false">LOWER(M286)</f>
        <v>mww</v>
      </c>
      <c r="W286" s="3" t="n">
        <f aca="false">COUNTIFS($A$2:$A$1001,A286,$C$2:$C$1001,C286)</f>
        <v>1</v>
      </c>
      <c r="X286" s="3" t="str">
        <f aca="false">IF(W286&gt;1,"Duplicate","Unique")</f>
        <v>Unique</v>
      </c>
      <c r="Y286" s="3" t="str">
        <f aca="false">IF(B286&lt;6.5,"&lt;6.5",IF(B286&lt;7,"6.5–6.9",IF(B286&lt;7.5,"7.0–7.4",IF(B286&lt;8,"7.5–7.9","8.0+"))))</f>
        <v>7.0–7.4</v>
      </c>
      <c r="Z286" s="3" t="n">
        <f aca="false">IF(T286="","",YEAR(T286))</f>
        <v>2016</v>
      </c>
    </row>
    <row r="287" customFormat="false" ht="13.8" hidden="false" customHeight="false" outlineLevel="0" collapsed="false">
      <c r="A287" s="3" t="s">
        <v>822</v>
      </c>
      <c r="B287" s="3" t="n">
        <v>7.8</v>
      </c>
      <c r="C287" s="3" t="s">
        <v>823</v>
      </c>
      <c r="D287" s="3" t="n">
        <v>9</v>
      </c>
      <c r="E287" s="3" t="n">
        <v>9</v>
      </c>
      <c r="F287" s="3" t="s">
        <v>95</v>
      </c>
      <c r="G287" s="3" t="n">
        <v>1</v>
      </c>
      <c r="H287" s="3" t="n">
        <v>1163</v>
      </c>
      <c r="I287" s="3" t="s">
        <v>22</v>
      </c>
      <c r="J287" s="3" t="n">
        <v>0</v>
      </c>
      <c r="K287" s="3" t="n">
        <v>1.44</v>
      </c>
      <c r="L287" s="3" t="n">
        <v>15</v>
      </c>
      <c r="M287" s="3" t="s">
        <v>23</v>
      </c>
      <c r="N287" s="3" t="n">
        <v>20.59</v>
      </c>
      <c r="O287" s="3" t="n">
        <v>0.3819</v>
      </c>
      <c r="P287" s="3" t="n">
        <v>-79.9218</v>
      </c>
      <c r="Q287" s="3" t="s">
        <v>818</v>
      </c>
      <c r="R287" s="3" t="s">
        <v>33</v>
      </c>
      <c r="S287" s="3" t="s">
        <v>96</v>
      </c>
      <c r="T287" s="5" t="n">
        <f aca="false">IF(C287="","",DATE(VALUE(MID(C287,7,4)),VALUE(MID(C287,4,2)),VALUE(MID(C287,1,2)))+TIME(VALUE(MID(C287,12,2)),VALUE(MID(C287,15,2)),0))</f>
        <v>42476.9986111111</v>
      </c>
      <c r="U287" s="3" t="str">
        <f aca="false">IFERROR(IF(ISNUMBER(VALUE(TRIM(MID(A287,FIND("-",A287)+1,FIND("km",A287)-FIND("-",A287)-1)))),"Distance + direction + city","Named-region"),"Named-region")</f>
        <v>Distance + direction + city</v>
      </c>
      <c r="V287" s="3" t="str">
        <f aca="false">LOWER(M287)</f>
        <v>mww</v>
      </c>
      <c r="W287" s="3" t="n">
        <f aca="false">COUNTIFS($A$2:$A$1001,A287,$C$2:$C$1001,C287)</f>
        <v>1</v>
      </c>
      <c r="X287" s="3" t="str">
        <f aca="false">IF(W287&gt;1,"Duplicate","Unique")</f>
        <v>Unique</v>
      </c>
      <c r="Y287" s="3" t="str">
        <f aca="false">IF(B287&lt;6.5,"&lt;6.5",IF(B287&lt;7,"6.5–6.9",IF(B287&lt;7.5,"7.0–7.4",IF(B287&lt;8,"7.5–7.9","8.0+"))))</f>
        <v>7.5–7.9</v>
      </c>
      <c r="Z287" s="3" t="n">
        <f aca="false">IF(T287="","",YEAR(T287))</f>
        <v>2016</v>
      </c>
    </row>
    <row r="288" customFormat="false" ht="13.8" hidden="false" customHeight="false" outlineLevel="0" collapsed="false">
      <c r="A288" s="3" t="s">
        <v>824</v>
      </c>
      <c r="B288" s="3" t="n">
        <v>7</v>
      </c>
      <c r="C288" s="3" t="s">
        <v>825</v>
      </c>
      <c r="D288" s="3" t="n">
        <v>9</v>
      </c>
      <c r="E288" s="3" t="n">
        <v>9</v>
      </c>
      <c r="F288" s="3" t="s">
        <v>121</v>
      </c>
      <c r="G288" s="3" t="n">
        <v>1</v>
      </c>
      <c r="H288" s="3" t="n">
        <v>2074</v>
      </c>
      <c r="I288" s="3" t="s">
        <v>22</v>
      </c>
      <c r="J288" s="3" t="n">
        <v>0</v>
      </c>
      <c r="K288" s="3" t="n">
        <v>0.349</v>
      </c>
      <c r="L288" s="3" t="n">
        <v>32</v>
      </c>
      <c r="M288" s="3" t="s">
        <v>23</v>
      </c>
      <c r="N288" s="3" t="n">
        <v>10</v>
      </c>
      <c r="O288" s="3" t="n">
        <v>32.7906</v>
      </c>
      <c r="P288" s="3" t="n">
        <v>130.754</v>
      </c>
      <c r="Q288" s="3" t="s">
        <v>826</v>
      </c>
      <c r="R288" s="3" t="s">
        <v>80</v>
      </c>
      <c r="S288" s="3" t="s">
        <v>322</v>
      </c>
      <c r="T288" s="5" t="n">
        <f aca="false">IF(C288="","",DATE(VALUE(MID(C288,7,4)),VALUE(MID(C288,4,2)),VALUE(MID(C288,1,2)))+TIME(VALUE(MID(C288,12,2)),VALUE(MID(C288,15,2)),0))</f>
        <v>42475.6840277778</v>
      </c>
      <c r="U288" s="3" t="str">
        <f aca="false">IFERROR(IF(ISNUMBER(VALUE(TRIM(MID(A288,FIND("-",A288)+1,FIND("km",A288)-FIND("-",A288)-1)))),"Distance + direction + city","Named-region"),"Named-region")</f>
        <v>Distance + direction + city</v>
      </c>
      <c r="V288" s="3" t="str">
        <f aca="false">LOWER(M288)</f>
        <v>mww</v>
      </c>
      <c r="W288" s="3" t="n">
        <f aca="false">COUNTIFS($A$2:$A$1001,A288,$C$2:$C$1001,C288)</f>
        <v>1</v>
      </c>
      <c r="X288" s="3" t="str">
        <f aca="false">IF(W288&gt;1,"Duplicate","Unique")</f>
        <v>Unique</v>
      </c>
      <c r="Y288" s="3" t="str">
        <f aca="false">IF(B288&lt;6.5,"&lt;6.5",IF(B288&lt;7,"6.5–6.9",IF(B288&lt;7.5,"7.0–7.4",IF(B288&lt;8,"7.5–7.9","8.0+"))))</f>
        <v>7.0–7.4</v>
      </c>
      <c r="Z288" s="3" t="n">
        <f aca="false">IF(T288="","",YEAR(T288))</f>
        <v>2016</v>
      </c>
    </row>
    <row r="289" customFormat="false" ht="13.8" hidden="false" customHeight="false" outlineLevel="0" collapsed="false">
      <c r="A289" s="3" t="s">
        <v>827</v>
      </c>
      <c r="B289" s="3" t="n">
        <v>6.9</v>
      </c>
      <c r="C289" s="3" t="s">
        <v>828</v>
      </c>
      <c r="D289" s="3" t="n">
        <v>6</v>
      </c>
      <c r="E289" s="3" t="n">
        <v>6</v>
      </c>
      <c r="F289" s="3" t="s">
        <v>28</v>
      </c>
      <c r="G289" s="3" t="n">
        <v>0</v>
      </c>
      <c r="H289" s="3" t="n">
        <v>903</v>
      </c>
      <c r="I289" s="3" t="s">
        <v>22</v>
      </c>
      <c r="J289" s="3" t="n">
        <v>0</v>
      </c>
      <c r="K289" s="3" t="n">
        <v>3.001</v>
      </c>
      <c r="L289" s="3" t="n">
        <v>14</v>
      </c>
      <c r="M289" s="3" t="s">
        <v>23</v>
      </c>
      <c r="N289" s="3" t="n">
        <v>136</v>
      </c>
      <c r="O289" s="3" t="n">
        <v>23.0944</v>
      </c>
      <c r="P289" s="3" t="n">
        <v>94.8654</v>
      </c>
      <c r="Q289" s="3" t="s">
        <v>829</v>
      </c>
      <c r="R289" s="3" t="s">
        <v>80</v>
      </c>
      <c r="S289" s="3" t="s">
        <v>801</v>
      </c>
      <c r="T289" s="5" t="n">
        <f aca="false">IF(C289="","",DATE(VALUE(MID(C289,7,4)),VALUE(MID(C289,4,2)),VALUE(MID(C289,1,2)))+TIME(VALUE(MID(C289,12,2)),VALUE(MID(C289,15,2)),0))</f>
        <v>42473.5798611111</v>
      </c>
      <c r="U289" s="3" t="str">
        <f aca="false">IFERROR(IF(ISNUMBER(VALUE(TRIM(MID(A289,FIND("-",A289)+1,FIND("km",A289)-FIND("-",A289)-1)))),"Distance + direction + city","Named-region"),"Named-region")</f>
        <v>Distance + direction + city</v>
      </c>
      <c r="V289" s="3" t="str">
        <f aca="false">LOWER(M289)</f>
        <v>mww</v>
      </c>
      <c r="W289" s="3" t="n">
        <f aca="false">COUNTIFS($A$2:$A$1001,A289,$C$2:$C$1001,C289)</f>
        <v>1</v>
      </c>
      <c r="X289" s="3" t="str">
        <f aca="false">IF(W289&gt;1,"Duplicate","Unique")</f>
        <v>Unique</v>
      </c>
      <c r="Y289" s="3" t="str">
        <f aca="false">IF(B289&lt;6.5,"&lt;6.5",IF(B289&lt;7,"6.5–6.9",IF(B289&lt;7.5,"7.0–7.4",IF(B289&lt;8,"7.5–7.9","8.0+"))))</f>
        <v>6.5–6.9</v>
      </c>
      <c r="Z289" s="3" t="n">
        <f aca="false">IF(T289="","",YEAR(T289))</f>
        <v>2016</v>
      </c>
    </row>
    <row r="290" customFormat="false" ht="13.8" hidden="false" customHeight="false" outlineLevel="0" collapsed="false">
      <c r="A290" s="3" t="s">
        <v>830</v>
      </c>
      <c r="B290" s="3" t="n">
        <v>6.6</v>
      </c>
      <c r="C290" s="6" t="s">
        <v>831</v>
      </c>
      <c r="D290" s="3" t="n">
        <v>6</v>
      </c>
      <c r="E290" s="3" t="n">
        <v>4</v>
      </c>
      <c r="F290" s="3" t="s">
        <v>21</v>
      </c>
      <c r="G290" s="3" t="n">
        <v>0</v>
      </c>
      <c r="H290" s="3" t="n">
        <v>738</v>
      </c>
      <c r="I290" s="3" t="s">
        <v>22</v>
      </c>
      <c r="J290" s="3" t="n">
        <v>0</v>
      </c>
      <c r="K290" s="3" t="n">
        <v>0.789</v>
      </c>
      <c r="L290" s="3" t="n">
        <v>17</v>
      </c>
      <c r="M290" s="3" t="s">
        <v>23</v>
      </c>
      <c r="N290" s="3" t="n">
        <v>212</v>
      </c>
      <c r="O290" s="3" t="n">
        <v>36.4725</v>
      </c>
      <c r="P290" s="3" t="n">
        <v>71.1311</v>
      </c>
      <c r="Q290" s="3" t="s">
        <v>832</v>
      </c>
      <c r="R290" s="3" t="s">
        <v>80</v>
      </c>
      <c r="S290" s="3" t="s">
        <v>92</v>
      </c>
      <c r="T290" s="5" t="n">
        <f aca="false">IF(C290="","",DATE(VALUE(MID(C290,7,4)),VALUE(MID(C290,4,2)),VALUE(MID(C290,1,2)))+TIME(VALUE(MID(C290,12,2)),VALUE(MID(C290,15,2)),0))</f>
        <v>42470.4361111111</v>
      </c>
      <c r="U290" s="3" t="str">
        <f aca="false">IFERROR(IF(ISNUMBER(VALUE(TRIM(MID(A290,FIND("-",A290)+1,FIND("km",A290)-FIND("-",A290)-1)))),"Distance + direction + city","Named-region"),"Named-region")</f>
        <v>Distance + direction + city</v>
      </c>
      <c r="V290" s="3" t="str">
        <f aca="false">LOWER(M290)</f>
        <v>mww</v>
      </c>
      <c r="W290" s="3" t="n">
        <f aca="false">COUNTIFS($A$2:$A$1001,A290,$C$2:$C$1001,C290)</f>
        <v>1</v>
      </c>
      <c r="X290" s="3" t="str">
        <f aca="false">IF(W290&gt;1,"Duplicate","Unique")</f>
        <v>Unique</v>
      </c>
      <c r="Y290" s="3" t="str">
        <f aca="false">IF(B290&lt;6.5,"&lt;6.5",IF(B290&lt;7,"6.5–6.9",IF(B290&lt;7.5,"7.0–7.4",IF(B290&lt;8,"7.5–7.9","8.0+"))))</f>
        <v>6.5–6.9</v>
      </c>
      <c r="Z290" s="3" t="n">
        <f aca="false">IF(T290="","",YEAR(T290))</f>
        <v>2016</v>
      </c>
    </row>
    <row r="291" customFormat="false" ht="13.8" hidden="false" customHeight="false" outlineLevel="0" collapsed="false">
      <c r="A291" s="3" t="s">
        <v>833</v>
      </c>
      <c r="B291" s="3" t="n">
        <v>6.7</v>
      </c>
      <c r="C291" s="6" t="s">
        <v>834</v>
      </c>
      <c r="D291" s="3" t="n">
        <v>7</v>
      </c>
      <c r="E291" s="3" t="n">
        <v>5</v>
      </c>
      <c r="F291" s="3" t="s">
        <v>21</v>
      </c>
      <c r="G291" s="3" t="n">
        <v>1</v>
      </c>
      <c r="H291" s="3" t="n">
        <v>692</v>
      </c>
      <c r="I291" s="3" t="s">
        <v>22</v>
      </c>
      <c r="J291" s="3" t="n">
        <v>0</v>
      </c>
      <c r="K291" s="3" t="n">
        <v>6.787</v>
      </c>
      <c r="L291" s="3" t="n">
        <v>25</v>
      </c>
      <c r="M291" s="3" t="s">
        <v>23</v>
      </c>
      <c r="N291" s="3" t="n">
        <v>27.59</v>
      </c>
      <c r="O291" s="3" t="n">
        <v>-13.9805</v>
      </c>
      <c r="P291" s="3" t="n">
        <v>166.594</v>
      </c>
      <c r="Q291" s="3" t="s">
        <v>24</v>
      </c>
      <c r="R291" s="3"/>
      <c r="S291" s="3" t="s">
        <v>25</v>
      </c>
      <c r="T291" s="5" t="n">
        <f aca="false">IF(C291="","",DATE(VALUE(MID(C291,7,4)),VALUE(MID(C291,4,2)),VALUE(MID(C291,1,2)))+TIME(VALUE(MID(C291,12,2)),VALUE(MID(C291,15,2)),0))</f>
        <v>42467.1472222222</v>
      </c>
      <c r="U291" s="3" t="str">
        <f aca="false">IFERROR(IF(ISNUMBER(VALUE(TRIM(MID(A291,FIND("-",A291)+1,FIND("km",A291)-FIND("-",A291)-1)))),"Distance + direction + city","Named-region"),"Named-region")</f>
        <v>Distance + direction + city</v>
      </c>
      <c r="V291" s="3" t="str">
        <f aca="false">LOWER(M291)</f>
        <v>mww</v>
      </c>
      <c r="W291" s="3" t="n">
        <f aca="false">COUNTIFS($A$2:$A$1001,A291,$C$2:$C$1001,C291)</f>
        <v>1</v>
      </c>
      <c r="X291" s="3" t="str">
        <f aca="false">IF(W291&gt;1,"Duplicate","Unique")</f>
        <v>Unique</v>
      </c>
      <c r="Y291" s="3" t="str">
        <f aca="false">IF(B291&lt;6.5,"&lt;6.5",IF(B291&lt;7,"6.5–6.9",IF(B291&lt;7.5,"7.0–7.4",IF(B291&lt;8,"7.5–7.9","8.0+"))))</f>
        <v>6.5–6.9</v>
      </c>
      <c r="Z291" s="3" t="n">
        <f aca="false">IF(T291="","",YEAR(T291))</f>
        <v>2016</v>
      </c>
    </row>
    <row r="292" customFormat="false" ht="13.8" hidden="false" customHeight="false" outlineLevel="0" collapsed="false">
      <c r="A292" s="3" t="s">
        <v>835</v>
      </c>
      <c r="B292" s="3" t="n">
        <v>6.7</v>
      </c>
      <c r="C292" s="6" t="s">
        <v>836</v>
      </c>
      <c r="D292" s="3" t="n">
        <v>7</v>
      </c>
      <c r="E292" s="3" t="n">
        <v>6</v>
      </c>
      <c r="F292" s="3" t="s">
        <v>21</v>
      </c>
      <c r="G292" s="3" t="n">
        <v>1</v>
      </c>
      <c r="H292" s="3" t="n">
        <v>691</v>
      </c>
      <c r="I292" s="3" t="s">
        <v>22</v>
      </c>
      <c r="J292" s="3" t="n">
        <v>0</v>
      </c>
      <c r="K292" s="3" t="n">
        <v>6.697</v>
      </c>
      <c r="L292" s="3" t="n">
        <v>19</v>
      </c>
      <c r="M292" s="3" t="s">
        <v>23</v>
      </c>
      <c r="N292" s="3" t="n">
        <v>24</v>
      </c>
      <c r="O292" s="3" t="n">
        <v>-14.0683</v>
      </c>
      <c r="P292" s="3" t="n">
        <v>166.624</v>
      </c>
      <c r="Q292" s="3" t="s">
        <v>24</v>
      </c>
      <c r="R292" s="3"/>
      <c r="S292" s="3" t="s">
        <v>25</v>
      </c>
      <c r="T292" s="5" t="n">
        <f aca="false">IF(C292="","",DATE(VALUE(MID(C292,7,4)),VALUE(MID(C292,4,2)),VALUE(MID(C292,1,2)))+TIME(VALUE(MID(C292,12,2)),VALUE(MID(C292,15,2)),0))</f>
        <v>42466.2902777778</v>
      </c>
      <c r="U292" s="3" t="str">
        <f aca="false">IFERROR(IF(ISNUMBER(VALUE(TRIM(MID(A292,FIND("-",A292)+1,FIND("km",A292)-FIND("-",A292)-1)))),"Distance + direction + city","Named-region"),"Named-region")</f>
        <v>Distance + direction + city</v>
      </c>
      <c r="V292" s="3" t="str">
        <f aca="false">LOWER(M292)</f>
        <v>mww</v>
      </c>
      <c r="W292" s="3" t="n">
        <f aca="false">COUNTIFS($A$2:$A$1001,A292,$C$2:$C$1001,C292)</f>
        <v>1</v>
      </c>
      <c r="X292" s="3" t="str">
        <f aca="false">IF(W292&gt;1,"Duplicate","Unique")</f>
        <v>Unique</v>
      </c>
      <c r="Y292" s="3" t="str">
        <f aca="false">IF(B292&lt;6.5,"&lt;6.5",IF(B292&lt;7,"6.5–6.9",IF(B292&lt;7.5,"7.0–7.4",IF(B292&lt;8,"7.5–7.9","8.0+"))))</f>
        <v>6.5–6.9</v>
      </c>
      <c r="Z292" s="3" t="n">
        <f aca="false">IF(T292="","",YEAR(T292))</f>
        <v>2016</v>
      </c>
    </row>
    <row r="293" customFormat="false" ht="13.8" hidden="false" customHeight="false" outlineLevel="0" collapsed="false">
      <c r="A293" s="3" t="s">
        <v>837</v>
      </c>
      <c r="B293" s="3" t="n">
        <v>6.9</v>
      </c>
      <c r="C293" s="6" t="s">
        <v>838</v>
      </c>
      <c r="D293" s="3" t="n">
        <v>7</v>
      </c>
      <c r="E293" s="3" t="n">
        <v>6</v>
      </c>
      <c r="F293" s="3" t="s">
        <v>21</v>
      </c>
      <c r="G293" s="3" t="n">
        <v>1</v>
      </c>
      <c r="H293" s="3" t="n">
        <v>734</v>
      </c>
      <c r="I293" s="3" t="s">
        <v>22</v>
      </c>
      <c r="J293" s="3" t="n">
        <v>0</v>
      </c>
      <c r="K293" s="3" t="n">
        <v>1.166</v>
      </c>
      <c r="L293" s="3" t="n">
        <v>25</v>
      </c>
      <c r="M293" s="3" t="s">
        <v>23</v>
      </c>
      <c r="N293" s="3" t="n">
        <v>26</v>
      </c>
      <c r="O293" s="3" t="n">
        <v>-14.3235</v>
      </c>
      <c r="P293" s="3" t="n">
        <v>166.855</v>
      </c>
      <c r="Q293" s="3" t="s">
        <v>104</v>
      </c>
      <c r="R293" s="3"/>
      <c r="S293" s="3" t="s">
        <v>25</v>
      </c>
      <c r="T293" s="5" t="n">
        <f aca="false">IF(C293="","",DATE(VALUE(MID(C293,7,4)),VALUE(MID(C293,4,2)),VALUE(MID(C293,1,2)))+TIME(VALUE(MID(C293,12,2)),VALUE(MID(C293,15,2)),0))</f>
        <v>42463.3493055556</v>
      </c>
      <c r="U293" s="3" t="str">
        <f aca="false">IFERROR(IF(ISNUMBER(VALUE(TRIM(MID(A293,FIND("-",A293)+1,FIND("km",A293)-FIND("-",A293)-1)))),"Distance + direction + city","Named-region"),"Named-region")</f>
        <v>Distance + direction + city</v>
      </c>
      <c r="V293" s="3" t="str">
        <f aca="false">LOWER(M293)</f>
        <v>mww</v>
      </c>
      <c r="W293" s="3" t="n">
        <f aca="false">COUNTIFS($A$2:$A$1001,A293,$C$2:$C$1001,C293)</f>
        <v>1</v>
      </c>
      <c r="X293" s="3" t="str">
        <f aca="false">IF(W293&gt;1,"Duplicate","Unique")</f>
        <v>Unique</v>
      </c>
      <c r="Y293" s="3" t="str">
        <f aca="false">IF(B293&lt;6.5,"&lt;6.5",IF(B293&lt;7,"6.5–6.9",IF(B293&lt;7.5,"7.0–7.4",IF(B293&lt;8,"7.5–7.9","8.0+"))))</f>
        <v>6.5–6.9</v>
      </c>
      <c r="Z293" s="3" t="n">
        <f aca="false">IF(T293="","",YEAR(T293))</f>
        <v>2016</v>
      </c>
    </row>
    <row r="294" customFormat="false" ht="13.8" hidden="false" customHeight="false" outlineLevel="0" collapsed="false">
      <c r="A294" s="3" t="s">
        <v>839</v>
      </c>
      <c r="B294" s="3" t="n">
        <v>7.8</v>
      </c>
      <c r="C294" s="6" t="s">
        <v>840</v>
      </c>
      <c r="D294" s="3" t="n">
        <v>4</v>
      </c>
      <c r="E294" s="3" t="n">
        <v>3</v>
      </c>
      <c r="F294" s="3" t="s">
        <v>21</v>
      </c>
      <c r="G294" s="3" t="n">
        <v>0</v>
      </c>
      <c r="H294" s="3" t="n">
        <v>948</v>
      </c>
      <c r="I294" s="3" t="s">
        <v>22</v>
      </c>
      <c r="J294" s="3" t="n">
        <v>0</v>
      </c>
      <c r="K294" s="3" t="n">
        <v>7.009</v>
      </c>
      <c r="L294" s="3" t="n">
        <v>20</v>
      </c>
      <c r="M294" s="3" t="s">
        <v>23</v>
      </c>
      <c r="N294" s="3" t="n">
        <v>24</v>
      </c>
      <c r="O294" s="3" t="n">
        <v>-4.9521</v>
      </c>
      <c r="P294" s="3" t="n">
        <v>94.3299</v>
      </c>
      <c r="Q294" s="3" t="s">
        <v>841</v>
      </c>
      <c r="R294" s="3"/>
      <c r="S294" s="3"/>
      <c r="T294" s="5" t="n">
        <f aca="false">IF(C294="","",DATE(VALUE(MID(C294,7,4)),VALUE(MID(C294,4,2)),VALUE(MID(C294,1,2)))+TIME(VALUE(MID(C294,12,2)),VALUE(MID(C294,15,2)),0))</f>
        <v>42431.5340277778</v>
      </c>
      <c r="U294" s="3" t="str">
        <f aca="false">IFERROR(IF(ISNUMBER(VALUE(TRIM(MID(A294,FIND("-",A294)+1,FIND("km",A294)-FIND("-",A294)-1)))),"Distance + direction + city","Named-region"),"Named-region")</f>
        <v>Named-region</v>
      </c>
      <c r="V294" s="3" t="str">
        <f aca="false">LOWER(M294)</f>
        <v>mww</v>
      </c>
      <c r="W294" s="3" t="n">
        <f aca="false">COUNTIFS($A$2:$A$1001,A294,$C$2:$C$1001,C294)</f>
        <v>1</v>
      </c>
      <c r="X294" s="3" t="str">
        <f aca="false">IF(W294&gt;1,"Duplicate","Unique")</f>
        <v>Unique</v>
      </c>
      <c r="Y294" s="3" t="str">
        <f aca="false">IF(B294&lt;6.5,"&lt;6.5",IF(B294&lt;7,"6.5–6.9",IF(B294&lt;7.5,"7.0–7.4",IF(B294&lt;8,"7.5–7.9","8.0+"))))</f>
        <v>7.5–7.9</v>
      </c>
      <c r="Z294" s="3" t="n">
        <f aca="false">IF(T294="","",YEAR(T294))</f>
        <v>2016</v>
      </c>
    </row>
    <row r="295" customFormat="false" ht="13.8" hidden="false" customHeight="false" outlineLevel="0" collapsed="false">
      <c r="A295" s="3" t="s">
        <v>842</v>
      </c>
      <c r="B295" s="3" t="n">
        <v>7.2</v>
      </c>
      <c r="C295" s="3" t="s">
        <v>843</v>
      </c>
      <c r="D295" s="3" t="n">
        <v>3</v>
      </c>
      <c r="E295" s="3" t="n">
        <v>7</v>
      </c>
      <c r="F295" s="3" t="s">
        <v>21</v>
      </c>
      <c r="G295" s="3" t="n">
        <v>1</v>
      </c>
      <c r="H295" s="3" t="n">
        <v>799</v>
      </c>
      <c r="I295" s="3" t="s">
        <v>22</v>
      </c>
      <c r="J295" s="3" t="n">
        <v>0</v>
      </c>
      <c r="K295" s="3" t="n">
        <v>0.958</v>
      </c>
      <c r="L295" s="3" t="n">
        <v>17</v>
      </c>
      <c r="M295" s="3" t="s">
        <v>23</v>
      </c>
      <c r="N295" s="3" t="n">
        <v>177</v>
      </c>
      <c r="O295" s="3" t="n">
        <v>53.9776</v>
      </c>
      <c r="P295" s="3" t="n">
        <v>158.546</v>
      </c>
      <c r="Q295" s="3" t="s">
        <v>844</v>
      </c>
      <c r="R295" s="3" t="s">
        <v>80</v>
      </c>
      <c r="S295" s="3" t="s">
        <v>428</v>
      </c>
      <c r="T295" s="5" t="n">
        <f aca="false">IF(C295="","",DATE(VALUE(MID(C295,7,4)),VALUE(MID(C295,4,2)),VALUE(MID(C295,1,2)))+TIME(VALUE(MID(C295,12,2)),VALUE(MID(C295,15,2)),0))</f>
        <v>42399.1423611111</v>
      </c>
      <c r="U295" s="3" t="str">
        <f aca="false">IFERROR(IF(ISNUMBER(VALUE(TRIM(MID(A295,FIND("-",A295)+1,FIND("km",A295)-FIND("-",A295)-1)))),"Distance + direction + city","Named-region"),"Named-region")</f>
        <v>Distance + direction + city</v>
      </c>
      <c r="V295" s="3" t="str">
        <f aca="false">LOWER(M295)</f>
        <v>mww</v>
      </c>
      <c r="W295" s="3" t="n">
        <f aca="false">COUNTIFS($A$2:$A$1001,A295,$C$2:$C$1001,C295)</f>
        <v>1</v>
      </c>
      <c r="X295" s="3" t="str">
        <f aca="false">IF(W295&gt;1,"Duplicate","Unique")</f>
        <v>Unique</v>
      </c>
      <c r="Y295" s="3" t="str">
        <f aca="false">IF(B295&lt;6.5,"&lt;6.5",IF(B295&lt;7,"6.5–6.9",IF(B295&lt;7.5,"7.0–7.4",IF(B295&lt;8,"7.5–7.9","8.0+"))))</f>
        <v>7.0–7.4</v>
      </c>
      <c r="Z295" s="3" t="n">
        <f aca="false">IF(T295="","",YEAR(T295))</f>
        <v>2016</v>
      </c>
    </row>
    <row r="296" customFormat="false" ht="13.8" hidden="false" customHeight="false" outlineLevel="0" collapsed="false">
      <c r="A296" s="3" t="s">
        <v>845</v>
      </c>
      <c r="B296" s="3" t="n">
        <v>7.1</v>
      </c>
      <c r="C296" s="3" t="s">
        <v>846</v>
      </c>
      <c r="D296" s="3" t="n">
        <v>7</v>
      </c>
      <c r="E296" s="3" t="n">
        <v>7</v>
      </c>
      <c r="F296" s="3" t="s">
        <v>21</v>
      </c>
      <c r="G296" s="3" t="n">
        <v>1</v>
      </c>
      <c r="H296" s="3" t="n">
        <v>1496</v>
      </c>
      <c r="I296" s="3" t="s">
        <v>259</v>
      </c>
      <c r="J296" s="3" t="n">
        <v>0</v>
      </c>
      <c r="K296" s="3" t="n">
        <v>0</v>
      </c>
      <c r="L296" s="3" t="n">
        <v>0</v>
      </c>
      <c r="M296" s="3" t="s">
        <v>485</v>
      </c>
      <c r="N296" s="3" t="n">
        <v>125.6</v>
      </c>
      <c r="O296" s="3" t="n">
        <v>59.6204</v>
      </c>
      <c r="P296" s="3" t="n">
        <v>-153.339</v>
      </c>
      <c r="Q296" s="3" t="s">
        <v>847</v>
      </c>
      <c r="R296" s="3" t="s">
        <v>164</v>
      </c>
      <c r="S296" s="3" t="s">
        <v>261</v>
      </c>
      <c r="T296" s="5" t="n">
        <f aca="false">IF(C296="","",DATE(VALUE(MID(C296,7,4)),VALUE(MID(C296,4,2)),VALUE(MID(C296,1,2)))+TIME(VALUE(MID(C296,12,2)),VALUE(MID(C296,15,2)),0))</f>
        <v>42393.4375</v>
      </c>
      <c r="U296" s="3" t="str">
        <f aca="false">IFERROR(IF(ISNUMBER(VALUE(TRIM(MID(A296,FIND("-",A296)+1,FIND("km",A296)-FIND("-",A296)-1)))),"Distance + direction + city","Named-region"),"Named-region")</f>
        <v>Distance + direction + city</v>
      </c>
      <c r="V296" s="3" t="str">
        <f aca="false">LOWER(M296)</f>
        <v>mw</v>
      </c>
      <c r="W296" s="3" t="n">
        <f aca="false">COUNTIFS($A$2:$A$1001,A296,$C$2:$C$1001,C296)</f>
        <v>1</v>
      </c>
      <c r="X296" s="3" t="str">
        <f aca="false">IF(W296&gt;1,"Duplicate","Unique")</f>
        <v>Unique</v>
      </c>
      <c r="Y296" s="3" t="str">
        <f aca="false">IF(B296&lt;6.5,"&lt;6.5",IF(B296&lt;7,"6.5–6.9",IF(B296&lt;7.5,"7.0–7.4",IF(B296&lt;8,"7.5–7.9","8.0+"))))</f>
        <v>7.0–7.4</v>
      </c>
      <c r="Z296" s="3" t="n">
        <f aca="false">IF(T296="","",YEAR(T296))</f>
        <v>2016</v>
      </c>
    </row>
    <row r="297" customFormat="false" ht="13.8" hidden="false" customHeight="false" outlineLevel="0" collapsed="false">
      <c r="A297" s="3" t="s">
        <v>848</v>
      </c>
      <c r="B297" s="3" t="n">
        <v>6.6</v>
      </c>
      <c r="C297" s="3" t="s">
        <v>849</v>
      </c>
      <c r="D297" s="3" t="n">
        <v>3</v>
      </c>
      <c r="E297" s="3" t="n">
        <v>4</v>
      </c>
      <c r="F297" s="3" t="s">
        <v>21</v>
      </c>
      <c r="G297" s="3" t="n">
        <v>1</v>
      </c>
      <c r="H297" s="3" t="n">
        <v>673</v>
      </c>
      <c r="I297" s="3" t="s">
        <v>22</v>
      </c>
      <c r="J297" s="3" t="n">
        <v>0</v>
      </c>
      <c r="K297" s="3" t="n">
        <v>2.413</v>
      </c>
      <c r="L297" s="3" t="n">
        <v>74</v>
      </c>
      <c r="M297" s="3" t="s">
        <v>23</v>
      </c>
      <c r="N297" s="3" t="n">
        <v>10</v>
      </c>
      <c r="O297" s="3" t="n">
        <v>18.8239</v>
      </c>
      <c r="P297" s="3" t="n">
        <v>-106.934</v>
      </c>
      <c r="Q297" s="3" t="s">
        <v>850</v>
      </c>
      <c r="R297" s="3"/>
      <c r="S297" s="3"/>
      <c r="T297" s="5" t="n">
        <f aca="false">IF(C297="","",DATE(VALUE(MID(C297,7,4)),VALUE(MID(C297,4,2)),VALUE(MID(C297,1,2)))+TIME(VALUE(MID(C297,12,2)),VALUE(MID(C297,15,2)),0))</f>
        <v>42390.7541666667</v>
      </c>
      <c r="U297" s="3" t="str">
        <f aca="false">IFERROR(IF(ISNUMBER(VALUE(TRIM(MID(A297,FIND("-",A297)+1,FIND("km",A297)-FIND("-",A297)-1)))),"Distance + direction + city","Named-region"),"Named-region")</f>
        <v>Distance + direction + city</v>
      </c>
      <c r="V297" s="3" t="str">
        <f aca="false">LOWER(M297)</f>
        <v>mww</v>
      </c>
      <c r="W297" s="3" t="n">
        <f aca="false">COUNTIFS($A$2:$A$1001,A297,$C$2:$C$1001,C297)</f>
        <v>1</v>
      </c>
      <c r="X297" s="3" t="str">
        <f aca="false">IF(W297&gt;1,"Duplicate","Unique")</f>
        <v>Unique</v>
      </c>
      <c r="Y297" s="3" t="str">
        <f aca="false">IF(B297&lt;6.5,"&lt;6.5",IF(B297&lt;7,"6.5–6.9",IF(B297&lt;7.5,"7.0–7.4",IF(B297&lt;8,"7.5–7.9","8.0+"))))</f>
        <v>6.5–6.9</v>
      </c>
      <c r="Z297" s="3" t="n">
        <f aca="false">IF(T297="","",YEAR(T297))</f>
        <v>2016</v>
      </c>
    </row>
    <row r="298" customFormat="false" ht="13.8" hidden="false" customHeight="false" outlineLevel="0" collapsed="false">
      <c r="A298" s="3" t="s">
        <v>851</v>
      </c>
      <c r="B298" s="3" t="n">
        <v>6.7</v>
      </c>
      <c r="C298" s="3" t="s">
        <v>852</v>
      </c>
      <c r="D298" s="3" t="n">
        <v>5</v>
      </c>
      <c r="E298" s="3" t="n">
        <v>6</v>
      </c>
      <c r="F298" s="3" t="s">
        <v>21</v>
      </c>
      <c r="G298" s="3" t="n">
        <v>1</v>
      </c>
      <c r="H298" s="3" t="n">
        <v>717</v>
      </c>
      <c r="I298" s="3" t="s">
        <v>22</v>
      </c>
      <c r="J298" s="3" t="n">
        <v>0</v>
      </c>
      <c r="K298" s="3" t="n">
        <v>0.281</v>
      </c>
      <c r="L298" s="3" t="n">
        <v>22</v>
      </c>
      <c r="M298" s="3" t="s">
        <v>23</v>
      </c>
      <c r="N298" s="3" t="n">
        <v>46</v>
      </c>
      <c r="O298" s="3" t="n">
        <v>41.9723</v>
      </c>
      <c r="P298" s="3" t="n">
        <v>142.781</v>
      </c>
      <c r="Q298" s="3" t="s">
        <v>853</v>
      </c>
      <c r="R298" s="3" t="s">
        <v>80</v>
      </c>
      <c r="S298" s="3" t="s">
        <v>322</v>
      </c>
      <c r="T298" s="5" t="n">
        <f aca="false">IF(C298="","",DATE(VALUE(MID(C298,7,4)),VALUE(MID(C298,4,2)),VALUE(MID(C298,1,2)))+TIME(VALUE(MID(C298,12,2)),VALUE(MID(C298,15,2)),0))</f>
        <v>42383.1423611111</v>
      </c>
      <c r="U298" s="3" t="str">
        <f aca="false">IFERROR(IF(ISNUMBER(VALUE(TRIM(MID(A298,FIND("-",A298)+1,FIND("km",A298)-FIND("-",A298)-1)))),"Distance + direction + city","Named-region"),"Named-region")</f>
        <v>Distance + direction + city</v>
      </c>
      <c r="V298" s="3" t="str">
        <f aca="false">LOWER(M298)</f>
        <v>mww</v>
      </c>
      <c r="W298" s="3" t="n">
        <f aca="false">COUNTIFS($A$2:$A$1001,A298,$C$2:$C$1001,C298)</f>
        <v>1</v>
      </c>
      <c r="X298" s="3" t="str">
        <f aca="false">IF(W298&gt;1,"Duplicate","Unique")</f>
        <v>Unique</v>
      </c>
      <c r="Y298" s="3" t="str">
        <f aca="false">IF(B298&lt;6.5,"&lt;6.5",IF(B298&lt;7,"6.5–6.9",IF(B298&lt;7.5,"7.0–7.4",IF(B298&lt;8,"7.5–7.9","8.0+"))))</f>
        <v>6.5–6.9</v>
      </c>
      <c r="Z298" s="3" t="n">
        <f aca="false">IF(T298="","",YEAR(T298))</f>
        <v>2016</v>
      </c>
    </row>
    <row r="299" customFormat="false" ht="13.8" hidden="false" customHeight="false" outlineLevel="0" collapsed="false">
      <c r="A299" s="3" t="s">
        <v>854</v>
      </c>
      <c r="B299" s="3" t="n">
        <v>6.5</v>
      </c>
      <c r="C299" s="6" t="s">
        <v>855</v>
      </c>
      <c r="D299" s="3" t="n">
        <v>3</v>
      </c>
      <c r="E299" s="3" t="n">
        <v>6</v>
      </c>
      <c r="F299" s="3" t="s">
        <v>21</v>
      </c>
      <c r="G299" s="3" t="n">
        <v>1</v>
      </c>
      <c r="H299" s="3" t="n">
        <v>651</v>
      </c>
      <c r="I299" s="3" t="s">
        <v>22</v>
      </c>
      <c r="J299" s="3" t="n">
        <v>0</v>
      </c>
      <c r="K299" s="3" t="n">
        <v>3.144</v>
      </c>
      <c r="L299" s="3" t="n">
        <v>22</v>
      </c>
      <c r="M299" s="3" t="s">
        <v>23</v>
      </c>
      <c r="N299" s="3" t="n">
        <v>13</v>
      </c>
      <c r="O299" s="3" t="n">
        <v>3.8965</v>
      </c>
      <c r="P299" s="3" t="n">
        <v>126.862</v>
      </c>
      <c r="Q299" s="3" t="s">
        <v>856</v>
      </c>
      <c r="R299" s="3"/>
      <c r="S299" s="3" t="s">
        <v>68</v>
      </c>
      <c r="T299" s="5" t="n">
        <f aca="false">IF(C299="","",DATE(VALUE(MID(C299,7,4)),VALUE(MID(C299,4,2)),VALUE(MID(C299,1,2)))+TIME(VALUE(MID(C299,12,2)),VALUE(MID(C299,15,2)),0))</f>
        <v>42380.6930555556</v>
      </c>
      <c r="U299" s="3" t="str">
        <f aca="false">IFERROR(IF(ISNUMBER(VALUE(TRIM(MID(A299,FIND("-",A299)+1,FIND("km",A299)-FIND("-",A299)-1)))),"Distance + direction + city","Named-region"),"Named-region")</f>
        <v>Distance + direction + city</v>
      </c>
      <c r="V299" s="3" t="str">
        <f aca="false">LOWER(M299)</f>
        <v>mww</v>
      </c>
      <c r="W299" s="3" t="n">
        <f aca="false">COUNTIFS($A$2:$A$1001,A299,$C$2:$C$1001,C299)</f>
        <v>1</v>
      </c>
      <c r="X299" s="3" t="str">
        <f aca="false">IF(W299&gt;1,"Duplicate","Unique")</f>
        <v>Unique</v>
      </c>
      <c r="Y299" s="3" t="str">
        <f aca="false">IF(B299&lt;6.5,"&lt;6.5",IF(B299&lt;7,"6.5–6.9",IF(B299&lt;7.5,"7.0–7.4",IF(B299&lt;8,"7.5–7.9","8.0+"))))</f>
        <v>6.5–6.9</v>
      </c>
      <c r="Z299" s="3" t="n">
        <f aca="false">IF(T299="","",YEAR(T299))</f>
        <v>2016</v>
      </c>
    </row>
    <row r="300" customFormat="false" ht="13.8" hidden="false" customHeight="false" outlineLevel="0" collapsed="false">
      <c r="A300" s="3" t="s">
        <v>857</v>
      </c>
      <c r="B300" s="3" t="n">
        <v>6.7</v>
      </c>
      <c r="C300" s="6" t="s">
        <v>858</v>
      </c>
      <c r="D300" s="3" t="n">
        <v>8</v>
      </c>
      <c r="E300" s="3" t="n">
        <v>7</v>
      </c>
      <c r="F300" s="3" t="s">
        <v>95</v>
      </c>
      <c r="G300" s="3" t="n">
        <v>0</v>
      </c>
      <c r="H300" s="3" t="n">
        <v>1515</v>
      </c>
      <c r="I300" s="3" t="s">
        <v>22</v>
      </c>
      <c r="J300" s="3" t="n">
        <v>0</v>
      </c>
      <c r="K300" s="3" t="n">
        <v>1.794</v>
      </c>
      <c r="L300" s="3" t="n">
        <v>16</v>
      </c>
      <c r="M300" s="3" t="s">
        <v>23</v>
      </c>
      <c r="N300" s="3" t="n">
        <v>55</v>
      </c>
      <c r="O300" s="3" t="n">
        <v>24.8036</v>
      </c>
      <c r="P300" s="3" t="n">
        <v>93.6505</v>
      </c>
      <c r="Q300" s="3" t="s">
        <v>859</v>
      </c>
      <c r="R300" s="3" t="s">
        <v>80</v>
      </c>
      <c r="S300" s="3" t="s">
        <v>860</v>
      </c>
      <c r="T300" s="5" t="n">
        <f aca="false">IF(C300="","",DATE(VALUE(MID(C300,7,4)),VALUE(MID(C300,4,2)),VALUE(MID(C300,1,2)))+TIME(VALUE(MID(C300,12,2)),VALUE(MID(C300,15,2)),0))</f>
        <v>42372.9618055556</v>
      </c>
      <c r="U300" s="3" t="str">
        <f aca="false">IFERROR(IF(ISNUMBER(VALUE(TRIM(MID(A300,FIND("-",A300)+1,FIND("km",A300)-FIND("-",A300)-1)))),"Distance + direction + city","Named-region"),"Named-region")</f>
        <v>Distance + direction + city</v>
      </c>
      <c r="V300" s="3" t="str">
        <f aca="false">LOWER(M300)</f>
        <v>mww</v>
      </c>
      <c r="W300" s="3" t="n">
        <f aca="false">COUNTIFS($A$2:$A$1001,A300,$C$2:$C$1001,C300)</f>
        <v>1</v>
      </c>
      <c r="X300" s="3" t="str">
        <f aca="false">IF(W300&gt;1,"Duplicate","Unique")</f>
        <v>Unique</v>
      </c>
      <c r="Y300" s="3" t="str">
        <f aca="false">IF(B300&lt;6.5,"&lt;6.5",IF(B300&lt;7,"6.5–6.9",IF(B300&lt;7.5,"7.0–7.4",IF(B300&lt;8,"7.5–7.9","8.0+"))))</f>
        <v>6.5–6.9</v>
      </c>
      <c r="Z300" s="3" t="n">
        <f aca="false">IF(T300="","",YEAR(T300))</f>
        <v>2016</v>
      </c>
    </row>
    <row r="301" customFormat="false" ht="13.8" hidden="false" customHeight="false" outlineLevel="0" collapsed="false">
      <c r="A301" s="3" t="s">
        <v>861</v>
      </c>
      <c r="B301" s="3" t="n">
        <v>6.6</v>
      </c>
      <c r="C301" s="3" t="s">
        <v>862</v>
      </c>
      <c r="D301" s="3" t="n">
        <v>8</v>
      </c>
      <c r="E301" s="3" t="n">
        <v>6</v>
      </c>
      <c r="F301" s="3" t="s">
        <v>21</v>
      </c>
      <c r="G301" s="3" t="n">
        <v>1</v>
      </c>
      <c r="H301" s="3" t="n">
        <v>765</v>
      </c>
      <c r="I301" s="3" t="s">
        <v>22</v>
      </c>
      <c r="J301" s="3" t="n">
        <v>0</v>
      </c>
      <c r="K301" s="3" t="n">
        <v>0.41</v>
      </c>
      <c r="L301" s="3" t="n">
        <v>35</v>
      </c>
      <c r="M301" s="3" t="s">
        <v>23</v>
      </c>
      <c r="N301" s="3" t="n">
        <v>85</v>
      </c>
      <c r="O301" s="3" t="n">
        <v>15.8015</v>
      </c>
      <c r="P301" s="3" t="n">
        <v>-93.633</v>
      </c>
      <c r="Q301" s="3" t="s">
        <v>863</v>
      </c>
      <c r="R301" s="3"/>
      <c r="S301" s="3" t="s">
        <v>165</v>
      </c>
      <c r="T301" s="5" t="n">
        <f aca="false">IF(C301="","",DATE(VALUE(MID(C301,7,4)),VALUE(MID(C301,4,2)),VALUE(MID(C301,1,2)))+TIME(VALUE(MID(C301,12,2)),VALUE(MID(C301,15,2)),0))</f>
        <v>42355.8256944444</v>
      </c>
      <c r="U301" s="3" t="str">
        <f aca="false">IFERROR(IF(ISNUMBER(VALUE(TRIM(MID(A301,FIND("-",A301)+1,FIND("km",A301)-FIND("-",A301)-1)))),"Distance + direction + city","Named-region"),"Named-region")</f>
        <v>Distance + direction + city</v>
      </c>
      <c r="V301" s="3" t="str">
        <f aca="false">LOWER(M301)</f>
        <v>mww</v>
      </c>
      <c r="W301" s="3" t="n">
        <f aca="false">COUNTIFS($A$2:$A$1001,A301,$C$2:$C$1001,C301)</f>
        <v>1</v>
      </c>
      <c r="X301" s="3" t="str">
        <f aca="false">IF(W301&gt;1,"Duplicate","Unique")</f>
        <v>Unique</v>
      </c>
      <c r="Y301" s="3" t="str">
        <f aca="false">IF(B301&lt;6.5,"&lt;6.5",IF(B301&lt;7,"6.5–6.9",IF(B301&lt;7.5,"7.0–7.4",IF(B301&lt;8,"7.5–7.9","8.0+"))))</f>
        <v>6.5–6.9</v>
      </c>
      <c r="Z301" s="3" t="n">
        <f aca="false">IF(T301="","",YEAR(T301))</f>
        <v>2015</v>
      </c>
    </row>
    <row r="302" customFormat="false" ht="13.8" hidden="false" customHeight="false" outlineLevel="0" collapsed="false">
      <c r="A302" s="3" t="s">
        <v>864</v>
      </c>
      <c r="B302" s="3" t="n">
        <v>6.9</v>
      </c>
      <c r="C302" s="6" t="s">
        <v>865</v>
      </c>
      <c r="D302" s="3" t="n">
        <v>8</v>
      </c>
      <c r="E302" s="3" t="n">
        <v>5</v>
      </c>
      <c r="F302" s="3" t="s">
        <v>21</v>
      </c>
      <c r="G302" s="3" t="n">
        <v>0</v>
      </c>
      <c r="H302" s="3" t="n">
        <v>738</v>
      </c>
      <c r="I302" s="3" t="s">
        <v>22</v>
      </c>
      <c r="J302" s="3" t="n">
        <v>0</v>
      </c>
      <c r="K302" s="3" t="n">
        <v>2.979</v>
      </c>
      <c r="L302" s="3" t="n">
        <v>14</v>
      </c>
      <c r="M302" s="3" t="s">
        <v>23</v>
      </c>
      <c r="N302" s="3" t="n">
        <v>21</v>
      </c>
      <c r="O302" s="3" t="n">
        <v>-4.1064</v>
      </c>
      <c r="P302" s="3" t="n">
        <v>129.508</v>
      </c>
      <c r="Q302" s="3" t="s">
        <v>866</v>
      </c>
      <c r="R302" s="3"/>
      <c r="S302" s="3" t="s">
        <v>68</v>
      </c>
      <c r="T302" s="5" t="n">
        <f aca="false">IF(C302="","",DATE(VALUE(MID(C302,7,4)),VALUE(MID(C302,4,2)),VALUE(MID(C302,1,2)))+TIME(VALUE(MID(C302,12,2)),VALUE(MID(C302,15,2)),0))</f>
        <v>42347.43125</v>
      </c>
      <c r="U302" s="3" t="str">
        <f aca="false">IFERROR(IF(ISNUMBER(VALUE(TRIM(MID(A302,FIND("-",A302)+1,FIND("km",A302)-FIND("-",A302)-1)))),"Distance + direction + city","Named-region"),"Named-region")</f>
        <v>Distance + direction + city</v>
      </c>
      <c r="V302" s="3" t="str">
        <f aca="false">LOWER(M302)</f>
        <v>mww</v>
      </c>
      <c r="W302" s="3" t="n">
        <f aca="false">COUNTIFS($A$2:$A$1001,A302,$C$2:$C$1001,C302)</f>
        <v>1</v>
      </c>
      <c r="X302" s="3" t="str">
        <f aca="false">IF(W302&gt;1,"Duplicate","Unique")</f>
        <v>Unique</v>
      </c>
      <c r="Y302" s="3" t="str">
        <f aca="false">IF(B302&lt;6.5,"&lt;6.5",IF(B302&lt;7,"6.5–6.9",IF(B302&lt;7.5,"7.0–7.4",IF(B302&lt;8,"7.5–7.9","8.0+"))))</f>
        <v>6.5–6.9</v>
      </c>
      <c r="Z302" s="3" t="n">
        <f aca="false">IF(T302="","",YEAR(T302))</f>
        <v>2015</v>
      </c>
    </row>
    <row r="303" customFormat="false" ht="13.8" hidden="false" customHeight="false" outlineLevel="0" collapsed="false">
      <c r="A303" s="3" t="s">
        <v>867</v>
      </c>
      <c r="B303" s="3" t="n">
        <v>7.2</v>
      </c>
      <c r="C303" s="6" t="s">
        <v>868</v>
      </c>
      <c r="D303" s="3" t="n">
        <v>4</v>
      </c>
      <c r="E303" s="3" t="n">
        <v>7</v>
      </c>
      <c r="F303" s="3" t="s">
        <v>21</v>
      </c>
      <c r="G303" s="3" t="n">
        <v>0</v>
      </c>
      <c r="H303" s="3" t="n">
        <v>827</v>
      </c>
      <c r="I303" s="3" t="s">
        <v>22</v>
      </c>
      <c r="J303" s="3" t="n">
        <v>0</v>
      </c>
      <c r="K303" s="3" t="n">
        <v>1.116</v>
      </c>
      <c r="L303" s="3" t="n">
        <v>18</v>
      </c>
      <c r="M303" s="3" t="s">
        <v>23</v>
      </c>
      <c r="N303" s="3" t="n">
        <v>22</v>
      </c>
      <c r="O303" s="3" t="n">
        <v>38.2107</v>
      </c>
      <c r="P303" s="3" t="n">
        <v>72.7797</v>
      </c>
      <c r="Q303" s="3" t="s">
        <v>110</v>
      </c>
      <c r="R303" s="3" t="s">
        <v>80</v>
      </c>
      <c r="S303" s="3" t="s">
        <v>111</v>
      </c>
      <c r="T303" s="5" t="n">
        <f aca="false">IF(C303="","",DATE(VALUE(MID(C303,7,4)),VALUE(MID(C303,4,2)),VALUE(MID(C303,1,2)))+TIME(VALUE(MID(C303,12,2)),VALUE(MID(C303,15,2)),0))</f>
        <v>42345.3263888889</v>
      </c>
      <c r="U303" s="3" t="str">
        <f aca="false">IFERROR(IF(ISNUMBER(VALUE(TRIM(MID(A303,FIND("-",A303)+1,FIND("km",A303)-FIND("-",A303)-1)))),"Distance + direction + city","Named-region"),"Named-region")</f>
        <v>Distance + direction + city</v>
      </c>
      <c r="V303" s="3" t="str">
        <f aca="false">LOWER(M303)</f>
        <v>mww</v>
      </c>
      <c r="W303" s="3" t="n">
        <f aca="false">COUNTIFS($A$2:$A$1001,A303,$C$2:$C$1001,C303)</f>
        <v>1</v>
      </c>
      <c r="X303" s="3" t="str">
        <f aca="false">IF(W303&gt;1,"Duplicate","Unique")</f>
        <v>Unique</v>
      </c>
      <c r="Y303" s="3" t="str">
        <f aca="false">IF(B303&lt;6.5,"&lt;6.5",IF(B303&lt;7,"6.5–6.9",IF(B303&lt;7.5,"7.0–7.4",IF(B303&lt;8,"7.5–7.9","8.0+"))))</f>
        <v>7.0–7.4</v>
      </c>
      <c r="Z303" s="3" t="n">
        <f aca="false">IF(T303="","",YEAR(T303))</f>
        <v>2015</v>
      </c>
    </row>
    <row r="304" customFormat="false" ht="13.8" hidden="false" customHeight="false" outlineLevel="0" collapsed="false">
      <c r="A304" s="3" t="s">
        <v>869</v>
      </c>
      <c r="B304" s="3" t="n">
        <v>6.7</v>
      </c>
      <c r="C304" s="3" t="s">
        <v>870</v>
      </c>
      <c r="D304" s="3" t="n">
        <v>2</v>
      </c>
      <c r="E304" s="3" t="n">
        <v>3</v>
      </c>
      <c r="F304" s="3" t="s">
        <v>21</v>
      </c>
      <c r="G304" s="3" t="n">
        <v>0</v>
      </c>
      <c r="H304" s="3" t="n">
        <v>691</v>
      </c>
      <c r="I304" s="3" t="s">
        <v>22</v>
      </c>
      <c r="J304" s="3" t="n">
        <v>0</v>
      </c>
      <c r="K304" s="3" t="n">
        <v>2.033</v>
      </c>
      <c r="L304" s="3" t="n">
        <v>19</v>
      </c>
      <c r="M304" s="3" t="s">
        <v>23</v>
      </c>
      <c r="N304" s="3" t="n">
        <v>602.75</v>
      </c>
      <c r="O304" s="3" t="n">
        <v>-9.1825</v>
      </c>
      <c r="P304" s="3" t="n">
        <v>-71.2574</v>
      </c>
      <c r="Q304" s="3" t="s">
        <v>194</v>
      </c>
      <c r="R304" s="3" t="s">
        <v>33</v>
      </c>
      <c r="S304" s="3" t="s">
        <v>195</v>
      </c>
      <c r="T304" s="5" t="n">
        <f aca="false">IF(C304="","",DATE(VALUE(MID(C304,7,4)),VALUE(MID(C304,4,2)),VALUE(MID(C304,1,2)))+TIME(VALUE(MID(C304,12,2)),VALUE(MID(C304,15,2)),0))</f>
        <v>42334.2395833333</v>
      </c>
      <c r="U304" s="3" t="str">
        <f aca="false">IFERROR(IF(ISNUMBER(VALUE(TRIM(MID(A304,FIND("-",A304)+1,FIND("km",A304)-FIND("-",A304)-1)))),"Distance + direction + city","Named-region"),"Named-region")</f>
        <v>Distance + direction + city</v>
      </c>
      <c r="V304" s="3" t="str">
        <f aca="false">LOWER(M304)</f>
        <v>mww</v>
      </c>
      <c r="W304" s="3" t="n">
        <f aca="false">COUNTIFS($A$2:$A$1001,A304,$C$2:$C$1001,C304)</f>
        <v>1</v>
      </c>
      <c r="X304" s="3" t="str">
        <f aca="false">IF(W304&gt;1,"Duplicate","Unique")</f>
        <v>Unique</v>
      </c>
      <c r="Y304" s="3" t="str">
        <f aca="false">IF(B304&lt;6.5,"&lt;6.5",IF(B304&lt;7,"6.5–6.9",IF(B304&lt;7.5,"7.0–7.4",IF(B304&lt;8,"7.5–7.9","8.0+"))))</f>
        <v>6.5–6.9</v>
      </c>
      <c r="Z304" s="3" t="n">
        <f aca="false">IF(T304="","",YEAR(T304))</f>
        <v>2015</v>
      </c>
    </row>
    <row r="305" customFormat="false" ht="13.8" hidden="false" customHeight="false" outlineLevel="0" collapsed="false">
      <c r="A305" s="3" t="s">
        <v>871</v>
      </c>
      <c r="B305" s="3" t="n">
        <v>7.6</v>
      </c>
      <c r="C305" s="3" t="s">
        <v>872</v>
      </c>
      <c r="D305" s="3" t="n">
        <v>5</v>
      </c>
      <c r="E305" s="3" t="n">
        <v>4</v>
      </c>
      <c r="F305" s="3" t="s">
        <v>21</v>
      </c>
      <c r="G305" s="3" t="n">
        <v>0</v>
      </c>
      <c r="H305" s="3" t="n">
        <v>896</v>
      </c>
      <c r="I305" s="3" t="s">
        <v>22</v>
      </c>
      <c r="J305" s="3" t="n">
        <v>0</v>
      </c>
      <c r="K305" s="3" t="n">
        <v>2.852</v>
      </c>
      <c r="L305" s="3" t="n">
        <v>10</v>
      </c>
      <c r="M305" s="3" t="s">
        <v>23</v>
      </c>
      <c r="N305" s="3" t="n">
        <v>620.56</v>
      </c>
      <c r="O305" s="3" t="n">
        <v>-10.0598</v>
      </c>
      <c r="P305" s="3" t="n">
        <v>-71.0184</v>
      </c>
      <c r="Q305" s="3" t="s">
        <v>591</v>
      </c>
      <c r="R305" s="3" t="s">
        <v>33</v>
      </c>
      <c r="S305" s="3" t="s">
        <v>199</v>
      </c>
      <c r="T305" s="5" t="n">
        <f aca="false">IF(C305="","",DATE(VALUE(MID(C305,7,4)),VALUE(MID(C305,4,2)),VALUE(MID(C305,1,2)))+TIME(VALUE(MID(C305,12,2)),VALUE(MID(C305,15,2)),0))</f>
        <v>42332.9513888889</v>
      </c>
      <c r="U305" s="3" t="str">
        <f aca="false">IFERROR(IF(ISNUMBER(VALUE(TRIM(MID(A305,FIND("-",A305)+1,FIND("km",A305)-FIND("-",A305)-1)))),"Distance + direction + city","Named-region"),"Named-region")</f>
        <v>Distance + direction + city</v>
      </c>
      <c r="V305" s="3" t="str">
        <f aca="false">LOWER(M305)</f>
        <v>mww</v>
      </c>
      <c r="W305" s="3" t="n">
        <f aca="false">COUNTIFS($A$2:$A$1001,A305,$C$2:$C$1001,C305)</f>
        <v>1</v>
      </c>
      <c r="X305" s="3" t="str">
        <f aca="false">IF(W305&gt;1,"Duplicate","Unique")</f>
        <v>Unique</v>
      </c>
      <c r="Y305" s="3" t="str">
        <f aca="false">IF(B305&lt;6.5,"&lt;6.5",IF(B305&lt;7,"6.5–6.9",IF(B305&lt;7.5,"7.0–7.4",IF(B305&lt;8,"7.5–7.9","8.0+"))))</f>
        <v>7.5–7.9</v>
      </c>
      <c r="Z305" s="3" t="n">
        <f aca="false">IF(T305="","",YEAR(T305))</f>
        <v>2015</v>
      </c>
    </row>
    <row r="306" customFormat="false" ht="13.8" hidden="false" customHeight="false" outlineLevel="0" collapsed="false">
      <c r="A306" s="3" t="s">
        <v>873</v>
      </c>
      <c r="B306" s="3" t="n">
        <v>7.6</v>
      </c>
      <c r="C306" s="3" t="s">
        <v>874</v>
      </c>
      <c r="D306" s="3" t="n">
        <v>6</v>
      </c>
      <c r="E306" s="3" t="n">
        <v>5</v>
      </c>
      <c r="F306" s="3" t="s">
        <v>21</v>
      </c>
      <c r="G306" s="3" t="n">
        <v>1</v>
      </c>
      <c r="H306" s="3" t="n">
        <v>957</v>
      </c>
      <c r="I306" s="3" t="s">
        <v>22</v>
      </c>
      <c r="J306" s="3" t="n">
        <v>0</v>
      </c>
      <c r="K306" s="3" t="n">
        <v>3.287</v>
      </c>
      <c r="L306" s="3" t="n">
        <v>10</v>
      </c>
      <c r="M306" s="3" t="s">
        <v>23</v>
      </c>
      <c r="N306" s="3" t="n">
        <v>606.21</v>
      </c>
      <c r="O306" s="3" t="n">
        <v>-10.5372</v>
      </c>
      <c r="P306" s="3" t="n">
        <v>-70.9437</v>
      </c>
      <c r="Q306" s="3" t="s">
        <v>591</v>
      </c>
      <c r="R306" s="3" t="s">
        <v>33</v>
      </c>
      <c r="S306" s="3" t="s">
        <v>199</v>
      </c>
      <c r="T306" s="5" t="n">
        <f aca="false">IF(C306="","",DATE(VALUE(MID(C306,7,4)),VALUE(MID(C306,4,2)),VALUE(MID(C306,1,2)))+TIME(VALUE(MID(C306,12,2)),VALUE(MID(C306,15,2)),0))</f>
        <v>42332.9479166667</v>
      </c>
      <c r="U306" s="3" t="str">
        <f aca="false">IFERROR(IF(ISNUMBER(VALUE(TRIM(MID(A306,FIND("-",A306)+1,FIND("km",A306)-FIND("-",A306)-1)))),"Distance + direction + city","Named-region"),"Named-region")</f>
        <v>Distance + direction + city</v>
      </c>
      <c r="V306" s="3" t="str">
        <f aca="false">LOWER(M306)</f>
        <v>mww</v>
      </c>
      <c r="W306" s="3" t="n">
        <f aca="false">COUNTIFS($A$2:$A$1001,A306,$C$2:$C$1001,C306)</f>
        <v>1</v>
      </c>
      <c r="X306" s="3" t="str">
        <f aca="false">IF(W306&gt;1,"Duplicate","Unique")</f>
        <v>Unique</v>
      </c>
      <c r="Y306" s="3" t="str">
        <f aca="false">IF(B306&lt;6.5,"&lt;6.5",IF(B306&lt;7,"6.5–6.9",IF(B306&lt;7.5,"7.0–7.4",IF(B306&lt;8,"7.5–7.9","8.0+"))))</f>
        <v>7.5–7.9</v>
      </c>
      <c r="Z306" s="3" t="n">
        <f aca="false">IF(T306="","",YEAR(T306))</f>
        <v>2015</v>
      </c>
    </row>
    <row r="307" customFormat="false" ht="13.8" hidden="false" customHeight="false" outlineLevel="0" collapsed="false">
      <c r="A307" s="3" t="s">
        <v>875</v>
      </c>
      <c r="B307" s="3" t="n">
        <v>6.8</v>
      </c>
      <c r="C307" s="3" t="s">
        <v>876</v>
      </c>
      <c r="D307" s="3" t="n">
        <v>5</v>
      </c>
      <c r="E307" s="3" t="n">
        <v>6</v>
      </c>
      <c r="F307" s="3" t="s">
        <v>21</v>
      </c>
      <c r="G307" s="3" t="n">
        <v>1</v>
      </c>
      <c r="H307" s="3" t="n">
        <v>715</v>
      </c>
      <c r="I307" s="3" t="s">
        <v>22</v>
      </c>
      <c r="J307" s="3" t="n">
        <v>0</v>
      </c>
      <c r="K307" s="3" t="n">
        <v>1.599</v>
      </c>
      <c r="L307" s="3" t="n">
        <v>19</v>
      </c>
      <c r="M307" s="3" t="s">
        <v>23</v>
      </c>
      <c r="N307" s="3" t="n">
        <v>12.59</v>
      </c>
      <c r="O307" s="3" t="n">
        <v>-8.8994</v>
      </c>
      <c r="P307" s="3" t="n">
        <v>158.422</v>
      </c>
      <c r="Q307" s="3" t="s">
        <v>877</v>
      </c>
      <c r="R307" s="3"/>
      <c r="S307" s="3" t="s">
        <v>140</v>
      </c>
      <c r="T307" s="5" t="n">
        <f aca="false">IF(C307="","",DATE(VALUE(MID(C307,7,4)),VALUE(MID(C307,4,2)),VALUE(MID(C307,1,2)))+TIME(VALUE(MID(C307,12,2)),VALUE(MID(C307,15,2)),0))</f>
        <v>42326.7715277778</v>
      </c>
      <c r="U307" s="3" t="str">
        <f aca="false">IFERROR(IF(ISNUMBER(VALUE(TRIM(MID(A307,FIND("-",A307)+1,FIND("km",A307)-FIND("-",A307)-1)))),"Distance + direction + city","Named-region"),"Named-region")</f>
        <v>Distance + direction + city</v>
      </c>
      <c r="V307" s="3" t="str">
        <f aca="false">LOWER(M307)</f>
        <v>mww</v>
      </c>
      <c r="W307" s="3" t="n">
        <f aca="false">COUNTIFS($A$2:$A$1001,A307,$C$2:$C$1001,C307)</f>
        <v>1</v>
      </c>
      <c r="X307" s="3" t="str">
        <f aca="false">IF(W307&gt;1,"Duplicate","Unique")</f>
        <v>Unique</v>
      </c>
      <c r="Y307" s="3" t="str">
        <f aca="false">IF(B307&lt;6.5,"&lt;6.5",IF(B307&lt;7,"6.5–6.9",IF(B307&lt;7.5,"7.0–7.4",IF(B307&lt;8,"7.5–7.9","8.0+"))))</f>
        <v>6.5–6.9</v>
      </c>
      <c r="Z307" s="3" t="n">
        <f aca="false">IF(T307="","",YEAR(T307))</f>
        <v>2015</v>
      </c>
    </row>
    <row r="308" customFormat="false" ht="13.8" hidden="false" customHeight="false" outlineLevel="0" collapsed="false">
      <c r="A308" s="3" t="s">
        <v>878</v>
      </c>
      <c r="B308" s="3" t="n">
        <v>6.5</v>
      </c>
      <c r="C308" s="3" t="s">
        <v>879</v>
      </c>
      <c r="D308" s="3" t="n">
        <v>7</v>
      </c>
      <c r="E308" s="3" t="n">
        <v>7</v>
      </c>
      <c r="F308" s="3" t="s">
        <v>95</v>
      </c>
      <c r="G308" s="3" t="n">
        <v>0</v>
      </c>
      <c r="H308" s="3" t="n">
        <v>1018</v>
      </c>
      <c r="I308" s="3" t="s">
        <v>22</v>
      </c>
      <c r="J308" s="3" t="n">
        <v>0</v>
      </c>
      <c r="K308" s="3" t="n">
        <v>0</v>
      </c>
      <c r="L308" s="3" t="n">
        <v>0</v>
      </c>
      <c r="M308" s="3" t="s">
        <v>23</v>
      </c>
      <c r="N308" s="3" t="n">
        <v>11</v>
      </c>
      <c r="O308" s="3" t="n">
        <v>38.67</v>
      </c>
      <c r="P308" s="3" t="n">
        <v>20.6</v>
      </c>
      <c r="Q308" s="3" t="s">
        <v>880</v>
      </c>
      <c r="R308" s="3" t="s">
        <v>361</v>
      </c>
      <c r="S308" s="3" t="s">
        <v>362</v>
      </c>
      <c r="T308" s="5" t="n">
        <f aca="false">IF(C308="","",DATE(VALUE(MID(C308,7,4)),VALUE(MID(C308,4,2)),VALUE(MID(C308,1,2)))+TIME(VALUE(MID(C308,12,2)),VALUE(MID(C308,15,2)),0))</f>
        <v>42325.2986111111</v>
      </c>
      <c r="U308" s="3" t="str">
        <f aca="false">IFERROR(IF(ISNUMBER(VALUE(TRIM(MID(A308,FIND("-",A308)+1,FIND("km",A308)-FIND("-",A308)-1)))),"Distance + direction + city","Named-region"),"Named-region")</f>
        <v>Distance + direction + city</v>
      </c>
      <c r="V308" s="3" t="str">
        <f aca="false">LOWER(M308)</f>
        <v>mww</v>
      </c>
      <c r="W308" s="3" t="n">
        <f aca="false">COUNTIFS($A$2:$A$1001,A308,$C$2:$C$1001,C308)</f>
        <v>1</v>
      </c>
      <c r="X308" s="3" t="str">
        <f aca="false">IF(W308&gt;1,"Duplicate","Unique")</f>
        <v>Unique</v>
      </c>
      <c r="Y308" s="3" t="str">
        <f aca="false">IF(B308&lt;6.5,"&lt;6.5",IF(B308&lt;7,"6.5–6.9",IF(B308&lt;7.5,"7.0–7.4",IF(B308&lt;8,"7.5–7.9","8.0+"))))</f>
        <v>6.5–6.9</v>
      </c>
      <c r="Z308" s="3" t="n">
        <f aca="false">IF(T308="","",YEAR(T308))</f>
        <v>2015</v>
      </c>
    </row>
    <row r="309" customFormat="false" ht="13.8" hidden="false" customHeight="false" outlineLevel="0" collapsed="false">
      <c r="A309" s="3" t="s">
        <v>881</v>
      </c>
      <c r="B309" s="3" t="n">
        <v>6.7</v>
      </c>
      <c r="C309" s="3" t="s">
        <v>882</v>
      </c>
      <c r="D309" s="3" t="n">
        <v>5</v>
      </c>
      <c r="E309" s="3" t="n">
        <v>4</v>
      </c>
      <c r="F309" s="3" t="s">
        <v>21</v>
      </c>
      <c r="G309" s="3" t="n">
        <v>0</v>
      </c>
      <c r="H309" s="3" t="n">
        <v>702</v>
      </c>
      <c r="I309" s="3" t="s">
        <v>22</v>
      </c>
      <c r="J309" s="3" t="n">
        <v>0</v>
      </c>
      <c r="K309" s="3" t="n">
        <v>1.444</v>
      </c>
      <c r="L309" s="3" t="n">
        <v>17</v>
      </c>
      <c r="M309" s="3" t="s">
        <v>23</v>
      </c>
      <c r="N309" s="3" t="n">
        <v>12</v>
      </c>
      <c r="O309" s="3" t="n">
        <v>31.0009</v>
      </c>
      <c r="P309" s="3" t="n">
        <v>128.873</v>
      </c>
      <c r="Q309" s="3" t="s">
        <v>883</v>
      </c>
      <c r="R309" s="3"/>
      <c r="S309" s="3"/>
      <c r="T309" s="5" t="n">
        <f aca="false">IF(C309="","",DATE(VALUE(MID(C309,7,4)),VALUE(MID(C309,4,2)),VALUE(MID(C309,1,2)))+TIME(VALUE(MID(C309,12,2)),VALUE(MID(C309,15,2)),0))</f>
        <v>42321.86875</v>
      </c>
      <c r="U309" s="3" t="str">
        <f aca="false">IFERROR(IF(ISNUMBER(VALUE(TRIM(MID(A309,FIND("-",A309)+1,FIND("km",A309)-FIND("-",A309)-1)))),"Distance + direction + city","Named-region"),"Named-region")</f>
        <v>Distance + direction + city</v>
      </c>
      <c r="V309" s="3" t="str">
        <f aca="false">LOWER(M309)</f>
        <v>mww</v>
      </c>
      <c r="W309" s="3" t="n">
        <f aca="false">COUNTIFS($A$2:$A$1001,A309,$C$2:$C$1001,C309)</f>
        <v>1</v>
      </c>
      <c r="X309" s="3" t="str">
        <f aca="false">IF(W309&gt;1,"Duplicate","Unique")</f>
        <v>Unique</v>
      </c>
      <c r="Y309" s="3" t="str">
        <f aca="false">IF(B309&lt;6.5,"&lt;6.5",IF(B309&lt;7,"6.5–6.9",IF(B309&lt;7.5,"7.0–7.4",IF(B309&lt;8,"7.5–7.9","8.0+"))))</f>
        <v>6.5–6.9</v>
      </c>
      <c r="Z309" s="3" t="n">
        <f aca="false">IF(T309="","",YEAR(T309))</f>
        <v>2015</v>
      </c>
    </row>
    <row r="310" customFormat="false" ht="13.8" hidden="false" customHeight="false" outlineLevel="0" collapsed="false">
      <c r="A310" s="3" t="s">
        <v>884</v>
      </c>
      <c r="B310" s="3" t="n">
        <v>6.9</v>
      </c>
      <c r="C310" s="6" t="s">
        <v>885</v>
      </c>
      <c r="D310" s="3" t="n">
        <v>5</v>
      </c>
      <c r="E310" s="3" t="n">
        <v>6</v>
      </c>
      <c r="F310" s="3" t="s">
        <v>21</v>
      </c>
      <c r="G310" s="3" t="n">
        <v>0</v>
      </c>
      <c r="H310" s="3" t="n">
        <v>744</v>
      </c>
      <c r="I310" s="3" t="s">
        <v>22</v>
      </c>
      <c r="J310" s="3" t="n">
        <v>0</v>
      </c>
      <c r="K310" s="3" t="n">
        <v>0.821</v>
      </c>
      <c r="L310" s="3" t="n">
        <v>43</v>
      </c>
      <c r="M310" s="3" t="s">
        <v>23</v>
      </c>
      <c r="N310" s="3" t="n">
        <v>10</v>
      </c>
      <c r="O310" s="3" t="n">
        <v>-29.5097</v>
      </c>
      <c r="P310" s="3" t="n">
        <v>-72.0585</v>
      </c>
      <c r="Q310" s="3" t="s">
        <v>523</v>
      </c>
      <c r="R310" s="3"/>
      <c r="S310" s="3"/>
      <c r="T310" s="5" t="n">
        <f aca="false">IF(C310="","",DATE(VALUE(MID(C310,7,4)),VALUE(MID(C310,4,2)),VALUE(MID(C310,1,2)))+TIME(VALUE(MID(C310,12,2)),VALUE(MID(C310,15,2)),0))</f>
        <v>42319.1152777778</v>
      </c>
      <c r="U310" s="3" t="str">
        <f aca="false">IFERROR(IF(ISNUMBER(VALUE(TRIM(MID(A310,FIND("-",A310)+1,FIND("km",A310)-FIND("-",A310)-1)))),"Distance + direction + city","Named-region"),"Named-region")</f>
        <v>Distance + direction + city</v>
      </c>
      <c r="V310" s="3" t="str">
        <f aca="false">LOWER(M310)</f>
        <v>mww</v>
      </c>
      <c r="W310" s="3" t="n">
        <f aca="false">COUNTIFS($A$2:$A$1001,A310,$C$2:$C$1001,C310)</f>
        <v>1</v>
      </c>
      <c r="X310" s="3" t="str">
        <f aca="false">IF(W310&gt;1,"Duplicate","Unique")</f>
        <v>Unique</v>
      </c>
      <c r="Y310" s="3" t="str">
        <f aca="false">IF(B310&lt;6.5,"&lt;6.5",IF(B310&lt;7,"6.5–6.9",IF(B310&lt;7.5,"7.0–7.4",IF(B310&lt;8,"7.5–7.9","8.0+"))))</f>
        <v>6.5–6.9</v>
      </c>
      <c r="Z310" s="3" t="n">
        <f aca="false">IF(T310="","",YEAR(T310))</f>
        <v>2015</v>
      </c>
    </row>
    <row r="311" customFormat="false" ht="13.8" hidden="false" customHeight="false" outlineLevel="0" collapsed="false">
      <c r="A311" s="3" t="s">
        <v>886</v>
      </c>
      <c r="B311" s="3" t="n">
        <v>6.9</v>
      </c>
      <c r="C311" s="6" t="s">
        <v>887</v>
      </c>
      <c r="D311" s="3" t="n">
        <v>6</v>
      </c>
      <c r="E311" s="3" t="n">
        <v>6</v>
      </c>
      <c r="F311" s="3" t="s">
        <v>21</v>
      </c>
      <c r="G311" s="3" t="n">
        <v>1</v>
      </c>
      <c r="H311" s="3" t="n">
        <v>761</v>
      </c>
      <c r="I311" s="3" t="s">
        <v>22</v>
      </c>
      <c r="J311" s="3" t="n">
        <v>0</v>
      </c>
      <c r="K311" s="3" t="n">
        <v>0.784</v>
      </c>
      <c r="L311" s="3" t="n">
        <v>32</v>
      </c>
      <c r="M311" s="3" t="s">
        <v>23</v>
      </c>
      <c r="N311" s="3" t="n">
        <v>12</v>
      </c>
      <c r="O311" s="3" t="n">
        <v>-29.5067</v>
      </c>
      <c r="P311" s="3" t="n">
        <v>-72.0068</v>
      </c>
      <c r="Q311" s="3" t="s">
        <v>523</v>
      </c>
      <c r="R311" s="3"/>
      <c r="S311" s="3"/>
      <c r="T311" s="5" t="n">
        <f aca="false">IF(C311="","",DATE(VALUE(MID(C311,7,4)),VALUE(MID(C311,4,2)),VALUE(MID(C311,1,2)))+TIME(VALUE(MID(C311,12,2)),VALUE(MID(C311,15,2)),0))</f>
        <v>42319.0791666667</v>
      </c>
      <c r="U311" s="3" t="str">
        <f aca="false">IFERROR(IF(ISNUMBER(VALUE(TRIM(MID(A311,FIND("-",A311)+1,FIND("km",A311)-FIND("-",A311)-1)))),"Distance + direction + city","Named-region"),"Named-region")</f>
        <v>Distance + direction + city</v>
      </c>
      <c r="V311" s="3" t="str">
        <f aca="false">LOWER(M311)</f>
        <v>mww</v>
      </c>
      <c r="W311" s="3" t="n">
        <f aca="false">COUNTIFS($A$2:$A$1001,A311,$C$2:$C$1001,C311)</f>
        <v>1</v>
      </c>
      <c r="X311" s="3" t="str">
        <f aca="false">IF(W311&gt;1,"Duplicate","Unique")</f>
        <v>Unique</v>
      </c>
      <c r="Y311" s="3" t="str">
        <f aca="false">IF(B311&lt;6.5,"&lt;6.5",IF(B311&lt;7,"6.5–6.9",IF(B311&lt;7.5,"7.0–7.4",IF(B311&lt;8,"7.5–7.9","8.0+"))))</f>
        <v>6.5–6.9</v>
      </c>
      <c r="Z311" s="3" t="n">
        <f aca="false">IF(T311="","",YEAR(T311))</f>
        <v>2015</v>
      </c>
    </row>
    <row r="312" customFormat="false" ht="13.8" hidden="false" customHeight="false" outlineLevel="0" collapsed="false">
      <c r="A312" s="3" t="s">
        <v>888</v>
      </c>
      <c r="B312" s="3" t="n">
        <v>6.6</v>
      </c>
      <c r="C312" s="6" t="s">
        <v>889</v>
      </c>
      <c r="D312" s="3" t="n">
        <v>7</v>
      </c>
      <c r="E312" s="3" t="n">
        <v>4</v>
      </c>
      <c r="F312" s="3" t="s">
        <v>21</v>
      </c>
      <c r="G312" s="3" t="n">
        <v>0</v>
      </c>
      <c r="H312" s="3" t="n">
        <v>675</v>
      </c>
      <c r="I312" s="3" t="s">
        <v>22</v>
      </c>
      <c r="J312" s="3" t="n">
        <v>0</v>
      </c>
      <c r="K312" s="3" t="n">
        <v>2.792</v>
      </c>
      <c r="L312" s="3" t="n">
        <v>31</v>
      </c>
      <c r="M312" s="3" t="s">
        <v>23</v>
      </c>
      <c r="N312" s="3" t="n">
        <v>10</v>
      </c>
      <c r="O312" s="3" t="n">
        <v>6.8431</v>
      </c>
      <c r="P312" s="3" t="n">
        <v>94.648</v>
      </c>
      <c r="Q312" s="3" t="s">
        <v>890</v>
      </c>
      <c r="R312" s="3"/>
      <c r="S312" s="3"/>
      <c r="T312" s="5" t="n">
        <f aca="false">IF(C312="","",DATE(VALUE(MID(C312,7,4)),VALUE(MID(C312,4,2)),VALUE(MID(C312,1,2)))+TIME(VALUE(MID(C312,12,2)),VALUE(MID(C312,15,2)),0))</f>
        <v>42316.6993055556</v>
      </c>
      <c r="U312" s="3" t="str">
        <f aca="false">IFERROR(IF(ISNUMBER(VALUE(TRIM(MID(A312,FIND("-",A312)+1,FIND("km",A312)-FIND("-",A312)-1)))),"Distance + direction + city","Named-region"),"Named-region")</f>
        <v>Named-region</v>
      </c>
      <c r="V312" s="3" t="str">
        <f aca="false">LOWER(M312)</f>
        <v>mww</v>
      </c>
      <c r="W312" s="3" t="n">
        <f aca="false">COUNTIFS($A$2:$A$1001,A312,$C$2:$C$1001,C312)</f>
        <v>1</v>
      </c>
      <c r="X312" s="3" t="str">
        <f aca="false">IF(W312&gt;1,"Duplicate","Unique")</f>
        <v>Unique</v>
      </c>
      <c r="Y312" s="3" t="str">
        <f aca="false">IF(B312&lt;6.5,"&lt;6.5",IF(B312&lt;7,"6.5–6.9",IF(B312&lt;7.5,"7.0–7.4",IF(B312&lt;8,"7.5–7.9","8.0+"))))</f>
        <v>6.5–6.9</v>
      </c>
      <c r="Z312" s="3" t="n">
        <f aca="false">IF(T312="","",YEAR(T312))</f>
        <v>2015</v>
      </c>
    </row>
    <row r="313" customFormat="false" ht="13.8" hidden="false" customHeight="false" outlineLevel="0" collapsed="false">
      <c r="A313" s="3" t="s">
        <v>891</v>
      </c>
      <c r="B313" s="3" t="n">
        <v>6.8</v>
      </c>
      <c r="C313" s="6" t="s">
        <v>892</v>
      </c>
      <c r="D313" s="3" t="n">
        <v>7</v>
      </c>
      <c r="E313" s="3" t="n">
        <v>7</v>
      </c>
      <c r="F313" s="3" t="s">
        <v>21</v>
      </c>
      <c r="G313" s="3" t="n">
        <v>1</v>
      </c>
      <c r="H313" s="3" t="n">
        <v>841</v>
      </c>
      <c r="I313" s="3" t="s">
        <v>22</v>
      </c>
      <c r="J313" s="3" t="n">
        <v>0</v>
      </c>
      <c r="K313" s="3" t="n">
        <v>0.258</v>
      </c>
      <c r="L313" s="3" t="n">
        <v>41</v>
      </c>
      <c r="M313" s="3" t="s">
        <v>23</v>
      </c>
      <c r="N313" s="3" t="n">
        <v>46</v>
      </c>
      <c r="O313" s="3" t="n">
        <v>-30.8796</v>
      </c>
      <c r="P313" s="3" t="n">
        <v>-71.4519</v>
      </c>
      <c r="Q313" s="3" t="s">
        <v>893</v>
      </c>
      <c r="R313" s="3" t="s">
        <v>33</v>
      </c>
      <c r="S313" s="3" t="s">
        <v>373</v>
      </c>
      <c r="T313" s="5" t="n">
        <f aca="false">IF(C313="","",DATE(VALUE(MID(C313,7,4)),VALUE(MID(C313,4,2)),VALUE(MID(C313,1,2)))+TIME(VALUE(MID(C313,12,2)),VALUE(MID(C313,15,2)),0))</f>
        <v>42315.3131944445</v>
      </c>
      <c r="U313" s="3" t="str">
        <f aca="false">IFERROR(IF(ISNUMBER(VALUE(TRIM(MID(A313,FIND("-",A313)+1,FIND("km",A313)-FIND("-",A313)-1)))),"Distance + direction + city","Named-region"),"Named-region")</f>
        <v>Distance + direction + city</v>
      </c>
      <c r="V313" s="3" t="str">
        <f aca="false">LOWER(M313)</f>
        <v>mww</v>
      </c>
      <c r="W313" s="3" t="n">
        <f aca="false">COUNTIFS($A$2:$A$1001,A313,$C$2:$C$1001,C313)</f>
        <v>1</v>
      </c>
      <c r="X313" s="3" t="str">
        <f aca="false">IF(W313&gt;1,"Duplicate","Unique")</f>
        <v>Unique</v>
      </c>
      <c r="Y313" s="3" t="str">
        <f aca="false">IF(B313&lt;6.5,"&lt;6.5",IF(B313&lt;7,"6.5–6.9",IF(B313&lt;7.5,"7.0–7.4",IF(B313&lt;8,"7.5–7.9","8.0+"))))</f>
        <v>6.5–6.9</v>
      </c>
      <c r="Z313" s="3" t="n">
        <f aca="false">IF(T313="","",YEAR(T313))</f>
        <v>2015</v>
      </c>
    </row>
    <row r="314" customFormat="false" ht="13.8" hidden="false" customHeight="false" outlineLevel="0" collapsed="false">
      <c r="A314" s="3" t="s">
        <v>894</v>
      </c>
      <c r="B314" s="3" t="n">
        <v>6.5</v>
      </c>
      <c r="C314" s="6" t="s">
        <v>895</v>
      </c>
      <c r="D314" s="3" t="n">
        <v>5</v>
      </c>
      <c r="E314" s="3" t="n">
        <v>7</v>
      </c>
      <c r="F314" s="3" t="s">
        <v>21</v>
      </c>
      <c r="G314" s="3" t="n">
        <v>0</v>
      </c>
      <c r="H314" s="3" t="n">
        <v>657</v>
      </c>
      <c r="I314" s="3" t="s">
        <v>22</v>
      </c>
      <c r="J314" s="3" t="n">
        <v>0</v>
      </c>
      <c r="K314" s="3" t="n">
        <v>1.53</v>
      </c>
      <c r="L314" s="3" t="n">
        <v>21</v>
      </c>
      <c r="M314" s="3" t="s">
        <v>23</v>
      </c>
      <c r="N314" s="3" t="n">
        <v>20</v>
      </c>
      <c r="O314" s="3" t="n">
        <v>-8.3381</v>
      </c>
      <c r="P314" s="3" t="n">
        <v>124.875</v>
      </c>
      <c r="Q314" s="3" t="s">
        <v>896</v>
      </c>
      <c r="R314" s="3"/>
      <c r="S314" s="3" t="s">
        <v>68</v>
      </c>
      <c r="T314" s="5" t="n">
        <f aca="false">IF(C314="","",DATE(VALUE(MID(C314,7,4)),VALUE(MID(C314,4,2)),VALUE(MID(C314,1,2)))+TIME(VALUE(MID(C314,12,2)),VALUE(MID(C314,15,2)),0))</f>
        <v>42312.1555555556</v>
      </c>
      <c r="U314" s="3" t="str">
        <f aca="false">IFERROR(IF(ISNUMBER(VALUE(TRIM(MID(A314,FIND("-",A314)+1,FIND("km",A314)-FIND("-",A314)-1)))),"Distance + direction + city","Named-region"),"Named-region")</f>
        <v>Distance + direction + city</v>
      </c>
      <c r="V314" s="3" t="str">
        <f aca="false">LOWER(M314)</f>
        <v>mww</v>
      </c>
      <c r="W314" s="3" t="n">
        <f aca="false">COUNTIFS($A$2:$A$1001,A314,$C$2:$C$1001,C314)</f>
        <v>1</v>
      </c>
      <c r="X314" s="3" t="str">
        <f aca="false">IF(W314&gt;1,"Duplicate","Unique")</f>
        <v>Unique</v>
      </c>
      <c r="Y314" s="3" t="str">
        <f aca="false">IF(B314&lt;6.5,"&lt;6.5",IF(B314&lt;7,"6.5–6.9",IF(B314&lt;7.5,"7.0–7.4",IF(B314&lt;8,"7.5–7.9","8.0+"))))</f>
        <v>6.5–6.9</v>
      </c>
      <c r="Z314" s="3" t="n">
        <f aca="false">IF(T314="","",YEAR(T314))</f>
        <v>2015</v>
      </c>
    </row>
    <row r="315" customFormat="false" ht="13.8" hidden="false" customHeight="false" outlineLevel="0" collapsed="false">
      <c r="A315" s="3" t="s">
        <v>897</v>
      </c>
      <c r="B315" s="3" t="n">
        <v>7.5</v>
      </c>
      <c r="C315" s="3" t="s">
        <v>898</v>
      </c>
      <c r="D315" s="3" t="n">
        <v>8</v>
      </c>
      <c r="E315" s="3" t="n">
        <v>7</v>
      </c>
      <c r="F315" s="3" t="s">
        <v>95</v>
      </c>
      <c r="G315" s="3" t="n">
        <v>0</v>
      </c>
      <c r="H315" s="3" t="n">
        <v>1448</v>
      </c>
      <c r="I315" s="3" t="s">
        <v>22</v>
      </c>
      <c r="J315" s="3" t="n">
        <v>0</v>
      </c>
      <c r="K315" s="3" t="n">
        <v>0.622</v>
      </c>
      <c r="L315" s="3" t="n">
        <v>18</v>
      </c>
      <c r="M315" s="3" t="s">
        <v>23</v>
      </c>
      <c r="N315" s="3" t="n">
        <v>231</v>
      </c>
      <c r="O315" s="3" t="n">
        <v>36.5244</v>
      </c>
      <c r="P315" s="3" t="n">
        <v>70.3676</v>
      </c>
      <c r="Q315" s="3" t="s">
        <v>899</v>
      </c>
      <c r="R315" s="3" t="s">
        <v>80</v>
      </c>
      <c r="S315" s="3" t="s">
        <v>92</v>
      </c>
      <c r="T315" s="5" t="n">
        <f aca="false">IF(C315="","",DATE(VALUE(MID(C315,7,4)),VALUE(MID(C315,4,2)),VALUE(MID(C315,1,2)))+TIME(VALUE(MID(C315,12,2)),VALUE(MID(C315,15,2)),0))</f>
        <v>42303.38125</v>
      </c>
      <c r="U315" s="3" t="str">
        <f aca="false">IFERROR(IF(ISNUMBER(VALUE(TRIM(MID(A315,FIND("-",A315)+1,FIND("km",A315)-FIND("-",A315)-1)))),"Distance + direction + city","Named-region"),"Named-region")</f>
        <v>Named-region</v>
      </c>
      <c r="V315" s="3" t="str">
        <f aca="false">LOWER(M315)</f>
        <v>mww</v>
      </c>
      <c r="W315" s="3" t="n">
        <f aca="false">COUNTIFS($A$2:$A$1001,A315,$C$2:$C$1001,C315)</f>
        <v>1</v>
      </c>
      <c r="X315" s="3" t="str">
        <f aca="false">IF(W315&gt;1,"Duplicate","Unique")</f>
        <v>Unique</v>
      </c>
      <c r="Y315" s="3" t="str">
        <f aca="false">IF(B315&lt;6.5,"&lt;6.5",IF(B315&lt;7,"6.5–6.9",IF(B315&lt;7.5,"7.0–7.4",IF(B315&lt;8,"7.5–7.9","8.0+"))))</f>
        <v>7.5–7.9</v>
      </c>
      <c r="Z315" s="3" t="n">
        <f aca="false">IF(T315="","",YEAR(T315))</f>
        <v>2015</v>
      </c>
    </row>
    <row r="316" customFormat="false" ht="13.8" hidden="false" customHeight="false" outlineLevel="0" collapsed="false">
      <c r="A316" s="3" t="s">
        <v>900</v>
      </c>
      <c r="B316" s="3" t="n">
        <v>7.1</v>
      </c>
      <c r="C316" s="3" t="s">
        <v>901</v>
      </c>
      <c r="D316" s="3" t="n">
        <v>6</v>
      </c>
      <c r="E316" s="3" t="n">
        <v>6</v>
      </c>
      <c r="F316" s="3" t="s">
        <v>21</v>
      </c>
      <c r="G316" s="3" t="n">
        <v>1</v>
      </c>
      <c r="H316" s="3" t="n">
        <v>780</v>
      </c>
      <c r="I316" s="3" t="s">
        <v>22</v>
      </c>
      <c r="J316" s="3" t="n">
        <v>0</v>
      </c>
      <c r="K316" s="3" t="n">
        <v>0.592</v>
      </c>
      <c r="L316" s="3" t="n">
        <v>11</v>
      </c>
      <c r="M316" s="3" t="s">
        <v>23</v>
      </c>
      <c r="N316" s="3" t="n">
        <v>135</v>
      </c>
      <c r="O316" s="3" t="n">
        <v>-14.8595</v>
      </c>
      <c r="P316" s="3" t="n">
        <v>167.303</v>
      </c>
      <c r="Q316" s="3" t="s">
        <v>104</v>
      </c>
      <c r="R316" s="3"/>
      <c r="S316" s="3" t="s">
        <v>25</v>
      </c>
      <c r="T316" s="5" t="n">
        <f aca="false">IF(C316="","",DATE(VALUE(MID(C316,7,4)),VALUE(MID(C316,4,2)),VALUE(MID(C316,1,2)))+TIME(VALUE(MID(C316,12,2)),VALUE(MID(C316,15,2)),0))</f>
        <v>42297.9111111111</v>
      </c>
      <c r="U316" s="3" t="str">
        <f aca="false">IFERROR(IF(ISNUMBER(VALUE(TRIM(MID(A316,FIND("-",A316)+1,FIND("km",A316)-FIND("-",A316)-1)))),"Distance + direction + city","Named-region"),"Named-region")</f>
        <v>Distance + direction + city</v>
      </c>
      <c r="V316" s="3" t="str">
        <f aca="false">LOWER(M316)</f>
        <v>mww</v>
      </c>
      <c r="W316" s="3" t="n">
        <f aca="false">COUNTIFS($A$2:$A$1001,A316,$C$2:$C$1001,C316)</f>
        <v>1</v>
      </c>
      <c r="X316" s="3" t="str">
        <f aca="false">IF(W316&gt;1,"Duplicate","Unique")</f>
        <v>Unique</v>
      </c>
      <c r="Y316" s="3" t="str">
        <f aca="false">IF(B316&lt;6.5,"&lt;6.5",IF(B316&lt;7,"6.5–6.9",IF(B316&lt;7.5,"7.0–7.4",IF(B316&lt;8,"7.5–7.9","8.0+"))))</f>
        <v>7.0–7.4</v>
      </c>
      <c r="Z316" s="3" t="n">
        <f aca="false">IF(T316="","",YEAR(T316))</f>
        <v>2015</v>
      </c>
    </row>
    <row r="317" customFormat="false" ht="13.8" hidden="false" customHeight="false" outlineLevel="0" collapsed="false">
      <c r="A317" s="3" t="s">
        <v>902</v>
      </c>
      <c r="B317" s="3" t="n">
        <v>6.6</v>
      </c>
      <c r="C317" s="3" t="s">
        <v>903</v>
      </c>
      <c r="D317" s="3" t="n">
        <v>7</v>
      </c>
      <c r="E317" s="3" t="n">
        <v>7</v>
      </c>
      <c r="F317" s="3" t="s">
        <v>21</v>
      </c>
      <c r="G317" s="3" t="n">
        <v>0</v>
      </c>
      <c r="H317" s="3" t="n">
        <v>671</v>
      </c>
      <c r="I317" s="3" t="s">
        <v>22</v>
      </c>
      <c r="J317" s="3" t="n">
        <v>0</v>
      </c>
      <c r="K317" s="3" t="n">
        <v>2.486</v>
      </c>
      <c r="L317" s="3" t="n">
        <v>13</v>
      </c>
      <c r="M317" s="3" t="s">
        <v>23</v>
      </c>
      <c r="N317" s="3" t="n">
        <v>18</v>
      </c>
      <c r="O317" s="3" t="n">
        <v>-0.6212</v>
      </c>
      <c r="P317" s="3" t="n">
        <v>131.262</v>
      </c>
      <c r="Q317" s="3" t="s">
        <v>904</v>
      </c>
      <c r="R317" s="3"/>
      <c r="S317" s="3" t="s">
        <v>68</v>
      </c>
      <c r="T317" s="5" t="n">
        <f aca="false">IF(C317="","",DATE(VALUE(MID(C317,7,4)),VALUE(MID(C317,4,2)),VALUE(MID(C317,1,2)))+TIME(VALUE(MID(C317,12,2)),VALUE(MID(C317,15,2)),0))</f>
        <v>42271.6618055556</v>
      </c>
      <c r="U317" s="3" t="str">
        <f aca="false">IFERROR(IF(ISNUMBER(VALUE(TRIM(MID(A317,FIND("-",A317)+1,FIND("km",A317)-FIND("-",A317)-1)))),"Distance + direction + city","Named-region"),"Named-region")</f>
        <v>Distance + direction + city</v>
      </c>
      <c r="V317" s="3" t="str">
        <f aca="false">LOWER(M317)</f>
        <v>mww</v>
      </c>
      <c r="W317" s="3" t="n">
        <f aca="false">COUNTIFS($A$2:$A$1001,A317,$C$2:$C$1001,C317)</f>
        <v>1</v>
      </c>
      <c r="X317" s="3" t="str">
        <f aca="false">IF(W317&gt;1,"Duplicate","Unique")</f>
        <v>Unique</v>
      </c>
      <c r="Y317" s="3" t="str">
        <f aca="false">IF(B317&lt;6.5,"&lt;6.5",IF(B317&lt;7,"6.5–6.9",IF(B317&lt;7.5,"7.0–7.4",IF(B317&lt;8,"7.5–7.9","8.0+"))))</f>
        <v>6.5–6.9</v>
      </c>
      <c r="Z317" s="3" t="n">
        <f aca="false">IF(T317="","",YEAR(T317))</f>
        <v>2015</v>
      </c>
    </row>
    <row r="318" customFormat="false" ht="13.8" hidden="false" customHeight="false" outlineLevel="0" collapsed="false">
      <c r="A318" s="3" t="s">
        <v>905</v>
      </c>
      <c r="B318" s="3" t="n">
        <v>6.6</v>
      </c>
      <c r="C318" s="3" t="s">
        <v>906</v>
      </c>
      <c r="D318" s="3" t="n">
        <v>5</v>
      </c>
      <c r="E318" s="3" t="n">
        <v>7</v>
      </c>
      <c r="F318" s="3" t="s">
        <v>21</v>
      </c>
      <c r="G318" s="3" t="n">
        <v>1</v>
      </c>
      <c r="H318" s="3" t="n">
        <v>820</v>
      </c>
      <c r="I318" s="3" t="s">
        <v>22</v>
      </c>
      <c r="J318" s="3" t="n">
        <v>0</v>
      </c>
      <c r="K318" s="3" t="n">
        <v>1.064</v>
      </c>
      <c r="L318" s="3" t="n">
        <v>14</v>
      </c>
      <c r="M318" s="3" t="s">
        <v>23</v>
      </c>
      <c r="N318" s="3" t="n">
        <v>35</v>
      </c>
      <c r="O318" s="3" t="n">
        <v>-31.7275</v>
      </c>
      <c r="P318" s="3" t="n">
        <v>-71.3792</v>
      </c>
      <c r="Q318" s="3" t="s">
        <v>907</v>
      </c>
      <c r="R318" s="3" t="s">
        <v>33</v>
      </c>
      <c r="S318" s="3" t="s">
        <v>373</v>
      </c>
      <c r="T318" s="5" t="n">
        <f aca="false">IF(C318="","",DATE(VALUE(MID(C318,7,4)),VALUE(MID(C318,4,2)),VALUE(MID(C318,1,2)))+TIME(VALUE(MID(C318,12,2)),VALUE(MID(C318,15,2)),0))</f>
        <v>42268.7361111111</v>
      </c>
      <c r="U318" s="3" t="str">
        <f aca="false">IFERROR(IF(ISNUMBER(VALUE(TRIM(MID(A318,FIND("-",A318)+1,FIND("km",A318)-FIND("-",A318)-1)))),"Distance + direction + city","Named-region"),"Named-region")</f>
        <v>Distance + direction + city</v>
      </c>
      <c r="V318" s="3" t="str">
        <f aca="false">LOWER(M318)</f>
        <v>mww</v>
      </c>
      <c r="W318" s="3" t="n">
        <f aca="false">COUNTIFS($A$2:$A$1001,A318,$C$2:$C$1001,C318)</f>
        <v>1</v>
      </c>
      <c r="X318" s="3" t="str">
        <f aca="false">IF(W318&gt;1,"Duplicate","Unique")</f>
        <v>Unique</v>
      </c>
      <c r="Y318" s="3" t="str">
        <f aca="false">IF(B318&lt;6.5,"&lt;6.5",IF(B318&lt;7,"6.5–6.9",IF(B318&lt;7.5,"7.0–7.4",IF(B318&lt;8,"7.5–7.9","8.0+"))))</f>
        <v>6.5–6.9</v>
      </c>
      <c r="Z318" s="3" t="n">
        <f aca="false">IF(T318="","",YEAR(T318))</f>
        <v>2015</v>
      </c>
    </row>
    <row r="319" customFormat="false" ht="13.8" hidden="false" customHeight="false" outlineLevel="0" collapsed="false">
      <c r="A319" s="3" t="s">
        <v>908</v>
      </c>
      <c r="B319" s="3" t="n">
        <v>6.7</v>
      </c>
      <c r="C319" s="3" t="s">
        <v>909</v>
      </c>
      <c r="D319" s="3" t="n">
        <v>5</v>
      </c>
      <c r="E319" s="3" t="n">
        <v>7</v>
      </c>
      <c r="F319" s="3" t="s">
        <v>21</v>
      </c>
      <c r="G319" s="3" t="n">
        <v>0</v>
      </c>
      <c r="H319" s="3" t="n">
        <v>718</v>
      </c>
      <c r="I319" s="3" t="s">
        <v>22</v>
      </c>
      <c r="J319" s="3" t="n">
        <v>0</v>
      </c>
      <c r="K319" s="3" t="n">
        <v>0.853</v>
      </c>
      <c r="L319" s="3" t="n">
        <v>35</v>
      </c>
      <c r="M319" s="3" t="s">
        <v>23</v>
      </c>
      <c r="N319" s="3" t="n">
        <v>23</v>
      </c>
      <c r="O319" s="3" t="n">
        <v>-31.5173</v>
      </c>
      <c r="P319" s="3" t="n">
        <v>-71.804</v>
      </c>
      <c r="Q319" s="3" t="s">
        <v>907</v>
      </c>
      <c r="R319" s="3"/>
      <c r="S319" s="3" t="s">
        <v>373</v>
      </c>
      <c r="T319" s="5" t="n">
        <f aca="false">IF(C319="","",DATE(VALUE(MID(C319,7,4)),VALUE(MID(C319,4,2)),VALUE(MID(C319,1,2)))+TIME(VALUE(MID(C319,12,2)),VALUE(MID(C319,15,2)),0))</f>
        <v>42264.1736111111</v>
      </c>
      <c r="U319" s="3" t="str">
        <f aca="false">IFERROR(IF(ISNUMBER(VALUE(TRIM(MID(A319,FIND("-",A319)+1,FIND("km",A319)-FIND("-",A319)-1)))),"Distance + direction + city","Named-region"),"Named-region")</f>
        <v>Distance + direction + city</v>
      </c>
      <c r="V319" s="3" t="str">
        <f aca="false">LOWER(M319)</f>
        <v>mww</v>
      </c>
      <c r="W319" s="3" t="n">
        <f aca="false">COUNTIFS($A$2:$A$1001,A319,$C$2:$C$1001,C319)</f>
        <v>1</v>
      </c>
      <c r="X319" s="3" t="str">
        <f aca="false">IF(W319&gt;1,"Duplicate","Unique")</f>
        <v>Unique</v>
      </c>
      <c r="Y319" s="3" t="str">
        <f aca="false">IF(B319&lt;6.5,"&lt;6.5",IF(B319&lt;7,"6.5–6.9",IF(B319&lt;7.5,"7.0–7.4",IF(B319&lt;8,"7.5–7.9","8.0+"))))</f>
        <v>6.5–6.9</v>
      </c>
      <c r="Z319" s="3" t="n">
        <f aca="false">IF(T319="","",YEAR(T319))</f>
        <v>2015</v>
      </c>
    </row>
    <row r="320" customFormat="false" ht="13.8" hidden="false" customHeight="false" outlineLevel="0" collapsed="false">
      <c r="A320" s="3" t="s">
        <v>910</v>
      </c>
      <c r="B320" s="3" t="n">
        <v>6.5</v>
      </c>
      <c r="C320" s="3" t="s">
        <v>911</v>
      </c>
      <c r="D320" s="3" t="n">
        <v>6</v>
      </c>
      <c r="E320" s="3" t="n">
        <v>7</v>
      </c>
      <c r="F320" s="3" t="s">
        <v>21</v>
      </c>
      <c r="G320" s="3" t="n">
        <v>0</v>
      </c>
      <c r="H320" s="3" t="n">
        <v>657</v>
      </c>
      <c r="I320" s="3" t="s">
        <v>22</v>
      </c>
      <c r="J320" s="3" t="n">
        <v>0</v>
      </c>
      <c r="K320" s="3" t="n">
        <v>0.749</v>
      </c>
      <c r="L320" s="3" t="n">
        <v>62</v>
      </c>
      <c r="M320" s="3" t="s">
        <v>23</v>
      </c>
      <c r="N320" s="3" t="n">
        <v>27</v>
      </c>
      <c r="O320" s="3" t="n">
        <v>-31.4244</v>
      </c>
      <c r="P320" s="3" t="n">
        <v>-71.6876</v>
      </c>
      <c r="Q320" s="3" t="s">
        <v>907</v>
      </c>
      <c r="R320" s="3"/>
      <c r="S320" s="3" t="s">
        <v>373</v>
      </c>
      <c r="T320" s="5" t="n">
        <f aca="false">IF(C320="","",DATE(VALUE(MID(C320,7,4)),VALUE(MID(C320,4,2)),VALUE(MID(C320,1,2)))+TIME(VALUE(MID(C320,12,2)),VALUE(MID(C320,15,2)),0))</f>
        <v>42264.1631944444</v>
      </c>
      <c r="U320" s="3" t="str">
        <f aca="false">IFERROR(IF(ISNUMBER(VALUE(TRIM(MID(A320,FIND("-",A320)+1,FIND("km",A320)-FIND("-",A320)-1)))),"Distance + direction + city","Named-region"),"Named-region")</f>
        <v>Distance + direction + city</v>
      </c>
      <c r="V320" s="3" t="str">
        <f aca="false">LOWER(M320)</f>
        <v>mww</v>
      </c>
      <c r="W320" s="3" t="n">
        <f aca="false">COUNTIFS($A$2:$A$1001,A320,$C$2:$C$1001,C320)</f>
        <v>1</v>
      </c>
      <c r="X320" s="3" t="str">
        <f aca="false">IF(W320&gt;1,"Duplicate","Unique")</f>
        <v>Unique</v>
      </c>
      <c r="Y320" s="3" t="str">
        <f aca="false">IF(B320&lt;6.5,"&lt;6.5",IF(B320&lt;7,"6.5–6.9",IF(B320&lt;7.5,"7.0–7.4",IF(B320&lt;8,"7.5–7.9","8.0+"))))</f>
        <v>6.5–6.9</v>
      </c>
      <c r="Z320" s="3" t="n">
        <f aca="false">IF(T320="","",YEAR(T320))</f>
        <v>2015</v>
      </c>
    </row>
    <row r="321" customFormat="false" ht="13.8" hidden="false" customHeight="false" outlineLevel="0" collapsed="false">
      <c r="A321" s="3" t="s">
        <v>912</v>
      </c>
      <c r="B321" s="3" t="n">
        <v>7</v>
      </c>
      <c r="C321" s="3" t="s">
        <v>913</v>
      </c>
      <c r="D321" s="3" t="n">
        <v>8</v>
      </c>
      <c r="E321" s="3" t="n">
        <v>7</v>
      </c>
      <c r="F321" s="3" t="s">
        <v>21</v>
      </c>
      <c r="G321" s="3" t="n">
        <v>0</v>
      </c>
      <c r="H321" s="3" t="n">
        <v>799</v>
      </c>
      <c r="I321" s="3" t="s">
        <v>22</v>
      </c>
      <c r="J321" s="3" t="n">
        <v>0</v>
      </c>
      <c r="K321" s="3" t="n">
        <v>0.903</v>
      </c>
      <c r="L321" s="3" t="n">
        <v>13</v>
      </c>
      <c r="M321" s="3" t="s">
        <v>23</v>
      </c>
      <c r="N321" s="3" t="n">
        <v>28.41</v>
      </c>
      <c r="O321" s="3" t="n">
        <v>-31.5622</v>
      </c>
      <c r="P321" s="3" t="n">
        <v>-71.4262</v>
      </c>
      <c r="Q321" s="3" t="s">
        <v>907</v>
      </c>
      <c r="R321" s="3" t="s">
        <v>33</v>
      </c>
      <c r="S321" s="3" t="s">
        <v>373</v>
      </c>
      <c r="T321" s="5" t="n">
        <f aca="false">IF(C321="","",DATE(VALUE(MID(C321,7,4)),VALUE(MID(C321,4,2)),VALUE(MID(C321,1,2)))+TIME(VALUE(MID(C321,12,2)),VALUE(MID(C321,15,2)),0))</f>
        <v>42263.9708333333</v>
      </c>
      <c r="U321" s="3" t="str">
        <f aca="false">IFERROR(IF(ISNUMBER(VALUE(TRIM(MID(A321,FIND("-",A321)+1,FIND("km",A321)-FIND("-",A321)-1)))),"Distance + direction + city","Named-region"),"Named-region")</f>
        <v>Distance + direction + city</v>
      </c>
      <c r="V321" s="3" t="str">
        <f aca="false">LOWER(M321)</f>
        <v>mww</v>
      </c>
      <c r="W321" s="3" t="n">
        <f aca="false">COUNTIFS($A$2:$A$1001,A321,$C$2:$C$1001,C321)</f>
        <v>1</v>
      </c>
      <c r="X321" s="3" t="str">
        <f aca="false">IF(W321&gt;1,"Duplicate","Unique")</f>
        <v>Unique</v>
      </c>
      <c r="Y321" s="3" t="str">
        <f aca="false">IF(B321&lt;6.5,"&lt;6.5",IF(B321&lt;7,"6.5–6.9",IF(B321&lt;7.5,"7.0–7.4",IF(B321&lt;8,"7.5–7.9","8.0+"))))</f>
        <v>7.0–7.4</v>
      </c>
      <c r="Z321" s="3" t="n">
        <f aca="false">IF(T321="","",YEAR(T321))</f>
        <v>2015</v>
      </c>
    </row>
    <row r="322" customFormat="false" ht="13.8" hidden="false" customHeight="false" outlineLevel="0" collapsed="false">
      <c r="A322" s="3" t="s">
        <v>914</v>
      </c>
      <c r="B322" s="3" t="n">
        <v>8.3</v>
      </c>
      <c r="C322" s="3" t="s">
        <v>915</v>
      </c>
      <c r="D322" s="3" t="n">
        <v>9</v>
      </c>
      <c r="E322" s="3" t="n">
        <v>8</v>
      </c>
      <c r="F322" s="3" t="s">
        <v>95</v>
      </c>
      <c r="G322" s="3" t="n">
        <v>1</v>
      </c>
      <c r="H322" s="3" t="n">
        <v>1960</v>
      </c>
      <c r="I322" s="3" t="s">
        <v>22</v>
      </c>
      <c r="J322" s="3" t="n">
        <v>0</v>
      </c>
      <c r="K322" s="3" t="n">
        <v>0.684</v>
      </c>
      <c r="L322" s="3" t="n">
        <v>19</v>
      </c>
      <c r="M322" s="3" t="s">
        <v>23</v>
      </c>
      <c r="N322" s="3" t="n">
        <v>22.44</v>
      </c>
      <c r="O322" s="3" t="n">
        <v>-31.5729</v>
      </c>
      <c r="P322" s="3" t="n">
        <v>-71.6744</v>
      </c>
      <c r="Q322" s="3" t="s">
        <v>907</v>
      </c>
      <c r="R322" s="3"/>
      <c r="S322" s="3" t="s">
        <v>373</v>
      </c>
      <c r="T322" s="5" t="n">
        <f aca="false">IF(C322="","",DATE(VALUE(MID(C322,7,4)),VALUE(MID(C322,4,2)),VALUE(MID(C322,1,2)))+TIME(VALUE(MID(C322,12,2)),VALUE(MID(C322,15,2)),0))</f>
        <v>42263.9541666667</v>
      </c>
      <c r="U322" s="3" t="str">
        <f aca="false">IFERROR(IF(ISNUMBER(VALUE(TRIM(MID(A322,FIND("-",A322)+1,FIND("km",A322)-FIND("-",A322)-1)))),"Distance + direction + city","Named-region"),"Named-region")</f>
        <v>Distance + direction + city</v>
      </c>
      <c r="V322" s="3" t="str">
        <f aca="false">LOWER(M322)</f>
        <v>mww</v>
      </c>
      <c r="W322" s="3" t="n">
        <f aca="false">COUNTIFS($A$2:$A$1001,A322,$C$2:$C$1001,C322)</f>
        <v>1</v>
      </c>
      <c r="X322" s="3" t="str">
        <f aca="false">IF(W322&gt;1,"Duplicate","Unique")</f>
        <v>Unique</v>
      </c>
      <c r="Y322" s="3" t="str">
        <f aca="false">IF(B322&lt;6.5,"&lt;6.5",IF(B322&lt;7,"6.5–6.9",IF(B322&lt;7.5,"7.0–7.4",IF(B322&lt;8,"7.5–7.9","8.0+"))))</f>
        <v>8.0+</v>
      </c>
      <c r="Z322" s="3" t="n">
        <f aca="false">IF(T322="","",YEAR(T322))</f>
        <v>2015</v>
      </c>
    </row>
    <row r="323" customFormat="false" ht="13.8" hidden="false" customHeight="false" outlineLevel="0" collapsed="false">
      <c r="A323" s="3" t="s">
        <v>916</v>
      </c>
      <c r="B323" s="3" t="n">
        <v>6.7</v>
      </c>
      <c r="C323" s="3" t="s">
        <v>917</v>
      </c>
      <c r="D323" s="3" t="n">
        <v>5</v>
      </c>
      <c r="E323" s="3" t="n">
        <v>5</v>
      </c>
      <c r="F323" s="3" t="s">
        <v>21</v>
      </c>
      <c r="G323" s="3" t="n">
        <v>1</v>
      </c>
      <c r="H323" s="3" t="n">
        <v>708</v>
      </c>
      <c r="I323" s="3" t="s">
        <v>22</v>
      </c>
      <c r="J323" s="3" t="n">
        <v>0</v>
      </c>
      <c r="K323" s="3" t="n">
        <v>1.256</v>
      </c>
      <c r="L323" s="3" t="n">
        <v>123</v>
      </c>
      <c r="M323" s="3" t="s">
        <v>23</v>
      </c>
      <c r="N323" s="3" t="n">
        <v>10</v>
      </c>
      <c r="O323" s="3" t="n">
        <v>24.913</v>
      </c>
      <c r="P323" s="3" t="n">
        <v>-109.623</v>
      </c>
      <c r="Q323" s="3" t="s">
        <v>918</v>
      </c>
      <c r="R323" s="3"/>
      <c r="S323" s="3"/>
      <c r="T323" s="5" t="n">
        <f aca="false">IF(C323="","",DATE(VALUE(MID(C323,7,4)),VALUE(MID(C323,4,2)),VALUE(MID(C323,1,2)))+TIME(VALUE(MID(C323,12,2)),VALUE(MID(C323,15,2)),0))</f>
        <v>42260.3430555556</v>
      </c>
      <c r="U323" s="3" t="str">
        <f aca="false">IFERROR(IF(ISNUMBER(VALUE(TRIM(MID(A323,FIND("-",A323)+1,FIND("km",A323)-FIND("-",A323)-1)))),"Distance + direction + city","Named-region"),"Named-region")</f>
        <v>Distance + direction + city</v>
      </c>
      <c r="V323" s="3" t="str">
        <f aca="false">LOWER(M323)</f>
        <v>mww</v>
      </c>
      <c r="W323" s="3" t="n">
        <f aca="false">COUNTIFS($A$2:$A$1001,A323,$C$2:$C$1001,C323)</f>
        <v>1</v>
      </c>
      <c r="X323" s="3" t="str">
        <f aca="false">IF(W323&gt;1,"Duplicate","Unique")</f>
        <v>Unique</v>
      </c>
      <c r="Y323" s="3" t="str">
        <f aca="false">IF(B323&lt;6.5,"&lt;6.5",IF(B323&lt;7,"6.5–6.9",IF(B323&lt;7.5,"7.0–7.4",IF(B323&lt;8,"7.5–7.9","8.0+"))))</f>
        <v>6.5–6.9</v>
      </c>
      <c r="Z323" s="3" t="n">
        <f aca="false">IF(T323="","",YEAR(T323))</f>
        <v>2015</v>
      </c>
    </row>
    <row r="324" customFormat="false" ht="13.8" hidden="false" customHeight="false" outlineLevel="0" collapsed="false">
      <c r="A324" s="3" t="s">
        <v>919</v>
      </c>
      <c r="B324" s="3" t="n">
        <v>6.5</v>
      </c>
      <c r="C324" s="6" t="s">
        <v>920</v>
      </c>
      <c r="D324" s="3" t="n">
        <v>0</v>
      </c>
      <c r="E324" s="3" t="n">
        <v>5</v>
      </c>
      <c r="F324" s="3" t="s">
        <v>21</v>
      </c>
      <c r="G324" s="3" t="n">
        <v>1</v>
      </c>
      <c r="H324" s="3" t="n">
        <v>650</v>
      </c>
      <c r="I324" s="3" t="s">
        <v>22</v>
      </c>
      <c r="J324" s="3" t="n">
        <v>0</v>
      </c>
      <c r="K324" s="3" t="n">
        <v>2.045</v>
      </c>
      <c r="L324" s="3" t="n">
        <v>16</v>
      </c>
      <c r="M324" s="3" t="s">
        <v>23</v>
      </c>
      <c r="N324" s="3" t="n">
        <v>6.43</v>
      </c>
      <c r="O324" s="3" t="n">
        <v>-9.3293</v>
      </c>
      <c r="P324" s="3" t="n">
        <v>157.877</v>
      </c>
      <c r="Q324" s="3" t="s">
        <v>921</v>
      </c>
      <c r="R324" s="3"/>
      <c r="S324" s="3"/>
      <c r="T324" s="5" t="n">
        <f aca="false">IF(C324="","",DATE(VALUE(MID(C324,7,4)),VALUE(MID(C324,4,2)),VALUE(MID(C324,1,2)))+TIME(VALUE(MID(C324,12,2)),VALUE(MID(C324,15,2)),0))</f>
        <v>42228.7840277778</v>
      </c>
      <c r="U324" s="3" t="str">
        <f aca="false">IFERROR(IF(ISNUMBER(VALUE(TRIM(MID(A324,FIND("-",A324)+1,FIND("km",A324)-FIND("-",A324)-1)))),"Distance + direction + city","Named-region"),"Named-region")</f>
        <v>Distance + direction + city</v>
      </c>
      <c r="V324" s="3" t="str">
        <f aca="false">LOWER(M324)</f>
        <v>mww</v>
      </c>
      <c r="W324" s="3" t="n">
        <f aca="false">COUNTIFS($A$2:$A$1001,A324,$C$2:$C$1001,C324)</f>
        <v>1</v>
      </c>
      <c r="X324" s="3" t="str">
        <f aca="false">IF(W324&gt;1,"Duplicate","Unique")</f>
        <v>Unique</v>
      </c>
      <c r="Y324" s="3" t="str">
        <f aca="false">IF(B324&lt;6.5,"&lt;6.5",IF(B324&lt;7,"6.5–6.9",IF(B324&lt;7.5,"7.0–7.4",IF(B324&lt;8,"7.5–7.9","8.0+"))))</f>
        <v>6.5–6.9</v>
      </c>
      <c r="Z324" s="3" t="n">
        <f aca="false">IF(T324="","",YEAR(T324))</f>
        <v>2015</v>
      </c>
    </row>
    <row r="325" customFormat="false" ht="13.8" hidden="false" customHeight="false" outlineLevel="0" collapsed="false">
      <c r="A325" s="3" t="s">
        <v>922</v>
      </c>
      <c r="B325" s="3" t="n">
        <v>6.6</v>
      </c>
      <c r="C325" s="6" t="s">
        <v>923</v>
      </c>
      <c r="D325" s="3" t="n">
        <v>3</v>
      </c>
      <c r="E325" s="3" t="n">
        <v>5</v>
      </c>
      <c r="F325" s="3" t="s">
        <v>21</v>
      </c>
      <c r="G325" s="3" t="n">
        <v>1</v>
      </c>
      <c r="H325" s="3" t="n">
        <v>671</v>
      </c>
      <c r="I325" s="3" t="s">
        <v>22</v>
      </c>
      <c r="J325" s="3" t="n">
        <v>0</v>
      </c>
      <c r="K325" s="3" t="n">
        <v>1.872</v>
      </c>
      <c r="L325" s="3" t="n">
        <v>20</v>
      </c>
      <c r="M325" s="3" t="s">
        <v>23</v>
      </c>
      <c r="N325" s="3" t="n">
        <v>22</v>
      </c>
      <c r="O325" s="3" t="n">
        <v>-9.3438</v>
      </c>
      <c r="P325" s="3" t="n">
        <v>158.053</v>
      </c>
      <c r="Q325" s="3" t="s">
        <v>138</v>
      </c>
      <c r="R325" s="3"/>
      <c r="S325" s="3"/>
      <c r="T325" s="5" t="n">
        <f aca="false">IF(C325="","",DATE(VALUE(MID(C325,7,4)),VALUE(MID(C325,4,2)),VALUE(MID(C325,1,2)))+TIME(VALUE(MID(C325,12,2)),VALUE(MID(C325,15,2)),0))</f>
        <v>42226.175</v>
      </c>
      <c r="U325" s="3" t="str">
        <f aca="false">IFERROR(IF(ISNUMBER(VALUE(TRIM(MID(A325,FIND("-",A325)+1,FIND("km",A325)-FIND("-",A325)-1)))),"Distance + direction + city","Named-region"),"Named-region")</f>
        <v>Distance + direction + city</v>
      </c>
      <c r="V325" s="3" t="str">
        <f aca="false">LOWER(M325)</f>
        <v>mww</v>
      </c>
      <c r="W325" s="3" t="n">
        <f aca="false">COUNTIFS($A$2:$A$1001,A325,$C$2:$C$1001,C325)</f>
        <v>1</v>
      </c>
      <c r="X325" s="3" t="str">
        <f aca="false">IF(W325&gt;1,"Duplicate","Unique")</f>
        <v>Unique</v>
      </c>
      <c r="Y325" s="3" t="str">
        <f aca="false">IF(B325&lt;6.5,"&lt;6.5",IF(B325&lt;7,"6.5–6.9",IF(B325&lt;7.5,"7.0–7.4",IF(B325&lt;8,"7.5–7.9","8.0+"))))</f>
        <v>6.5–6.9</v>
      </c>
      <c r="Z325" s="3" t="n">
        <f aca="false">IF(T325="","",YEAR(T325))</f>
        <v>2015</v>
      </c>
    </row>
    <row r="326" customFormat="false" ht="13.8" hidden="false" customHeight="false" outlineLevel="0" collapsed="false">
      <c r="A326" s="3" t="s">
        <v>924</v>
      </c>
      <c r="B326" s="3" t="n">
        <v>7</v>
      </c>
      <c r="C326" s="3" t="s">
        <v>925</v>
      </c>
      <c r="D326" s="3" t="n">
        <v>9</v>
      </c>
      <c r="E326" s="3" t="n">
        <v>7</v>
      </c>
      <c r="F326" s="3" t="s">
        <v>21</v>
      </c>
      <c r="G326" s="3" t="n">
        <v>1</v>
      </c>
      <c r="H326" s="3" t="n">
        <v>762</v>
      </c>
      <c r="I326" s="3" t="s">
        <v>22</v>
      </c>
      <c r="J326" s="3" t="n">
        <v>0</v>
      </c>
      <c r="K326" s="3" t="n">
        <v>6.278</v>
      </c>
      <c r="L326" s="3" t="n">
        <v>12</v>
      </c>
      <c r="M326" s="3" t="s">
        <v>23</v>
      </c>
      <c r="N326" s="3" t="n">
        <v>48</v>
      </c>
      <c r="O326" s="3" t="n">
        <v>-2.6286</v>
      </c>
      <c r="P326" s="3" t="n">
        <v>138.528</v>
      </c>
      <c r="Q326" s="3" t="s">
        <v>926</v>
      </c>
      <c r="R326" s="3"/>
      <c r="S326" s="3" t="s">
        <v>68</v>
      </c>
      <c r="T326" s="5" t="n">
        <f aca="false">IF(C326="","",DATE(VALUE(MID(C326,7,4)),VALUE(MID(C326,4,2)),VALUE(MID(C326,1,2)))+TIME(VALUE(MID(C326,12,2)),VALUE(MID(C326,15,2)),0))</f>
        <v>42212.9034722222</v>
      </c>
      <c r="U326" s="3" t="str">
        <f aca="false">IFERROR(IF(ISNUMBER(VALUE(TRIM(MID(A326,FIND("-",A326)+1,FIND("km",A326)-FIND("-",A326)-1)))),"Distance + direction + city","Named-region"),"Named-region")</f>
        <v>Distance + direction + city</v>
      </c>
      <c r="V326" s="3" t="str">
        <f aca="false">LOWER(M326)</f>
        <v>mww</v>
      </c>
      <c r="W326" s="3" t="n">
        <f aca="false">COUNTIFS($A$2:$A$1001,A326,$C$2:$C$1001,C326)</f>
        <v>1</v>
      </c>
      <c r="X326" s="3" t="str">
        <f aca="false">IF(W326&gt;1,"Duplicate","Unique")</f>
        <v>Unique</v>
      </c>
      <c r="Y326" s="3" t="str">
        <f aca="false">IF(B326&lt;6.5,"&lt;6.5",IF(B326&lt;7,"6.5–6.9",IF(B326&lt;7.5,"7.0–7.4",IF(B326&lt;8,"7.5–7.9","8.0+"))))</f>
        <v>7.0–7.4</v>
      </c>
      <c r="Z326" s="3" t="n">
        <f aca="false">IF(T326="","",YEAR(T326))</f>
        <v>2015</v>
      </c>
    </row>
    <row r="327" customFormat="false" ht="13.8" hidden="false" customHeight="false" outlineLevel="0" collapsed="false">
      <c r="A327" s="3" t="s">
        <v>927</v>
      </c>
      <c r="B327" s="3" t="n">
        <v>6.9</v>
      </c>
      <c r="C327" s="3" t="s">
        <v>928</v>
      </c>
      <c r="D327" s="3" t="n">
        <v>4</v>
      </c>
      <c r="E327" s="3" t="n">
        <v>7</v>
      </c>
      <c r="F327" s="3" t="s">
        <v>21</v>
      </c>
      <c r="G327" s="3" t="n">
        <v>1</v>
      </c>
      <c r="H327" s="3" t="n">
        <v>734</v>
      </c>
      <c r="I327" s="3" t="s">
        <v>22</v>
      </c>
      <c r="J327" s="3" t="n">
        <v>0</v>
      </c>
      <c r="K327" s="3" t="n">
        <v>0.444</v>
      </c>
      <c r="L327" s="3" t="n">
        <v>39</v>
      </c>
      <c r="M327" s="3" t="s">
        <v>23</v>
      </c>
      <c r="N327" s="3" t="n">
        <v>29</v>
      </c>
      <c r="O327" s="3" t="n">
        <v>52.376</v>
      </c>
      <c r="P327" s="3" t="n">
        <v>-169.446</v>
      </c>
      <c r="Q327" s="3" t="s">
        <v>929</v>
      </c>
      <c r="R327" s="3"/>
      <c r="S327" s="3"/>
      <c r="T327" s="5" t="n">
        <f aca="false">IF(C327="","",DATE(VALUE(MID(C327,7,4)),VALUE(MID(C327,4,2)),VALUE(MID(C327,1,2)))+TIME(VALUE(MID(C327,12,2)),VALUE(MID(C327,15,2)),0))</f>
        <v>42212.2006944444</v>
      </c>
      <c r="U327" s="3" t="str">
        <f aca="false">IFERROR(IF(ISNUMBER(VALUE(TRIM(MID(A327,FIND("-",A327)+1,FIND("km",A327)-FIND("-",A327)-1)))),"Distance + direction + city","Named-region"),"Named-region")</f>
        <v>Named-region</v>
      </c>
      <c r="V327" s="3" t="str">
        <f aca="false">LOWER(M327)</f>
        <v>mww</v>
      </c>
      <c r="W327" s="3" t="n">
        <f aca="false">COUNTIFS($A$2:$A$1001,A327,$C$2:$C$1001,C327)</f>
        <v>1</v>
      </c>
      <c r="X327" s="3" t="str">
        <f aca="false">IF(W327&gt;1,"Duplicate","Unique")</f>
        <v>Unique</v>
      </c>
      <c r="Y327" s="3" t="str">
        <f aca="false">IF(B327&lt;6.5,"&lt;6.5",IF(B327&lt;7,"6.5–6.9",IF(B327&lt;7.5,"7.0–7.4",IF(B327&lt;8,"7.5–7.9","8.0+"))))</f>
        <v>6.5–6.9</v>
      </c>
      <c r="Z327" s="3" t="n">
        <f aca="false">IF(T327="","",YEAR(T327))</f>
        <v>2015</v>
      </c>
    </row>
    <row r="328" customFormat="false" ht="13.8" hidden="false" customHeight="false" outlineLevel="0" collapsed="false">
      <c r="A328" s="3" t="s">
        <v>930</v>
      </c>
      <c r="B328" s="3" t="n">
        <v>7</v>
      </c>
      <c r="C328" s="3" t="s">
        <v>931</v>
      </c>
      <c r="D328" s="3" t="n">
        <v>8</v>
      </c>
      <c r="E328" s="3" t="n">
        <v>6</v>
      </c>
      <c r="F328" s="3" t="s">
        <v>21</v>
      </c>
      <c r="G328" s="3" t="n">
        <v>1</v>
      </c>
      <c r="H328" s="3" t="n">
        <v>759</v>
      </c>
      <c r="I328" s="3" t="s">
        <v>22</v>
      </c>
      <c r="J328" s="3" t="n">
        <v>0</v>
      </c>
      <c r="K328" s="3" t="n">
        <v>5.205</v>
      </c>
      <c r="L328" s="3" t="n">
        <v>22</v>
      </c>
      <c r="M328" s="3" t="s">
        <v>23</v>
      </c>
      <c r="N328" s="3" t="n">
        <v>11</v>
      </c>
      <c r="O328" s="3" t="n">
        <v>-10.4012</v>
      </c>
      <c r="P328" s="3" t="n">
        <v>165.141</v>
      </c>
      <c r="Q328" s="3" t="s">
        <v>412</v>
      </c>
      <c r="R328" s="3"/>
      <c r="S328" s="3"/>
      <c r="T328" s="5" t="n">
        <f aca="false">IF(C328="","",DATE(VALUE(MID(C328,7,4)),VALUE(MID(C328,4,2)),VALUE(MID(C328,1,2)))+TIME(VALUE(MID(C328,12,2)),VALUE(MID(C328,15,2)),0))</f>
        <v>42203.1020833333</v>
      </c>
      <c r="U328" s="3" t="str">
        <f aca="false">IFERROR(IF(ISNUMBER(VALUE(TRIM(MID(A328,FIND("-",A328)+1,FIND("km",A328)-FIND("-",A328)-1)))),"Distance + direction + city","Named-region"),"Named-region")</f>
        <v>Distance + direction + city</v>
      </c>
      <c r="V328" s="3" t="str">
        <f aca="false">LOWER(M328)</f>
        <v>mww</v>
      </c>
      <c r="W328" s="3" t="n">
        <f aca="false">COUNTIFS($A$2:$A$1001,A328,$C$2:$C$1001,C328)</f>
        <v>1</v>
      </c>
      <c r="X328" s="3" t="str">
        <f aca="false">IF(W328&gt;1,"Duplicate","Unique")</f>
        <v>Unique</v>
      </c>
      <c r="Y328" s="3" t="str">
        <f aca="false">IF(B328&lt;6.5,"&lt;6.5",IF(B328&lt;7,"6.5–6.9",IF(B328&lt;7.5,"7.0–7.4",IF(B328&lt;8,"7.5–7.9","8.0+"))))</f>
        <v>7.0–7.4</v>
      </c>
      <c r="Z328" s="3" t="n">
        <f aca="false">IF(T328="","",YEAR(T328))</f>
        <v>2015</v>
      </c>
    </row>
    <row r="329" customFormat="false" ht="13.8" hidden="false" customHeight="false" outlineLevel="0" collapsed="false">
      <c r="A329" s="3" t="s">
        <v>932</v>
      </c>
      <c r="B329" s="3" t="n">
        <v>6.5</v>
      </c>
      <c r="C329" s="3" t="s">
        <v>933</v>
      </c>
      <c r="D329" s="3" t="n">
        <v>4</v>
      </c>
      <c r="E329" s="3" t="n">
        <v>4</v>
      </c>
      <c r="F329" s="3" t="s">
        <v>21</v>
      </c>
      <c r="G329" s="3" t="n">
        <v>1</v>
      </c>
      <c r="H329" s="3" t="n">
        <v>686</v>
      </c>
      <c r="I329" s="3" t="s">
        <v>22</v>
      </c>
      <c r="J329" s="3" t="n">
        <v>0</v>
      </c>
      <c r="K329" s="3" t="n">
        <v>1.218</v>
      </c>
      <c r="L329" s="3" t="n">
        <v>20</v>
      </c>
      <c r="M329" s="3" t="s">
        <v>23</v>
      </c>
      <c r="N329" s="3" t="n">
        <v>20</v>
      </c>
      <c r="O329" s="3" t="n">
        <v>13.8672</v>
      </c>
      <c r="P329" s="3" t="n">
        <v>-58.5479</v>
      </c>
      <c r="Q329" s="3" t="s">
        <v>934</v>
      </c>
      <c r="R329" s="3"/>
      <c r="S329" s="3"/>
      <c r="T329" s="5" t="n">
        <f aca="false">IF(C329="","",DATE(VALUE(MID(C329,7,4)),VALUE(MID(C329,4,2)),VALUE(MID(C329,1,2)))+TIME(VALUE(MID(C329,12,2)),VALUE(MID(C329,15,2)),0))</f>
        <v>42201.6361111111</v>
      </c>
      <c r="U329" s="3" t="str">
        <f aca="false">IFERROR(IF(ISNUMBER(VALUE(TRIM(MID(A329,FIND("-",A329)+1,FIND("km",A329)-FIND("-",A329)-1)))),"Distance + direction + city","Named-region"),"Named-region")</f>
        <v>Distance + direction + city</v>
      </c>
      <c r="V329" s="3" t="str">
        <f aca="false">LOWER(M329)</f>
        <v>mww</v>
      </c>
      <c r="W329" s="3" t="n">
        <f aca="false">COUNTIFS($A$2:$A$1001,A329,$C$2:$C$1001,C329)</f>
        <v>1</v>
      </c>
      <c r="X329" s="3" t="str">
        <f aca="false">IF(W329&gt;1,"Duplicate","Unique")</f>
        <v>Unique</v>
      </c>
      <c r="Y329" s="3" t="str">
        <f aca="false">IF(B329&lt;6.5,"&lt;6.5",IF(B329&lt;7,"6.5–6.9",IF(B329&lt;7.5,"7.0–7.4",IF(B329&lt;8,"7.5–7.9","8.0+"))))</f>
        <v>6.5–6.9</v>
      </c>
      <c r="Z329" s="3" t="n">
        <f aca="false">IF(T329="","",YEAR(T329))</f>
        <v>2015</v>
      </c>
    </row>
    <row r="330" customFormat="false" ht="13.8" hidden="false" customHeight="false" outlineLevel="0" collapsed="false">
      <c r="A330" s="3" t="s">
        <v>935</v>
      </c>
      <c r="B330" s="3" t="n">
        <v>6.7</v>
      </c>
      <c r="C330" s="6" t="s">
        <v>936</v>
      </c>
      <c r="D330" s="3" t="n">
        <v>4</v>
      </c>
      <c r="E330" s="3" t="n">
        <v>5</v>
      </c>
      <c r="F330" s="3" t="s">
        <v>21</v>
      </c>
      <c r="G330" s="3" t="n">
        <v>1</v>
      </c>
      <c r="H330" s="3" t="n">
        <v>691</v>
      </c>
      <c r="I330" s="3" t="s">
        <v>22</v>
      </c>
      <c r="J330" s="3" t="n">
        <v>0</v>
      </c>
      <c r="K330" s="3" t="n">
        <v>1.529</v>
      </c>
      <c r="L330" s="3" t="n">
        <v>11</v>
      </c>
      <c r="M330" s="3" t="s">
        <v>23</v>
      </c>
      <c r="N330" s="3" t="n">
        <v>12</v>
      </c>
      <c r="O330" s="3" t="n">
        <v>-9.307</v>
      </c>
      <c r="P330" s="3" t="n">
        <v>158.403</v>
      </c>
      <c r="Q330" s="3" t="s">
        <v>138</v>
      </c>
      <c r="R330" s="3"/>
      <c r="S330" s="3" t="s">
        <v>140</v>
      </c>
      <c r="T330" s="5" t="n">
        <f aca="false">IF(C330="","",DATE(VALUE(MID(C330,7,4)),VALUE(MID(C330,4,2)),VALUE(MID(C330,1,2)))+TIME(VALUE(MID(C330,12,2)),VALUE(MID(C330,15,2)),0))</f>
        <v>42195.175</v>
      </c>
      <c r="U330" s="3" t="str">
        <f aca="false">IFERROR(IF(ISNUMBER(VALUE(TRIM(MID(A330,FIND("-",A330)+1,FIND("km",A330)-FIND("-",A330)-1)))),"Distance + direction + city","Named-region"),"Named-region")</f>
        <v>Distance + direction + city</v>
      </c>
      <c r="V330" s="3" t="str">
        <f aca="false">LOWER(M330)</f>
        <v>mww</v>
      </c>
      <c r="W330" s="3" t="n">
        <f aca="false">COUNTIFS($A$2:$A$1001,A330,$C$2:$C$1001,C330)</f>
        <v>1</v>
      </c>
      <c r="X330" s="3" t="str">
        <f aca="false">IF(W330&gt;1,"Duplicate","Unique")</f>
        <v>Unique</v>
      </c>
      <c r="Y330" s="3" t="str">
        <f aca="false">IF(B330&lt;6.5,"&lt;6.5",IF(B330&lt;7,"6.5–6.9",IF(B330&lt;7.5,"7.0–7.4",IF(B330&lt;8,"7.5–7.9","8.0+"))))</f>
        <v>6.5–6.9</v>
      </c>
      <c r="Z330" s="3" t="n">
        <f aca="false">IF(T330="","",YEAR(T330))</f>
        <v>2015</v>
      </c>
    </row>
    <row r="331" customFormat="false" ht="13.8" hidden="false" customHeight="false" outlineLevel="0" collapsed="false">
      <c r="A331" s="3" t="s">
        <v>937</v>
      </c>
      <c r="B331" s="3" t="n">
        <v>6.5</v>
      </c>
      <c r="C331" s="3" t="s">
        <v>938</v>
      </c>
      <c r="D331" s="3" t="n">
        <v>3</v>
      </c>
      <c r="E331" s="3" t="n">
        <v>4</v>
      </c>
      <c r="F331" s="3" t="s">
        <v>21</v>
      </c>
      <c r="G331" s="3" t="n">
        <v>0</v>
      </c>
      <c r="H331" s="3" t="n">
        <v>652</v>
      </c>
      <c r="I331" s="3" t="s">
        <v>22</v>
      </c>
      <c r="J331" s="3" t="n">
        <v>0</v>
      </c>
      <c r="K331" s="3" t="n">
        <v>2.277</v>
      </c>
      <c r="L331" s="3" t="n">
        <v>11</v>
      </c>
      <c r="M331" s="3" t="s">
        <v>23</v>
      </c>
      <c r="N331" s="3" t="n">
        <v>460</v>
      </c>
      <c r="O331" s="3" t="n">
        <v>27.7375</v>
      </c>
      <c r="P331" s="3" t="n">
        <v>139.725</v>
      </c>
      <c r="Q331" s="3" t="s">
        <v>939</v>
      </c>
      <c r="R331" s="3"/>
      <c r="S331" s="3"/>
      <c r="T331" s="5" t="n">
        <f aca="false">IF(C331="","",DATE(VALUE(MID(C331,7,4)),VALUE(MID(C331,4,2)),VALUE(MID(C331,1,2)))+TIME(VALUE(MID(C331,12,2)),VALUE(MID(C331,15,2)),0))</f>
        <v>42178.5125</v>
      </c>
      <c r="U331" s="3" t="str">
        <f aca="false">IFERROR(IF(ISNUMBER(VALUE(TRIM(MID(A331,FIND("-",A331)+1,FIND("km",A331)-FIND("-",A331)-1)))),"Distance + direction + city","Named-region"),"Named-region")</f>
        <v>Named-region</v>
      </c>
      <c r="V331" s="3" t="str">
        <f aca="false">LOWER(M331)</f>
        <v>mww</v>
      </c>
      <c r="W331" s="3" t="n">
        <f aca="false">COUNTIFS($A$2:$A$1001,A331,$C$2:$C$1001,C331)</f>
        <v>1</v>
      </c>
      <c r="X331" s="3" t="str">
        <f aca="false">IF(W331&gt;1,"Duplicate","Unique")</f>
        <v>Unique</v>
      </c>
      <c r="Y331" s="3" t="str">
        <f aca="false">IF(B331&lt;6.5,"&lt;6.5",IF(B331&lt;7,"6.5–6.9",IF(B331&lt;7.5,"7.0–7.4",IF(B331&lt;8,"7.5–7.9","8.0+"))))</f>
        <v>6.5–6.9</v>
      </c>
      <c r="Z331" s="3" t="n">
        <f aca="false">IF(T331="","",YEAR(T331))</f>
        <v>2015</v>
      </c>
    </row>
    <row r="332" customFormat="false" ht="13.8" hidden="false" customHeight="false" outlineLevel="0" collapsed="false">
      <c r="A332" s="3" t="s">
        <v>940</v>
      </c>
      <c r="B332" s="3" t="n">
        <v>7.8</v>
      </c>
      <c r="C332" s="3" t="s">
        <v>941</v>
      </c>
      <c r="D332" s="3" t="n">
        <v>6</v>
      </c>
      <c r="E332" s="3" t="n">
        <v>3</v>
      </c>
      <c r="F332" s="3" t="s">
        <v>21</v>
      </c>
      <c r="G332" s="3" t="n">
        <v>1</v>
      </c>
      <c r="H332" s="3" t="n">
        <v>1151</v>
      </c>
      <c r="I332" s="3" t="s">
        <v>22</v>
      </c>
      <c r="J332" s="3" t="n">
        <v>0</v>
      </c>
      <c r="K332" s="3" t="n">
        <v>1.675</v>
      </c>
      <c r="L332" s="3" t="n">
        <v>12</v>
      </c>
      <c r="M332" s="3" t="s">
        <v>23</v>
      </c>
      <c r="N332" s="3" t="n">
        <v>664</v>
      </c>
      <c r="O332" s="3" t="n">
        <v>27.8386</v>
      </c>
      <c r="P332" s="3" t="n">
        <v>140.493</v>
      </c>
      <c r="Q332" s="3" t="s">
        <v>939</v>
      </c>
      <c r="R332" s="3"/>
      <c r="S332" s="3"/>
      <c r="T332" s="5" t="n">
        <f aca="false">IF(C332="","",DATE(VALUE(MID(C332,7,4)),VALUE(MID(C332,4,2)),VALUE(MID(C332,1,2)))+TIME(VALUE(MID(C332,12,2)),VALUE(MID(C332,15,2)),0))</f>
        <v>42154.4743055556</v>
      </c>
      <c r="U332" s="3" t="str">
        <f aca="false">IFERROR(IF(ISNUMBER(VALUE(TRIM(MID(A332,FIND("-",A332)+1,FIND("km",A332)-FIND("-",A332)-1)))),"Distance + direction + city","Named-region"),"Named-region")</f>
        <v>Named-region</v>
      </c>
      <c r="V332" s="3" t="str">
        <f aca="false">LOWER(M332)</f>
        <v>mww</v>
      </c>
      <c r="W332" s="3" t="n">
        <f aca="false">COUNTIFS($A$2:$A$1001,A332,$C$2:$C$1001,C332)</f>
        <v>1</v>
      </c>
      <c r="X332" s="3" t="str">
        <f aca="false">IF(W332&gt;1,"Duplicate","Unique")</f>
        <v>Unique</v>
      </c>
      <c r="Y332" s="3" t="str">
        <f aca="false">IF(B332&lt;6.5,"&lt;6.5",IF(B332&lt;7,"6.5–6.9",IF(B332&lt;7.5,"7.0–7.4",IF(B332&lt;8,"7.5–7.9","8.0+"))))</f>
        <v>7.5–7.9</v>
      </c>
      <c r="Z332" s="3" t="n">
        <f aca="false">IF(T332="","",YEAR(T332))</f>
        <v>2015</v>
      </c>
    </row>
    <row r="333" customFormat="false" ht="13.8" hidden="false" customHeight="false" outlineLevel="0" collapsed="false">
      <c r="A333" s="3" t="s">
        <v>942</v>
      </c>
      <c r="B333" s="3" t="n">
        <v>6.8</v>
      </c>
      <c r="C333" s="3" t="s">
        <v>943</v>
      </c>
      <c r="D333" s="3" t="n">
        <v>5</v>
      </c>
      <c r="E333" s="3" t="n">
        <v>6</v>
      </c>
      <c r="F333" s="3" t="s">
        <v>21</v>
      </c>
      <c r="G333" s="3" t="n">
        <v>1</v>
      </c>
      <c r="H333" s="3" t="n">
        <v>762</v>
      </c>
      <c r="I333" s="3" t="s">
        <v>259</v>
      </c>
      <c r="J333" s="3" t="n">
        <v>0</v>
      </c>
      <c r="K333" s="3" t="n">
        <v>0</v>
      </c>
      <c r="L333" s="3" t="n">
        <v>0</v>
      </c>
      <c r="M333" s="3" t="s">
        <v>485</v>
      </c>
      <c r="N333" s="3" t="n">
        <v>72.6</v>
      </c>
      <c r="O333" s="3" t="n">
        <v>56.594</v>
      </c>
      <c r="P333" s="3" t="n">
        <v>-156.43</v>
      </c>
      <c r="Q333" s="3" t="s">
        <v>944</v>
      </c>
      <c r="R333" s="3"/>
      <c r="S333" s="3"/>
      <c r="T333" s="5" t="n">
        <f aca="false">IF(C333="","",DATE(VALUE(MID(C333,7,4)),VALUE(MID(C333,4,2)),VALUE(MID(C333,1,2)))+TIME(VALUE(MID(C333,12,2)),VALUE(MID(C333,15,2)),0))</f>
        <v>42153.2916666667</v>
      </c>
      <c r="U333" s="3" t="str">
        <f aca="false">IFERROR(IF(ISNUMBER(VALUE(TRIM(MID(A333,FIND("-",A333)+1,FIND("km",A333)-FIND("-",A333)-1)))),"Distance + direction + city","Named-region"),"Named-region")</f>
        <v>Distance + direction + city</v>
      </c>
      <c r="V333" s="3" t="str">
        <f aca="false">LOWER(M333)</f>
        <v>mw</v>
      </c>
      <c r="W333" s="3" t="n">
        <f aca="false">COUNTIFS($A$2:$A$1001,A333,$C$2:$C$1001,C333)</f>
        <v>1</v>
      </c>
      <c r="X333" s="3" t="str">
        <f aca="false">IF(W333&gt;1,"Duplicate","Unique")</f>
        <v>Unique</v>
      </c>
      <c r="Y333" s="3" t="str">
        <f aca="false">IF(B333&lt;6.5,"&lt;6.5",IF(B333&lt;7,"6.5–6.9",IF(B333&lt;7.5,"7.0–7.4",IF(B333&lt;8,"7.5–7.9","8.0+"))))</f>
        <v>6.5–6.9</v>
      </c>
      <c r="Z333" s="3" t="n">
        <f aca="false">IF(T333="","",YEAR(T333))</f>
        <v>2015</v>
      </c>
    </row>
    <row r="334" customFormat="false" ht="13.8" hidden="false" customHeight="false" outlineLevel="0" collapsed="false">
      <c r="A334" s="3" t="s">
        <v>945</v>
      </c>
      <c r="B334" s="3" t="n">
        <v>6.8</v>
      </c>
      <c r="C334" s="3" t="s">
        <v>946</v>
      </c>
      <c r="D334" s="3" t="n">
        <v>1</v>
      </c>
      <c r="E334" s="3" t="n">
        <v>5</v>
      </c>
      <c r="F334" s="3" t="s">
        <v>21</v>
      </c>
      <c r="G334" s="3" t="n">
        <v>1</v>
      </c>
      <c r="H334" s="3" t="n">
        <v>711</v>
      </c>
      <c r="I334" s="3" t="s">
        <v>22</v>
      </c>
      <c r="J334" s="3" t="n">
        <v>0</v>
      </c>
      <c r="K334" s="3" t="n">
        <v>3.619</v>
      </c>
      <c r="L334" s="3" t="n">
        <v>18</v>
      </c>
      <c r="M334" s="3" t="s">
        <v>23</v>
      </c>
      <c r="N334" s="3" t="n">
        <v>10</v>
      </c>
      <c r="O334" s="3" t="n">
        <v>-11.1093</v>
      </c>
      <c r="P334" s="3" t="n">
        <v>163.215</v>
      </c>
      <c r="Q334" s="3" t="s">
        <v>581</v>
      </c>
      <c r="R334" s="3"/>
      <c r="S334" s="3"/>
      <c r="T334" s="5" t="n">
        <f aca="false">IF(C334="","",DATE(VALUE(MID(C334,7,4)),VALUE(MID(C334,4,2)),VALUE(MID(C334,1,2)))+TIME(VALUE(MID(C334,12,2)),VALUE(MID(C334,15,2)),0))</f>
        <v>42146.9993055556</v>
      </c>
      <c r="U334" s="3" t="str">
        <f aca="false">IFERROR(IF(ISNUMBER(VALUE(TRIM(MID(A334,FIND("-",A334)+1,FIND("km",A334)-FIND("-",A334)-1)))),"Distance + direction + city","Named-region"),"Named-region")</f>
        <v>Distance + direction + city</v>
      </c>
      <c r="V334" s="3" t="str">
        <f aca="false">LOWER(M334)</f>
        <v>mww</v>
      </c>
      <c r="W334" s="3" t="n">
        <f aca="false">COUNTIFS($A$2:$A$1001,A334,$C$2:$C$1001,C334)</f>
        <v>1</v>
      </c>
      <c r="X334" s="3" t="str">
        <f aca="false">IF(W334&gt;1,"Duplicate","Unique")</f>
        <v>Unique</v>
      </c>
      <c r="Y334" s="3" t="str">
        <f aca="false">IF(B334&lt;6.5,"&lt;6.5",IF(B334&lt;7,"6.5–6.9",IF(B334&lt;7.5,"7.0–7.4",IF(B334&lt;8,"7.5–7.9","8.0+"))))</f>
        <v>6.5–6.9</v>
      </c>
      <c r="Z334" s="3" t="n">
        <f aca="false">IF(T334="","",YEAR(T334))</f>
        <v>2015</v>
      </c>
    </row>
    <row r="335" customFormat="false" ht="13.8" hidden="false" customHeight="false" outlineLevel="0" collapsed="false">
      <c r="A335" s="3" t="s">
        <v>947</v>
      </c>
      <c r="B335" s="3" t="n">
        <v>6.9</v>
      </c>
      <c r="C335" s="3" t="s">
        <v>948</v>
      </c>
      <c r="D335" s="3" t="n">
        <v>1</v>
      </c>
      <c r="E335" s="3" t="n">
        <v>4</v>
      </c>
      <c r="F335" s="3" t="s">
        <v>21</v>
      </c>
      <c r="G335" s="3" t="n">
        <v>1</v>
      </c>
      <c r="H335" s="3" t="n">
        <v>732</v>
      </c>
      <c r="I335" s="3" t="s">
        <v>22</v>
      </c>
      <c r="J335" s="3" t="n">
        <v>0</v>
      </c>
      <c r="K335" s="3" t="n">
        <v>4.024</v>
      </c>
      <c r="L335" s="3" t="n">
        <v>22</v>
      </c>
      <c r="M335" s="3" t="s">
        <v>23</v>
      </c>
      <c r="N335" s="3" t="n">
        <v>11.19</v>
      </c>
      <c r="O335" s="3" t="n">
        <v>-11.0559</v>
      </c>
      <c r="P335" s="3" t="n">
        <v>163.696</v>
      </c>
      <c r="Q335" s="3" t="s">
        <v>581</v>
      </c>
      <c r="R335" s="3"/>
      <c r="S335" s="3"/>
      <c r="T335" s="5" t="n">
        <f aca="false">IF(C335="","",DATE(VALUE(MID(C335,7,4)),VALUE(MID(C335,4,2)),VALUE(MID(C335,1,2)))+TIME(VALUE(MID(C335,12,2)),VALUE(MID(C335,15,2)),0))</f>
        <v>42146.90625</v>
      </c>
      <c r="U335" s="3" t="str">
        <f aca="false">IFERROR(IF(ISNUMBER(VALUE(TRIM(MID(A335,FIND("-",A335)+1,FIND("km",A335)-FIND("-",A335)-1)))),"Distance + direction + city","Named-region"),"Named-region")</f>
        <v>Distance + direction + city</v>
      </c>
      <c r="V335" s="3" t="str">
        <f aca="false">LOWER(M335)</f>
        <v>mww</v>
      </c>
      <c r="W335" s="3" t="n">
        <f aca="false">COUNTIFS($A$2:$A$1001,A335,$C$2:$C$1001,C335)</f>
        <v>1</v>
      </c>
      <c r="X335" s="3" t="str">
        <f aca="false">IF(W335&gt;1,"Duplicate","Unique")</f>
        <v>Unique</v>
      </c>
      <c r="Y335" s="3" t="str">
        <f aca="false">IF(B335&lt;6.5,"&lt;6.5",IF(B335&lt;7,"6.5–6.9",IF(B335&lt;7.5,"7.0–7.4",IF(B335&lt;8,"7.5–7.9","8.0+"))))</f>
        <v>6.5–6.9</v>
      </c>
      <c r="Z335" s="3" t="n">
        <f aca="false">IF(T335="","",YEAR(T335))</f>
        <v>2015</v>
      </c>
    </row>
    <row r="336" customFormat="false" ht="13.8" hidden="false" customHeight="false" outlineLevel="0" collapsed="false">
      <c r="A336" s="3" t="s">
        <v>949</v>
      </c>
      <c r="B336" s="3" t="n">
        <v>6.8</v>
      </c>
      <c r="C336" s="3" t="s">
        <v>950</v>
      </c>
      <c r="D336" s="3" t="n">
        <v>1</v>
      </c>
      <c r="E336" s="3" t="n">
        <v>4</v>
      </c>
      <c r="F336" s="3" t="s">
        <v>21</v>
      </c>
      <c r="G336" s="3" t="n">
        <v>1</v>
      </c>
      <c r="H336" s="3" t="n">
        <v>711</v>
      </c>
      <c r="I336" s="3" t="s">
        <v>22</v>
      </c>
      <c r="J336" s="3" t="n">
        <v>0</v>
      </c>
      <c r="K336" s="3" t="n">
        <v>4.395</v>
      </c>
      <c r="L336" s="3" t="n">
        <v>15</v>
      </c>
      <c r="M336" s="3" t="s">
        <v>23</v>
      </c>
      <c r="N336" s="3" t="n">
        <v>11</v>
      </c>
      <c r="O336" s="3" t="n">
        <v>-10.8759</v>
      </c>
      <c r="P336" s="3" t="n">
        <v>164.169</v>
      </c>
      <c r="Q336" s="3" t="s">
        <v>412</v>
      </c>
      <c r="R336" s="3"/>
      <c r="S336" s="3"/>
      <c r="T336" s="5" t="n">
        <f aca="false">IF(C336="","",DATE(VALUE(MID(C336,7,4)),VALUE(MID(C336,4,2)),VALUE(MID(C336,1,2)))+TIME(VALUE(MID(C336,12,2)),VALUE(MID(C336,15,2)),0))</f>
        <v>42144.95</v>
      </c>
      <c r="U336" s="3" t="str">
        <f aca="false">IFERROR(IF(ISNUMBER(VALUE(TRIM(MID(A336,FIND("-",A336)+1,FIND("km",A336)-FIND("-",A336)-1)))),"Distance + direction + city","Named-region"),"Named-region")</f>
        <v>Distance + direction + city</v>
      </c>
      <c r="V336" s="3" t="str">
        <f aca="false">LOWER(M336)</f>
        <v>mww</v>
      </c>
      <c r="W336" s="3" t="n">
        <f aca="false">COUNTIFS($A$2:$A$1001,A336,$C$2:$C$1001,C336)</f>
        <v>1</v>
      </c>
      <c r="X336" s="3" t="str">
        <f aca="false">IF(W336&gt;1,"Duplicate","Unique")</f>
        <v>Unique</v>
      </c>
      <c r="Y336" s="3" t="str">
        <f aca="false">IF(B336&lt;6.5,"&lt;6.5",IF(B336&lt;7,"6.5–6.9",IF(B336&lt;7.5,"7.0–7.4",IF(B336&lt;8,"7.5–7.9","8.0+"))))</f>
        <v>6.5–6.9</v>
      </c>
      <c r="Z336" s="3" t="n">
        <f aca="false">IF(T336="","",YEAR(T336))</f>
        <v>2015</v>
      </c>
    </row>
    <row r="337" customFormat="false" ht="13.8" hidden="false" customHeight="false" outlineLevel="0" collapsed="false">
      <c r="A337" s="3" t="s">
        <v>951</v>
      </c>
      <c r="B337" s="3" t="n">
        <v>6.8</v>
      </c>
      <c r="C337" s="6" t="s">
        <v>952</v>
      </c>
      <c r="D337" s="3" t="n">
        <v>8</v>
      </c>
      <c r="E337" s="3" t="n">
        <v>6</v>
      </c>
      <c r="F337" s="3" t="s">
        <v>21</v>
      </c>
      <c r="G337" s="3" t="n">
        <v>1</v>
      </c>
      <c r="H337" s="3" t="n">
        <v>831</v>
      </c>
      <c r="I337" s="3" t="s">
        <v>22</v>
      </c>
      <c r="J337" s="3" t="n">
        <v>0</v>
      </c>
      <c r="K337" s="3" t="n">
        <v>1.422</v>
      </c>
      <c r="L337" s="3" t="n">
        <v>8</v>
      </c>
      <c r="M337" s="3" t="s">
        <v>23</v>
      </c>
      <c r="N337" s="3" t="n">
        <v>35</v>
      </c>
      <c r="O337" s="3" t="n">
        <v>38.9056</v>
      </c>
      <c r="P337" s="3" t="n">
        <v>142.032</v>
      </c>
      <c r="Q337" s="3" t="s">
        <v>953</v>
      </c>
      <c r="R337" s="3" t="s">
        <v>80</v>
      </c>
      <c r="S337" s="3" t="s">
        <v>322</v>
      </c>
      <c r="T337" s="5" t="n">
        <f aca="false">IF(C337="","",DATE(VALUE(MID(C337,7,4)),VALUE(MID(C337,4,2)),VALUE(MID(C337,1,2)))+TIME(VALUE(MID(C337,12,2)),VALUE(MID(C337,15,2)),0))</f>
        <v>42136.8833333333</v>
      </c>
      <c r="U337" s="3" t="str">
        <f aca="false">IFERROR(IF(ISNUMBER(VALUE(TRIM(MID(A337,FIND("-",A337)+1,FIND("km",A337)-FIND("-",A337)-1)))),"Distance + direction + city","Named-region"),"Named-region")</f>
        <v>Distance + direction + city</v>
      </c>
      <c r="V337" s="3" t="str">
        <f aca="false">LOWER(M337)</f>
        <v>mww</v>
      </c>
      <c r="W337" s="3" t="n">
        <f aca="false">COUNTIFS($A$2:$A$1001,A337,$C$2:$C$1001,C337)</f>
        <v>1</v>
      </c>
      <c r="X337" s="3" t="str">
        <f aca="false">IF(W337&gt;1,"Duplicate","Unique")</f>
        <v>Unique</v>
      </c>
      <c r="Y337" s="3" t="str">
        <f aca="false">IF(B337&lt;6.5,"&lt;6.5",IF(B337&lt;7,"6.5–6.9",IF(B337&lt;7.5,"7.0–7.4",IF(B337&lt;8,"7.5–7.9","8.0+"))))</f>
        <v>6.5–6.9</v>
      </c>
      <c r="Z337" s="3" t="n">
        <f aca="false">IF(T337="","",YEAR(T337))</f>
        <v>2015</v>
      </c>
    </row>
    <row r="338" customFormat="false" ht="13.8" hidden="false" customHeight="false" outlineLevel="0" collapsed="false">
      <c r="A338" s="3" t="s">
        <v>954</v>
      </c>
      <c r="B338" s="3" t="n">
        <v>7.3</v>
      </c>
      <c r="C338" s="6" t="s">
        <v>955</v>
      </c>
      <c r="D338" s="3" t="n">
        <v>8</v>
      </c>
      <c r="E338" s="3" t="n">
        <v>7</v>
      </c>
      <c r="F338" s="3" t="s">
        <v>95</v>
      </c>
      <c r="G338" s="3" t="n">
        <v>0</v>
      </c>
      <c r="H338" s="3" t="n">
        <v>1563</v>
      </c>
      <c r="I338" s="3" t="s">
        <v>22</v>
      </c>
      <c r="J338" s="3" t="n">
        <v>0</v>
      </c>
      <c r="K338" s="3" t="n">
        <v>0.677</v>
      </c>
      <c r="L338" s="3" t="n">
        <v>11</v>
      </c>
      <c r="M338" s="3" t="s">
        <v>23</v>
      </c>
      <c r="N338" s="3" t="n">
        <v>15</v>
      </c>
      <c r="O338" s="3" t="n">
        <v>27.8087</v>
      </c>
      <c r="P338" s="3" t="n">
        <v>86.0655</v>
      </c>
      <c r="Q338" s="3" t="s">
        <v>956</v>
      </c>
      <c r="R338" s="3" t="s">
        <v>80</v>
      </c>
      <c r="S338" s="3" t="s">
        <v>956</v>
      </c>
      <c r="T338" s="5" t="n">
        <f aca="false">IF(C338="","",DATE(VALUE(MID(C338,7,4)),VALUE(MID(C338,4,2)),VALUE(MID(C338,1,2)))+TIME(VALUE(MID(C338,12,2)),VALUE(MID(C338,15,2)),0))</f>
        <v>42136.2951388889</v>
      </c>
      <c r="U338" s="3" t="str">
        <f aca="false">IFERROR(IF(ISNUMBER(VALUE(TRIM(MID(A338,FIND("-",A338)+1,FIND("km",A338)-FIND("-",A338)-1)))),"Distance + direction + city","Named-region"),"Named-region")</f>
        <v>Named-region</v>
      </c>
      <c r="V338" s="3" t="str">
        <f aca="false">LOWER(M338)</f>
        <v>mww</v>
      </c>
      <c r="W338" s="3" t="n">
        <f aca="false">COUNTIFS($A$2:$A$1001,A338,$C$2:$C$1001,C338)</f>
        <v>1</v>
      </c>
      <c r="X338" s="3" t="str">
        <f aca="false">IF(W338&gt;1,"Duplicate","Unique")</f>
        <v>Unique</v>
      </c>
      <c r="Y338" s="3" t="str">
        <f aca="false">IF(B338&lt;6.5,"&lt;6.5",IF(B338&lt;7,"6.5–6.9",IF(B338&lt;7.5,"7.0–7.4",IF(B338&lt;8,"7.5–7.9","8.0+"))))</f>
        <v>7.0–7.4</v>
      </c>
      <c r="Z338" s="3" t="n">
        <f aca="false">IF(T338="","",YEAR(T338))</f>
        <v>2015</v>
      </c>
    </row>
    <row r="339" customFormat="false" ht="13.8" hidden="false" customHeight="false" outlineLevel="0" collapsed="false">
      <c r="A339" s="3" t="s">
        <v>957</v>
      </c>
      <c r="B339" s="3" t="n">
        <v>7.1</v>
      </c>
      <c r="C339" s="6" t="s">
        <v>958</v>
      </c>
      <c r="D339" s="3" t="n">
        <v>1</v>
      </c>
      <c r="E339" s="3" t="n">
        <v>6</v>
      </c>
      <c r="F339" s="3" t="s">
        <v>21</v>
      </c>
      <c r="G339" s="3" t="n">
        <v>1</v>
      </c>
      <c r="H339" s="3" t="n">
        <v>776</v>
      </c>
      <c r="I339" s="3" t="s">
        <v>22</v>
      </c>
      <c r="J339" s="3" t="n">
        <v>0</v>
      </c>
      <c r="K339" s="3" t="n">
        <v>3.835</v>
      </c>
      <c r="L339" s="3" t="n">
        <v>11</v>
      </c>
      <c r="M339" s="3" t="s">
        <v>23</v>
      </c>
      <c r="N339" s="3" t="n">
        <v>10</v>
      </c>
      <c r="O339" s="3" t="n">
        <v>-7.2175</v>
      </c>
      <c r="P339" s="3" t="n">
        <v>154.557</v>
      </c>
      <c r="Q339" s="3" t="s">
        <v>736</v>
      </c>
      <c r="R339" s="3"/>
      <c r="S339" s="3"/>
      <c r="T339" s="5" t="n">
        <f aca="false">IF(C339="","",DATE(VALUE(MID(C339,7,4)),VALUE(MID(C339,4,2)),VALUE(MID(C339,1,2)))+TIME(VALUE(MID(C339,12,2)),VALUE(MID(C339,15,2)),0))</f>
        <v>42131.2986111111</v>
      </c>
      <c r="U339" s="3" t="str">
        <f aca="false">IFERROR(IF(ISNUMBER(VALUE(TRIM(MID(A339,FIND("-",A339)+1,FIND("km",A339)-FIND("-",A339)-1)))),"Distance + direction + city","Named-region"),"Named-region")</f>
        <v>Distance + direction + city</v>
      </c>
      <c r="V339" s="3" t="str">
        <f aca="false">LOWER(M339)</f>
        <v>mww</v>
      </c>
      <c r="W339" s="3" t="n">
        <f aca="false">COUNTIFS($A$2:$A$1001,A339,$C$2:$C$1001,C339)</f>
        <v>1</v>
      </c>
      <c r="X339" s="3" t="str">
        <f aca="false">IF(W339&gt;1,"Duplicate","Unique")</f>
        <v>Unique</v>
      </c>
      <c r="Y339" s="3" t="str">
        <f aca="false">IF(B339&lt;6.5,"&lt;6.5",IF(B339&lt;7,"6.5–6.9",IF(B339&lt;7.5,"7.0–7.4",IF(B339&lt;8,"7.5–7.9","8.0+"))))</f>
        <v>7.0–7.4</v>
      </c>
      <c r="Z339" s="3" t="n">
        <f aca="false">IF(T339="","",YEAR(T339))</f>
        <v>2015</v>
      </c>
    </row>
    <row r="340" customFormat="false" ht="13.8" hidden="false" customHeight="false" outlineLevel="0" collapsed="false">
      <c r="A340" s="3" t="s">
        <v>959</v>
      </c>
      <c r="B340" s="3" t="n">
        <v>7.5</v>
      </c>
      <c r="C340" s="6" t="s">
        <v>960</v>
      </c>
      <c r="D340" s="3" t="n">
        <v>7</v>
      </c>
      <c r="E340" s="3" t="n">
        <v>8</v>
      </c>
      <c r="F340" s="3" t="s">
        <v>21</v>
      </c>
      <c r="G340" s="3" t="n">
        <v>1</v>
      </c>
      <c r="H340" s="3" t="n">
        <v>869</v>
      </c>
      <c r="I340" s="3" t="s">
        <v>22</v>
      </c>
      <c r="J340" s="3" t="n">
        <v>0</v>
      </c>
      <c r="K340" s="3" t="n">
        <v>1.295</v>
      </c>
      <c r="L340" s="3" t="n">
        <v>22</v>
      </c>
      <c r="M340" s="3" t="s">
        <v>23</v>
      </c>
      <c r="N340" s="3" t="n">
        <v>55</v>
      </c>
      <c r="O340" s="3" t="n">
        <v>-5.4624</v>
      </c>
      <c r="P340" s="3" t="n">
        <v>151.875</v>
      </c>
      <c r="Q340" s="3" t="s">
        <v>625</v>
      </c>
      <c r="R340" s="3"/>
      <c r="S340" s="3" t="s">
        <v>85</v>
      </c>
      <c r="T340" s="5" t="n">
        <f aca="false">IF(C340="","",DATE(VALUE(MID(C340,7,4)),VALUE(MID(C340,4,2)),VALUE(MID(C340,1,2)))+TIME(VALUE(MID(C340,12,2)),VALUE(MID(C340,15,2)),0))</f>
        <v>42129.0722222222</v>
      </c>
      <c r="U340" s="3" t="str">
        <f aca="false">IFERROR(IF(ISNUMBER(VALUE(TRIM(MID(A340,FIND("-",A340)+1,FIND("km",A340)-FIND("-",A340)-1)))),"Distance + direction + city","Named-region"),"Named-region")</f>
        <v>Distance + direction + city</v>
      </c>
      <c r="V340" s="3" t="str">
        <f aca="false">LOWER(M340)</f>
        <v>mww</v>
      </c>
      <c r="W340" s="3" t="n">
        <f aca="false">COUNTIFS($A$2:$A$1001,A340,$C$2:$C$1001,C340)</f>
        <v>1</v>
      </c>
      <c r="X340" s="3" t="str">
        <f aca="false">IF(W340&gt;1,"Duplicate","Unique")</f>
        <v>Unique</v>
      </c>
      <c r="Y340" s="3" t="str">
        <f aca="false">IF(B340&lt;6.5,"&lt;6.5",IF(B340&lt;7,"6.5–6.9",IF(B340&lt;7.5,"7.0–7.4",IF(B340&lt;8,"7.5–7.9","8.0+"))))</f>
        <v>7.5–7.9</v>
      </c>
      <c r="Z340" s="3" t="n">
        <f aca="false">IF(T340="","",YEAR(T340))</f>
        <v>2015</v>
      </c>
    </row>
    <row r="341" customFormat="false" ht="13.8" hidden="false" customHeight="false" outlineLevel="0" collapsed="false">
      <c r="A341" s="3" t="s">
        <v>961</v>
      </c>
      <c r="B341" s="3" t="n">
        <v>6.8</v>
      </c>
      <c r="C341" s="6" t="s">
        <v>962</v>
      </c>
      <c r="D341" s="3" t="n">
        <v>5</v>
      </c>
      <c r="E341" s="3" t="n">
        <v>6</v>
      </c>
      <c r="F341" s="3" t="s">
        <v>21</v>
      </c>
      <c r="G341" s="3" t="n">
        <v>1</v>
      </c>
      <c r="H341" s="3" t="n">
        <v>714</v>
      </c>
      <c r="I341" s="3" t="s">
        <v>22</v>
      </c>
      <c r="J341" s="3" t="n">
        <v>0</v>
      </c>
      <c r="K341" s="3" t="n">
        <v>1.074</v>
      </c>
      <c r="L341" s="3" t="n">
        <v>23</v>
      </c>
      <c r="M341" s="3" t="s">
        <v>23</v>
      </c>
      <c r="N341" s="3" t="n">
        <v>44</v>
      </c>
      <c r="O341" s="3" t="n">
        <v>-5.2005</v>
      </c>
      <c r="P341" s="3" t="n">
        <v>151.777</v>
      </c>
      <c r="Q341" s="3" t="s">
        <v>625</v>
      </c>
      <c r="R341" s="3"/>
      <c r="S341" s="3" t="s">
        <v>85</v>
      </c>
      <c r="T341" s="5" t="n">
        <f aca="false">IF(C341="","",DATE(VALUE(MID(C341,7,4)),VALUE(MID(C341,4,2)),VALUE(MID(C341,1,2)))+TIME(VALUE(MID(C341,12,2)),VALUE(MID(C341,15,2)),0))</f>
        <v>42125.3375</v>
      </c>
      <c r="U341" s="3" t="str">
        <f aca="false">IFERROR(IF(ISNUMBER(VALUE(TRIM(MID(A341,FIND("-",A341)+1,FIND("km",A341)-FIND("-",A341)-1)))),"Distance + direction + city","Named-region"),"Named-region")</f>
        <v>Distance + direction + city</v>
      </c>
      <c r="V341" s="3" t="str">
        <f aca="false">LOWER(M341)</f>
        <v>mww</v>
      </c>
      <c r="W341" s="3" t="n">
        <f aca="false">COUNTIFS($A$2:$A$1001,A341,$C$2:$C$1001,C341)</f>
        <v>1</v>
      </c>
      <c r="X341" s="3" t="str">
        <f aca="false">IF(W341&gt;1,"Duplicate","Unique")</f>
        <v>Unique</v>
      </c>
      <c r="Y341" s="3" t="str">
        <f aca="false">IF(B341&lt;6.5,"&lt;6.5",IF(B341&lt;7,"6.5–6.9",IF(B341&lt;7.5,"7.0–7.4",IF(B341&lt;8,"7.5–7.9","8.0+"))))</f>
        <v>6.5–6.9</v>
      </c>
      <c r="Z341" s="3" t="n">
        <f aca="false">IF(T341="","",YEAR(T341))</f>
        <v>2015</v>
      </c>
    </row>
    <row r="342" customFormat="false" ht="13.8" hidden="false" customHeight="false" outlineLevel="0" collapsed="false">
      <c r="A342" s="3" t="s">
        <v>963</v>
      </c>
      <c r="B342" s="3" t="n">
        <v>6.7</v>
      </c>
      <c r="C342" s="3" t="s">
        <v>964</v>
      </c>
      <c r="D342" s="3" t="n">
        <v>5</v>
      </c>
      <c r="E342" s="3" t="n">
        <v>6</v>
      </c>
      <c r="F342" s="3" t="s">
        <v>21</v>
      </c>
      <c r="G342" s="3" t="n">
        <v>1</v>
      </c>
      <c r="H342" s="3" t="n">
        <v>692</v>
      </c>
      <c r="I342" s="3" t="s">
        <v>22</v>
      </c>
      <c r="J342" s="3" t="n">
        <v>0</v>
      </c>
      <c r="K342" s="3" t="n">
        <v>1.239</v>
      </c>
      <c r="L342" s="3" t="n">
        <v>12</v>
      </c>
      <c r="M342" s="3" t="s">
        <v>23</v>
      </c>
      <c r="N342" s="3" t="n">
        <v>31</v>
      </c>
      <c r="O342" s="3" t="n">
        <v>-5.375</v>
      </c>
      <c r="P342" s="3" t="n">
        <v>151.771</v>
      </c>
      <c r="Q342" s="3" t="s">
        <v>625</v>
      </c>
      <c r="R342" s="3"/>
      <c r="S342" s="3" t="s">
        <v>85</v>
      </c>
      <c r="T342" s="5" t="n">
        <f aca="false">IF(C342="","",DATE(VALUE(MID(C342,7,4)),VALUE(MID(C342,4,2)),VALUE(MID(C342,1,2)))+TIME(VALUE(MID(C342,12,2)),VALUE(MID(C342,15,2)),0))</f>
        <v>42124.4479166667</v>
      </c>
      <c r="U342" s="3" t="str">
        <f aca="false">IFERROR(IF(ISNUMBER(VALUE(TRIM(MID(A342,FIND("-",A342)+1,FIND("km",A342)-FIND("-",A342)-1)))),"Distance + direction + city","Named-region"),"Named-region")</f>
        <v>Distance + direction + city</v>
      </c>
      <c r="V342" s="3" t="str">
        <f aca="false">LOWER(M342)</f>
        <v>mww</v>
      </c>
      <c r="W342" s="3" t="n">
        <f aca="false">COUNTIFS($A$2:$A$1001,A342,$C$2:$C$1001,C342)</f>
        <v>1</v>
      </c>
      <c r="X342" s="3" t="str">
        <f aca="false">IF(W342&gt;1,"Duplicate","Unique")</f>
        <v>Unique</v>
      </c>
      <c r="Y342" s="3" t="str">
        <f aca="false">IF(B342&lt;6.5,"&lt;6.5",IF(B342&lt;7,"6.5–6.9",IF(B342&lt;7.5,"7.0–7.4",IF(B342&lt;8,"7.5–7.9","8.0+"))))</f>
        <v>6.5–6.9</v>
      </c>
      <c r="Z342" s="3" t="n">
        <f aca="false">IF(T342="","",YEAR(T342))</f>
        <v>2015</v>
      </c>
    </row>
    <row r="343" customFormat="false" ht="13.8" hidden="false" customHeight="false" outlineLevel="0" collapsed="false">
      <c r="A343" s="3" t="s">
        <v>965</v>
      </c>
      <c r="B343" s="3" t="n">
        <v>6.7</v>
      </c>
      <c r="C343" s="3" t="s">
        <v>966</v>
      </c>
      <c r="D343" s="3" t="n">
        <v>7</v>
      </c>
      <c r="E343" s="3" t="n">
        <v>7</v>
      </c>
      <c r="F343" s="3" t="s">
        <v>28</v>
      </c>
      <c r="G343" s="3" t="n">
        <v>0</v>
      </c>
      <c r="H343" s="3" t="n">
        <v>1016</v>
      </c>
      <c r="I343" s="3" t="s">
        <v>22</v>
      </c>
      <c r="J343" s="3" t="n">
        <v>0</v>
      </c>
      <c r="K343" s="3" t="n">
        <v>0.727</v>
      </c>
      <c r="L343" s="3" t="n">
        <v>13</v>
      </c>
      <c r="M343" s="3" t="s">
        <v>23</v>
      </c>
      <c r="N343" s="3" t="n">
        <v>22.91</v>
      </c>
      <c r="O343" s="3" t="n">
        <v>27.7711</v>
      </c>
      <c r="P343" s="3" t="n">
        <v>86.0173</v>
      </c>
      <c r="Q343" s="3" t="s">
        <v>967</v>
      </c>
      <c r="R343" s="3" t="s">
        <v>80</v>
      </c>
      <c r="S343" s="3" t="s">
        <v>956</v>
      </c>
      <c r="T343" s="5" t="n">
        <f aca="false">IF(C343="","",DATE(VALUE(MID(C343,7,4)),VALUE(MID(C343,4,2)),VALUE(MID(C343,1,2)))+TIME(VALUE(MID(C343,12,2)),VALUE(MID(C343,15,2)),0))</f>
        <v>42120.2979166667</v>
      </c>
      <c r="U343" s="3" t="str">
        <f aca="false">IFERROR(IF(ISNUMBER(VALUE(TRIM(MID(A343,FIND("-",A343)+1,FIND("km",A343)-FIND("-",A343)-1)))),"Distance + direction + city","Named-region"),"Named-region")</f>
        <v>Distance + direction + city</v>
      </c>
      <c r="V343" s="3" t="str">
        <f aca="false">LOWER(M343)</f>
        <v>mww</v>
      </c>
      <c r="W343" s="3" t="n">
        <f aca="false">COUNTIFS($A$2:$A$1001,A343,$C$2:$C$1001,C343)</f>
        <v>1</v>
      </c>
      <c r="X343" s="3" t="str">
        <f aca="false">IF(W343&gt;1,"Duplicate","Unique")</f>
        <v>Unique</v>
      </c>
      <c r="Y343" s="3" t="str">
        <f aca="false">IF(B343&lt;6.5,"&lt;6.5",IF(B343&lt;7,"6.5–6.9",IF(B343&lt;7.5,"7.0–7.4",IF(B343&lt;8,"7.5–7.9","8.0+"))))</f>
        <v>6.5–6.9</v>
      </c>
      <c r="Z343" s="3" t="n">
        <f aca="false">IF(T343="","",YEAR(T343))</f>
        <v>2015</v>
      </c>
    </row>
    <row r="344" customFormat="false" ht="13.8" hidden="false" customHeight="false" outlineLevel="0" collapsed="false">
      <c r="A344" s="3" t="s">
        <v>968</v>
      </c>
      <c r="B344" s="3" t="n">
        <v>6.6</v>
      </c>
      <c r="C344" s="3" t="s">
        <v>969</v>
      </c>
      <c r="D344" s="3" t="n">
        <v>8</v>
      </c>
      <c r="E344" s="3" t="n">
        <v>7</v>
      </c>
      <c r="F344" s="3" t="s">
        <v>28</v>
      </c>
      <c r="G344" s="3" t="n">
        <v>0</v>
      </c>
      <c r="H344" s="3" t="n">
        <v>733</v>
      </c>
      <c r="I344" s="3" t="s">
        <v>22</v>
      </c>
      <c r="J344" s="3" t="n">
        <v>0</v>
      </c>
      <c r="K344" s="3" t="n">
        <v>1.778</v>
      </c>
      <c r="L344" s="3" t="n">
        <v>16</v>
      </c>
      <c r="M344" s="3" t="s">
        <v>23</v>
      </c>
      <c r="N344" s="3" t="n">
        <v>10</v>
      </c>
      <c r="O344" s="3" t="n">
        <v>28.2244</v>
      </c>
      <c r="P344" s="3" t="n">
        <v>84.8216</v>
      </c>
      <c r="Q344" s="3" t="s">
        <v>970</v>
      </c>
      <c r="R344" s="3" t="s">
        <v>80</v>
      </c>
      <c r="S344" s="3" t="s">
        <v>956</v>
      </c>
      <c r="T344" s="5" t="n">
        <f aca="false">IF(C344="","",DATE(VALUE(MID(C344,7,4)),VALUE(MID(C344,4,2)),VALUE(MID(C344,1,2)))+TIME(VALUE(MID(C344,12,2)),VALUE(MID(C344,15,2)),0))</f>
        <v>42119.28125</v>
      </c>
      <c r="U344" s="3" t="str">
        <f aca="false">IFERROR(IF(ISNUMBER(VALUE(TRIM(MID(A344,FIND("-",A344)+1,FIND("km",A344)-FIND("-",A344)-1)))),"Distance + direction + city","Named-region"),"Named-region")</f>
        <v>Distance + direction + city</v>
      </c>
      <c r="V344" s="3" t="str">
        <f aca="false">LOWER(M344)</f>
        <v>mww</v>
      </c>
      <c r="W344" s="3" t="n">
        <f aca="false">COUNTIFS($A$2:$A$1001,A344,$C$2:$C$1001,C344)</f>
        <v>1</v>
      </c>
      <c r="X344" s="3" t="str">
        <f aca="false">IF(W344&gt;1,"Duplicate","Unique")</f>
        <v>Unique</v>
      </c>
      <c r="Y344" s="3" t="str">
        <f aca="false">IF(B344&lt;6.5,"&lt;6.5",IF(B344&lt;7,"6.5–6.9",IF(B344&lt;7.5,"7.0–7.4",IF(B344&lt;8,"7.5–7.9","8.0+"))))</f>
        <v>6.5–6.9</v>
      </c>
      <c r="Z344" s="3" t="n">
        <f aca="false">IF(T344="","",YEAR(T344))</f>
        <v>2015</v>
      </c>
    </row>
    <row r="345" customFormat="false" ht="13.8" hidden="false" customHeight="false" outlineLevel="0" collapsed="false">
      <c r="A345" s="3" t="s">
        <v>971</v>
      </c>
      <c r="B345" s="3" t="n">
        <v>7.8</v>
      </c>
      <c r="C345" s="3" t="s">
        <v>972</v>
      </c>
      <c r="D345" s="3" t="n">
        <v>8</v>
      </c>
      <c r="E345" s="3" t="n">
        <v>9</v>
      </c>
      <c r="F345" s="3" t="s">
        <v>121</v>
      </c>
      <c r="G345" s="3" t="n">
        <v>0</v>
      </c>
      <c r="H345" s="3" t="n">
        <v>2820</v>
      </c>
      <c r="I345" s="3" t="s">
        <v>22</v>
      </c>
      <c r="J345" s="3" t="n">
        <v>0</v>
      </c>
      <c r="K345" s="3" t="n">
        <v>1.857</v>
      </c>
      <c r="L345" s="3" t="n">
        <v>12</v>
      </c>
      <c r="M345" s="3" t="s">
        <v>23</v>
      </c>
      <c r="N345" s="3" t="n">
        <v>8.22</v>
      </c>
      <c r="O345" s="3" t="n">
        <v>28.2305</v>
      </c>
      <c r="P345" s="3" t="n">
        <v>84.7314</v>
      </c>
      <c r="Q345" s="3" t="s">
        <v>970</v>
      </c>
      <c r="R345" s="3" t="s">
        <v>80</v>
      </c>
      <c r="S345" s="3" t="s">
        <v>956</v>
      </c>
      <c r="T345" s="5" t="n">
        <f aca="false">IF(C345="","",DATE(VALUE(MID(C345,7,4)),VALUE(MID(C345,4,2)),VALUE(MID(C345,1,2)))+TIME(VALUE(MID(C345,12,2)),VALUE(MID(C345,15,2)),0))</f>
        <v>42119.2576388889</v>
      </c>
      <c r="U345" s="3" t="str">
        <f aca="false">IFERROR(IF(ISNUMBER(VALUE(TRIM(MID(A345,FIND("-",A345)+1,FIND("km",A345)-FIND("-",A345)-1)))),"Distance + direction + city","Named-region"),"Named-region")</f>
        <v>Distance + direction + city</v>
      </c>
      <c r="V345" s="3" t="str">
        <f aca="false">LOWER(M345)</f>
        <v>mww</v>
      </c>
      <c r="W345" s="3" t="n">
        <f aca="false">COUNTIFS($A$2:$A$1001,A345,$C$2:$C$1001,C345)</f>
        <v>1</v>
      </c>
      <c r="X345" s="3" t="str">
        <f aca="false">IF(W345&gt;1,"Duplicate","Unique")</f>
        <v>Unique</v>
      </c>
      <c r="Y345" s="3" t="str">
        <f aca="false">IF(B345&lt;6.5,"&lt;6.5",IF(B345&lt;7,"6.5–6.9",IF(B345&lt;7.5,"7.0–7.4",IF(B345&lt;8,"7.5–7.9","8.0+"))))</f>
        <v>7.5–7.9</v>
      </c>
      <c r="Z345" s="3" t="n">
        <f aca="false">IF(T345="","",YEAR(T345))</f>
        <v>2015</v>
      </c>
    </row>
    <row r="346" customFormat="false" ht="13.8" hidden="false" customHeight="false" outlineLevel="0" collapsed="false">
      <c r="A346" s="3" t="s">
        <v>973</v>
      </c>
      <c r="B346" s="3" t="n">
        <v>6.5</v>
      </c>
      <c r="C346" s="3" t="s">
        <v>974</v>
      </c>
      <c r="D346" s="3" t="n">
        <v>0</v>
      </c>
      <c r="E346" s="3" t="n">
        <v>5</v>
      </c>
      <c r="F346" s="3" t="s">
        <v>21</v>
      </c>
      <c r="G346" s="3" t="n">
        <v>1</v>
      </c>
      <c r="H346" s="3" t="n">
        <v>650</v>
      </c>
      <c r="I346" s="3" t="s">
        <v>22</v>
      </c>
      <c r="J346" s="3" t="n">
        <v>0</v>
      </c>
      <c r="K346" s="3" t="n">
        <v>3.702</v>
      </c>
      <c r="L346" s="3" t="n">
        <v>42</v>
      </c>
      <c r="M346" s="3" t="s">
        <v>23</v>
      </c>
      <c r="N346" s="3" t="n">
        <v>10</v>
      </c>
      <c r="O346" s="3" t="n">
        <v>-15.8815</v>
      </c>
      <c r="P346" s="3" t="n">
        <v>-178.6</v>
      </c>
      <c r="Q346" s="3" t="s">
        <v>311</v>
      </c>
      <c r="R346" s="3"/>
      <c r="S346" s="3"/>
      <c r="T346" s="5" t="n">
        <f aca="false">IF(C346="","",DATE(VALUE(MID(C346,7,4)),VALUE(MID(C346,4,2)),VALUE(MID(C346,1,2)))+TIME(VALUE(MID(C346,12,2)),VALUE(MID(C346,15,2)),0))</f>
        <v>42111.6611111111</v>
      </c>
      <c r="U346" s="3" t="str">
        <f aca="false">IFERROR(IF(ISNUMBER(VALUE(TRIM(MID(A346,FIND("-",A346)+1,FIND("km",A346)-FIND("-",A346)-1)))),"Distance + direction + city","Named-region"),"Named-region")</f>
        <v>Distance + direction + city</v>
      </c>
      <c r="V346" s="3" t="str">
        <f aca="false">LOWER(M346)</f>
        <v>mww</v>
      </c>
      <c r="W346" s="3" t="n">
        <f aca="false">COUNTIFS($A$2:$A$1001,A346,$C$2:$C$1001,C346)</f>
        <v>1</v>
      </c>
      <c r="X346" s="3" t="str">
        <f aca="false">IF(W346&gt;1,"Duplicate","Unique")</f>
        <v>Unique</v>
      </c>
      <c r="Y346" s="3" t="str">
        <f aca="false">IF(B346&lt;6.5,"&lt;6.5",IF(B346&lt;7,"6.5–6.9",IF(B346&lt;7.5,"7.0–7.4",IF(B346&lt;8,"7.5–7.9","8.0+"))))</f>
        <v>6.5–6.9</v>
      </c>
      <c r="Z346" s="3" t="n">
        <f aca="false">IF(T346="","",YEAR(T346))</f>
        <v>2015</v>
      </c>
    </row>
    <row r="347" customFormat="false" ht="13.8" hidden="false" customHeight="false" outlineLevel="0" collapsed="false">
      <c r="A347" s="3" t="s">
        <v>975</v>
      </c>
      <c r="B347" s="3" t="n">
        <v>6.5</v>
      </c>
      <c r="C347" s="3" t="s">
        <v>976</v>
      </c>
      <c r="D347" s="3" t="n">
        <v>2</v>
      </c>
      <c r="E347" s="3" t="n">
        <v>5</v>
      </c>
      <c r="F347" s="3" t="s">
        <v>21</v>
      </c>
      <c r="G347" s="3" t="n">
        <v>1</v>
      </c>
      <c r="H347" s="3" t="n">
        <v>650</v>
      </c>
      <c r="I347" s="3" t="s">
        <v>22</v>
      </c>
      <c r="J347" s="3" t="n">
        <v>0</v>
      </c>
      <c r="K347" s="3" t="n">
        <v>4.629</v>
      </c>
      <c r="L347" s="3" t="n">
        <v>36</v>
      </c>
      <c r="M347" s="3" t="s">
        <v>23</v>
      </c>
      <c r="N347" s="3" t="n">
        <v>11</v>
      </c>
      <c r="O347" s="3" t="n">
        <v>-15.4994</v>
      </c>
      <c r="P347" s="3" t="n">
        <v>-173.029</v>
      </c>
      <c r="Q347" s="3" t="s">
        <v>62</v>
      </c>
      <c r="R347" s="3"/>
      <c r="S347" s="3"/>
      <c r="T347" s="5" t="n">
        <f aca="false">IF(C347="","",DATE(VALUE(MID(C347,7,4)),VALUE(MID(C347,4,2)),VALUE(MID(C347,1,2)))+TIME(VALUE(MID(C347,12,2)),VALUE(MID(C347,15,2)),0))</f>
        <v>42093.3666666667</v>
      </c>
      <c r="U347" s="3" t="str">
        <f aca="false">IFERROR(IF(ISNUMBER(VALUE(TRIM(MID(A347,FIND("-",A347)+1,FIND("km",A347)-FIND("-",A347)-1)))),"Distance + direction + city","Named-region"),"Named-region")</f>
        <v>Distance + direction + city</v>
      </c>
      <c r="V347" s="3" t="str">
        <f aca="false">LOWER(M347)</f>
        <v>mww</v>
      </c>
      <c r="W347" s="3" t="n">
        <f aca="false">COUNTIFS($A$2:$A$1001,A347,$C$2:$C$1001,C347)</f>
        <v>1</v>
      </c>
      <c r="X347" s="3" t="str">
        <f aca="false">IF(W347&gt;1,"Duplicate","Unique")</f>
        <v>Unique</v>
      </c>
      <c r="Y347" s="3" t="str">
        <f aca="false">IF(B347&lt;6.5,"&lt;6.5",IF(B347&lt;7,"6.5–6.9",IF(B347&lt;7.5,"7.0–7.4",IF(B347&lt;8,"7.5–7.9","8.0+"))))</f>
        <v>6.5–6.9</v>
      </c>
      <c r="Z347" s="3" t="n">
        <f aca="false">IF(T347="","",YEAR(T347))</f>
        <v>2015</v>
      </c>
    </row>
    <row r="348" customFormat="false" ht="13.8" hidden="false" customHeight="false" outlineLevel="0" collapsed="false">
      <c r="A348" s="3" t="s">
        <v>977</v>
      </c>
      <c r="B348" s="3" t="n">
        <v>7.5</v>
      </c>
      <c r="C348" s="3" t="s">
        <v>978</v>
      </c>
      <c r="D348" s="3" t="n">
        <v>6</v>
      </c>
      <c r="E348" s="3" t="n">
        <v>7</v>
      </c>
      <c r="F348" s="3" t="s">
        <v>21</v>
      </c>
      <c r="G348" s="3" t="n">
        <v>1</v>
      </c>
      <c r="H348" s="3" t="n">
        <v>872</v>
      </c>
      <c r="I348" s="3" t="s">
        <v>22</v>
      </c>
      <c r="J348" s="3" t="n">
        <v>0</v>
      </c>
      <c r="K348" s="3" t="n">
        <v>0.666</v>
      </c>
      <c r="L348" s="3" t="n">
        <v>19</v>
      </c>
      <c r="M348" s="3" t="s">
        <v>23</v>
      </c>
      <c r="N348" s="3" t="n">
        <v>41</v>
      </c>
      <c r="O348" s="3" t="n">
        <v>-4.7294</v>
      </c>
      <c r="P348" s="3" t="n">
        <v>152.562</v>
      </c>
      <c r="Q348" s="3" t="s">
        <v>625</v>
      </c>
      <c r="R348" s="3"/>
      <c r="S348" s="3" t="s">
        <v>85</v>
      </c>
      <c r="T348" s="5" t="n">
        <f aca="false">IF(C348="","",DATE(VALUE(MID(C348,7,4)),VALUE(MID(C348,4,2)),VALUE(MID(C348,1,2)))+TIME(VALUE(MID(C348,12,2)),VALUE(MID(C348,15,2)),0))</f>
        <v>42092.9916666667</v>
      </c>
      <c r="U348" s="3" t="str">
        <f aca="false">IFERROR(IF(ISNUMBER(VALUE(TRIM(MID(A348,FIND("-",A348)+1,FIND("km",A348)-FIND("-",A348)-1)))),"Distance + direction + city","Named-region"),"Named-region")</f>
        <v>Distance + direction + city</v>
      </c>
      <c r="V348" s="3" t="str">
        <f aca="false">LOWER(M348)</f>
        <v>mww</v>
      </c>
      <c r="W348" s="3" t="n">
        <f aca="false">COUNTIFS($A$2:$A$1001,A348,$C$2:$C$1001,C348)</f>
        <v>1</v>
      </c>
      <c r="X348" s="3" t="str">
        <f aca="false">IF(W348&gt;1,"Duplicate","Unique")</f>
        <v>Unique</v>
      </c>
      <c r="Y348" s="3" t="str">
        <f aca="false">IF(B348&lt;6.5,"&lt;6.5",IF(B348&lt;7,"6.5–6.9",IF(B348&lt;7.5,"7.0–7.4",IF(B348&lt;8,"7.5–7.9","8.0+"))))</f>
        <v>7.5–7.9</v>
      </c>
      <c r="Z348" s="3" t="n">
        <f aca="false">IF(T348="","",YEAR(T348))</f>
        <v>2015</v>
      </c>
    </row>
    <row r="349" customFormat="false" ht="13.8" hidden="false" customHeight="false" outlineLevel="0" collapsed="false">
      <c r="A349" s="3" t="s">
        <v>979</v>
      </c>
      <c r="B349" s="3" t="n">
        <v>7</v>
      </c>
      <c r="C349" s="3" t="s">
        <v>980</v>
      </c>
      <c r="D349" s="3" t="n">
        <v>4</v>
      </c>
      <c r="E349" s="3" t="n">
        <v>6</v>
      </c>
      <c r="F349" s="3" t="s">
        <v>21</v>
      </c>
      <c r="G349" s="3" t="n">
        <v>0</v>
      </c>
      <c r="H349" s="3" t="n">
        <v>760</v>
      </c>
      <c r="I349" s="3" t="s">
        <v>22</v>
      </c>
      <c r="J349" s="3" t="n">
        <v>0</v>
      </c>
      <c r="K349" s="3" t="n">
        <v>1.362</v>
      </c>
      <c r="L349" s="3" t="n">
        <v>12</v>
      </c>
      <c r="M349" s="3" t="s">
        <v>23</v>
      </c>
      <c r="N349" s="3" t="n">
        <v>552.06</v>
      </c>
      <c r="O349" s="3" t="n">
        <v>-7.2968</v>
      </c>
      <c r="P349" s="3" t="n">
        <v>122.535</v>
      </c>
      <c r="Q349" s="3" t="s">
        <v>672</v>
      </c>
      <c r="R349" s="3"/>
      <c r="S349" s="3" t="s">
        <v>68</v>
      </c>
      <c r="T349" s="5" t="n">
        <f aca="false">IF(C349="","",DATE(VALUE(MID(C349,7,4)),VALUE(MID(C349,4,2)),VALUE(MID(C349,1,2)))+TIME(VALUE(MID(C349,12,2)),VALUE(MID(C349,15,2)),0))</f>
        <v>42062.5729166667</v>
      </c>
      <c r="U349" s="3" t="str">
        <f aca="false">IFERROR(IF(ISNUMBER(VALUE(TRIM(MID(A349,FIND("-",A349)+1,FIND("km",A349)-FIND("-",A349)-1)))),"Distance + direction + city","Named-region"),"Named-region")</f>
        <v>Distance + direction + city</v>
      </c>
      <c r="V349" s="3" t="str">
        <f aca="false">LOWER(M349)</f>
        <v>mww</v>
      </c>
      <c r="W349" s="3" t="n">
        <f aca="false">COUNTIFS($A$2:$A$1001,A349,$C$2:$C$1001,C349)</f>
        <v>1</v>
      </c>
      <c r="X349" s="3" t="str">
        <f aca="false">IF(W349&gt;1,"Duplicate","Unique")</f>
        <v>Unique</v>
      </c>
      <c r="Y349" s="3" t="str">
        <f aca="false">IF(B349&lt;6.5,"&lt;6.5",IF(B349&lt;7,"6.5–6.9",IF(B349&lt;7.5,"7.0–7.4",IF(B349&lt;8,"7.5–7.9","8.0+"))))</f>
        <v>7.0–7.4</v>
      </c>
      <c r="Z349" s="3" t="n">
        <f aca="false">IF(T349="","",YEAR(T349))</f>
        <v>2015</v>
      </c>
    </row>
    <row r="350" customFormat="false" ht="13.8" hidden="false" customHeight="false" outlineLevel="0" collapsed="false">
      <c r="A350" s="3" t="s">
        <v>981</v>
      </c>
      <c r="B350" s="3" t="n">
        <v>6.7</v>
      </c>
      <c r="C350" s="3" t="s">
        <v>982</v>
      </c>
      <c r="D350" s="3" t="n">
        <v>5</v>
      </c>
      <c r="E350" s="3" t="n">
        <v>5</v>
      </c>
      <c r="F350" s="3" t="s">
        <v>21</v>
      </c>
      <c r="G350" s="3" t="n">
        <v>1</v>
      </c>
      <c r="H350" s="3" t="n">
        <v>714</v>
      </c>
      <c r="I350" s="3" t="s">
        <v>22</v>
      </c>
      <c r="J350" s="3" t="n">
        <v>0</v>
      </c>
      <c r="K350" s="3" t="n">
        <v>1.925</v>
      </c>
      <c r="L350" s="3" t="n">
        <v>20</v>
      </c>
      <c r="M350" s="3" t="s">
        <v>23</v>
      </c>
      <c r="N350" s="3" t="n">
        <v>23</v>
      </c>
      <c r="O350" s="3" t="n">
        <v>39.8558</v>
      </c>
      <c r="P350" s="3" t="n">
        <v>142.881</v>
      </c>
      <c r="Q350" s="3" t="s">
        <v>983</v>
      </c>
      <c r="R350" s="3"/>
      <c r="S350" s="3"/>
      <c r="T350" s="5" t="n">
        <f aca="false">IF(C350="","",DATE(VALUE(MID(C350,7,4)),VALUE(MID(C350,4,2)),VALUE(MID(C350,1,2)))+TIME(VALUE(MID(C350,12,2)),VALUE(MID(C350,15,2)),0))</f>
        <v>42051.9625</v>
      </c>
      <c r="U350" s="3" t="str">
        <f aca="false">IFERROR(IF(ISNUMBER(VALUE(TRIM(MID(A350,FIND("-",A350)+1,FIND("km",A350)-FIND("-",A350)-1)))),"Distance + direction + city","Named-region"),"Named-region")</f>
        <v>Distance + direction + city</v>
      </c>
      <c r="V350" s="3" t="str">
        <f aca="false">LOWER(M350)</f>
        <v>mww</v>
      </c>
      <c r="W350" s="3" t="n">
        <f aca="false">COUNTIFS($A$2:$A$1001,A350,$C$2:$C$1001,C350)</f>
        <v>1</v>
      </c>
      <c r="X350" s="3" t="str">
        <f aca="false">IF(W350&gt;1,"Duplicate","Unique")</f>
        <v>Unique</v>
      </c>
      <c r="Y350" s="3" t="str">
        <f aca="false">IF(B350&lt;6.5,"&lt;6.5",IF(B350&lt;7,"6.5–6.9",IF(B350&lt;7.5,"7.0–7.4",IF(B350&lt;8,"7.5–7.9","8.0+"))))</f>
        <v>6.5–6.9</v>
      </c>
      <c r="Z350" s="3" t="n">
        <f aca="false">IF(T350="","",YEAR(T350))</f>
        <v>2015</v>
      </c>
    </row>
    <row r="351" customFormat="false" ht="13.8" hidden="false" customHeight="false" outlineLevel="0" collapsed="false">
      <c r="A351" s="3" t="s">
        <v>984</v>
      </c>
      <c r="B351" s="3" t="n">
        <v>6.7</v>
      </c>
      <c r="C351" s="6" t="s">
        <v>985</v>
      </c>
      <c r="D351" s="3" t="n">
        <v>4</v>
      </c>
      <c r="E351" s="3" t="n">
        <v>6</v>
      </c>
      <c r="F351" s="3" t="s">
        <v>21</v>
      </c>
      <c r="G351" s="3" t="n">
        <v>1</v>
      </c>
      <c r="H351" s="3" t="n">
        <v>700</v>
      </c>
      <c r="I351" s="3" t="s">
        <v>22</v>
      </c>
      <c r="J351" s="3" t="n">
        <v>0</v>
      </c>
      <c r="K351" s="3" t="n">
        <v>2.11</v>
      </c>
      <c r="L351" s="3" t="n">
        <v>16</v>
      </c>
      <c r="M351" s="3" t="s">
        <v>23</v>
      </c>
      <c r="N351" s="3" t="n">
        <v>223</v>
      </c>
      <c r="O351" s="3" t="n">
        <v>-23.1125</v>
      </c>
      <c r="P351" s="3" t="n">
        <v>-66.688</v>
      </c>
      <c r="Q351" s="3" t="s">
        <v>986</v>
      </c>
      <c r="R351" s="3" t="s">
        <v>33</v>
      </c>
      <c r="S351" s="3" t="s">
        <v>34</v>
      </c>
      <c r="T351" s="5" t="n">
        <f aca="false">IF(C351="","",DATE(VALUE(MID(C351,7,4)),VALUE(MID(C351,4,2)),VALUE(MID(C351,1,2)))+TIME(VALUE(MID(C351,12,2)),VALUE(MID(C351,15,2)),0))</f>
        <v>42046.7895833333</v>
      </c>
      <c r="U351" s="3" t="str">
        <f aca="false">IFERROR(IF(ISNUMBER(VALUE(TRIM(MID(A351,FIND("-",A351)+1,FIND("km",A351)-FIND("-",A351)-1)))),"Distance + direction + city","Named-region"),"Named-region")</f>
        <v>Distance + direction + city</v>
      </c>
      <c r="V351" s="3" t="str">
        <f aca="false">LOWER(M351)</f>
        <v>mww</v>
      </c>
      <c r="W351" s="3" t="n">
        <f aca="false">COUNTIFS($A$2:$A$1001,A351,$C$2:$C$1001,C351)</f>
        <v>1</v>
      </c>
      <c r="X351" s="3" t="str">
        <f aca="false">IF(W351&gt;1,"Duplicate","Unique")</f>
        <v>Unique</v>
      </c>
      <c r="Y351" s="3" t="str">
        <f aca="false">IF(B351&lt;6.5,"&lt;6.5",IF(B351&lt;7,"6.5–6.9",IF(B351&lt;7.5,"7.0–7.4",IF(B351&lt;8,"7.5–7.9","8.0+"))))</f>
        <v>6.5–6.9</v>
      </c>
      <c r="Z351" s="3" t="n">
        <f aca="false">IF(T351="","",YEAR(T351))</f>
        <v>2015</v>
      </c>
    </row>
    <row r="352" customFormat="false" ht="13.8" hidden="false" customHeight="false" outlineLevel="0" collapsed="false">
      <c r="A352" s="3" t="s">
        <v>987</v>
      </c>
      <c r="B352" s="3" t="n">
        <v>6.8</v>
      </c>
      <c r="C352" s="3" t="s">
        <v>988</v>
      </c>
      <c r="D352" s="3" t="n">
        <v>1</v>
      </c>
      <c r="E352" s="3" t="n">
        <v>4</v>
      </c>
      <c r="F352" s="3" t="s">
        <v>21</v>
      </c>
      <c r="G352" s="3" t="n">
        <v>1</v>
      </c>
      <c r="H352" s="3" t="n">
        <v>711</v>
      </c>
      <c r="I352" s="3" t="s">
        <v>22</v>
      </c>
      <c r="J352" s="3" t="n">
        <v>0</v>
      </c>
      <c r="K352" s="3" t="n">
        <v>2.019</v>
      </c>
      <c r="L352" s="3" t="n">
        <v>13</v>
      </c>
      <c r="M352" s="3" t="s">
        <v>23</v>
      </c>
      <c r="N352" s="3" t="n">
        <v>219.96</v>
      </c>
      <c r="O352" s="3" t="n">
        <v>-17.0309</v>
      </c>
      <c r="P352" s="3" t="n">
        <v>168.52</v>
      </c>
      <c r="Q352" s="3" t="s">
        <v>989</v>
      </c>
      <c r="R352" s="3"/>
      <c r="S352" s="3" t="s">
        <v>25</v>
      </c>
      <c r="T352" s="5" t="n">
        <f aca="false">IF(C352="","",DATE(VALUE(MID(C352,7,4)),VALUE(MID(C352,4,2)),VALUE(MID(C352,1,2)))+TIME(VALUE(MID(C352,12,2)),VALUE(MID(C352,15,2)),0))</f>
        <v>42027.1576388889</v>
      </c>
      <c r="U352" s="3" t="str">
        <f aca="false">IFERROR(IF(ISNUMBER(VALUE(TRIM(MID(A352,FIND("-",A352)+1,FIND("km",A352)-FIND("-",A352)-1)))),"Distance + direction + city","Named-region"),"Named-region")</f>
        <v>Distance + direction + city</v>
      </c>
      <c r="V352" s="3" t="str">
        <f aca="false">LOWER(M352)</f>
        <v>mww</v>
      </c>
      <c r="W352" s="3" t="n">
        <f aca="false">COUNTIFS($A$2:$A$1001,A352,$C$2:$C$1001,C352)</f>
        <v>1</v>
      </c>
      <c r="X352" s="3" t="str">
        <f aca="false">IF(W352&gt;1,"Duplicate","Unique")</f>
        <v>Unique</v>
      </c>
      <c r="Y352" s="3" t="str">
        <f aca="false">IF(B352&lt;6.5,"&lt;6.5",IF(B352&lt;7,"6.5–6.9",IF(B352&lt;7.5,"7.0–7.4",IF(B352&lt;8,"7.5–7.9","8.0+"))))</f>
        <v>6.5–6.9</v>
      </c>
      <c r="Z352" s="3" t="n">
        <f aca="false">IF(T352="","",YEAR(T352))</f>
        <v>2015</v>
      </c>
    </row>
    <row r="353" customFormat="false" ht="13.8" hidden="false" customHeight="false" outlineLevel="0" collapsed="false">
      <c r="A353" s="3" t="s">
        <v>990</v>
      </c>
      <c r="B353" s="3" t="n">
        <v>6.5</v>
      </c>
      <c r="C353" s="6" t="s">
        <v>991</v>
      </c>
      <c r="D353" s="3" t="n">
        <v>1</v>
      </c>
      <c r="E353" s="3" t="n">
        <v>4</v>
      </c>
      <c r="F353" s="3" t="s">
        <v>21</v>
      </c>
      <c r="G353" s="3" t="n">
        <v>1</v>
      </c>
      <c r="H353" s="3" t="n">
        <v>650</v>
      </c>
      <c r="I353" s="3" t="s">
        <v>22</v>
      </c>
      <c r="J353" s="3" t="n">
        <v>0</v>
      </c>
      <c r="K353" s="3" t="n">
        <v>4.318</v>
      </c>
      <c r="L353" s="3" t="n">
        <v>61</v>
      </c>
      <c r="M353" s="3" t="s">
        <v>23</v>
      </c>
      <c r="N353" s="3" t="n">
        <v>8</v>
      </c>
      <c r="O353" s="3" t="n">
        <v>5.9045</v>
      </c>
      <c r="P353" s="3" t="n">
        <v>-82.6576</v>
      </c>
      <c r="Q353" s="3" t="s">
        <v>992</v>
      </c>
      <c r="R353" s="3"/>
      <c r="S353" s="3"/>
      <c r="T353" s="5" t="n">
        <f aca="false">IF(C353="","",DATE(VALUE(MID(C353,7,4)),VALUE(MID(C353,4,2)),VALUE(MID(C353,1,2)))+TIME(VALUE(MID(C353,12,2)),VALUE(MID(C353,15,2)),0))</f>
        <v>42011.2131944444</v>
      </c>
      <c r="U353" s="3" t="str">
        <f aca="false">IFERROR(IF(ISNUMBER(VALUE(TRIM(MID(A353,FIND("-",A353)+1,FIND("km",A353)-FIND("-",A353)-1)))),"Distance + direction + city","Named-region"),"Named-region")</f>
        <v>Distance + direction + city</v>
      </c>
      <c r="V353" s="3" t="str">
        <f aca="false">LOWER(M353)</f>
        <v>mww</v>
      </c>
      <c r="W353" s="3" t="n">
        <f aca="false">COUNTIFS($A$2:$A$1001,A353,$C$2:$C$1001,C353)</f>
        <v>1</v>
      </c>
      <c r="X353" s="3" t="str">
        <f aca="false">IF(W353&gt;1,"Duplicate","Unique")</f>
        <v>Unique</v>
      </c>
      <c r="Y353" s="3" t="str">
        <f aca="false">IF(B353&lt;6.5,"&lt;6.5",IF(B353&lt;7,"6.5–6.9",IF(B353&lt;7.5,"7.0–7.4",IF(B353&lt;8,"7.5–7.9","8.0+"))))</f>
        <v>6.5–6.9</v>
      </c>
      <c r="Z353" s="3" t="n">
        <f aca="false">IF(T353="","",YEAR(T353))</f>
        <v>2015</v>
      </c>
    </row>
    <row r="354" customFormat="false" ht="13.8" hidden="false" customHeight="false" outlineLevel="0" collapsed="false">
      <c r="A354" s="3" t="s">
        <v>993</v>
      </c>
      <c r="B354" s="3" t="n">
        <v>6.6</v>
      </c>
      <c r="C354" s="6" t="s">
        <v>994</v>
      </c>
      <c r="D354" s="3" t="n">
        <v>7</v>
      </c>
      <c r="E354" s="3" t="n">
        <v>6</v>
      </c>
      <c r="F354" s="3" t="s">
        <v>21</v>
      </c>
      <c r="G354" s="3" t="n">
        <v>1</v>
      </c>
      <c r="H354" s="3" t="n">
        <v>709</v>
      </c>
      <c r="I354" s="3" t="s">
        <v>22</v>
      </c>
      <c r="J354" s="3" t="n">
        <v>0</v>
      </c>
      <c r="K354" s="3" t="n">
        <v>2.485</v>
      </c>
      <c r="L354" s="3" t="n">
        <v>43</v>
      </c>
      <c r="M354" s="3" t="s">
        <v>23</v>
      </c>
      <c r="N354" s="3" t="n">
        <v>20</v>
      </c>
      <c r="O354" s="3" t="n">
        <v>7.9401</v>
      </c>
      <c r="P354" s="3" t="n">
        <v>-82.6865</v>
      </c>
      <c r="Q354" s="3" t="s">
        <v>992</v>
      </c>
      <c r="R354" s="3"/>
      <c r="S354" s="3" t="s">
        <v>160</v>
      </c>
      <c r="T354" s="5" t="n">
        <f aca="false">IF(C354="","",DATE(VALUE(MID(C354,7,4)),VALUE(MID(C354,4,2)),VALUE(MID(C354,1,2)))+TIME(VALUE(MID(C354,12,2)),VALUE(MID(C354,15,2)),0))</f>
        <v>41981.3708333333</v>
      </c>
      <c r="U354" s="3" t="str">
        <f aca="false">IFERROR(IF(ISNUMBER(VALUE(TRIM(MID(A354,FIND("-",A354)+1,FIND("km",A354)-FIND("-",A354)-1)))),"Distance + direction + city","Named-region"),"Named-region")</f>
        <v>Distance + direction + city</v>
      </c>
      <c r="V354" s="3" t="str">
        <f aca="false">LOWER(M354)</f>
        <v>mww</v>
      </c>
      <c r="W354" s="3" t="n">
        <f aca="false">COUNTIFS($A$2:$A$1001,A354,$C$2:$C$1001,C354)</f>
        <v>1</v>
      </c>
      <c r="X354" s="3" t="str">
        <f aca="false">IF(W354&gt;1,"Duplicate","Unique")</f>
        <v>Unique</v>
      </c>
      <c r="Y354" s="3" t="str">
        <f aca="false">IF(B354&lt;6.5,"&lt;6.5",IF(B354&lt;7,"6.5–6.9",IF(B354&lt;7.5,"7.0–7.4",IF(B354&lt;8,"7.5–7.9","8.0+"))))</f>
        <v>6.5–6.9</v>
      </c>
      <c r="Z354" s="3" t="n">
        <f aca="false">IF(T354="","",YEAR(T354))</f>
        <v>2014</v>
      </c>
    </row>
    <row r="355" customFormat="false" ht="13.8" hidden="false" customHeight="false" outlineLevel="0" collapsed="false">
      <c r="A355" s="3" t="s">
        <v>995</v>
      </c>
      <c r="B355" s="3" t="n">
        <v>6.6</v>
      </c>
      <c r="C355" s="6" t="s">
        <v>996</v>
      </c>
      <c r="D355" s="3" t="n">
        <v>1</v>
      </c>
      <c r="E355" s="3" t="n">
        <v>5</v>
      </c>
      <c r="F355" s="3" t="s">
        <v>21</v>
      </c>
      <c r="G355" s="3" t="n">
        <v>1</v>
      </c>
      <c r="H355" s="3" t="n">
        <v>670</v>
      </c>
      <c r="I355" s="3" t="s">
        <v>22</v>
      </c>
      <c r="J355" s="3" t="n">
        <v>0</v>
      </c>
      <c r="K355" s="3" t="n">
        <v>3.246</v>
      </c>
      <c r="L355" s="3" t="n">
        <v>12</v>
      </c>
      <c r="M355" s="3" t="s">
        <v>23</v>
      </c>
      <c r="N355" s="3" t="n">
        <v>23</v>
      </c>
      <c r="O355" s="3" t="n">
        <v>-6.5108</v>
      </c>
      <c r="P355" s="3" t="n">
        <v>154.46</v>
      </c>
      <c r="Q355" s="3" t="s">
        <v>736</v>
      </c>
      <c r="R355" s="3"/>
      <c r="S355" s="3"/>
      <c r="T355" s="5" t="n">
        <f aca="false">IF(C355="","",DATE(VALUE(MID(C355,7,4)),VALUE(MID(C355,4,2)),VALUE(MID(C355,1,2)))+TIME(VALUE(MID(C355,12,2)),VALUE(MID(C355,15,2)),0))</f>
        <v>41980.0569444444</v>
      </c>
      <c r="U355" s="3" t="str">
        <f aca="false">IFERROR(IF(ISNUMBER(VALUE(TRIM(MID(A355,FIND("-",A355)+1,FIND("km",A355)-FIND("-",A355)-1)))),"Distance + direction + city","Named-region"),"Named-region")</f>
        <v>Distance + direction + city</v>
      </c>
      <c r="V355" s="3" t="str">
        <f aca="false">LOWER(M355)</f>
        <v>mww</v>
      </c>
      <c r="W355" s="3" t="n">
        <f aca="false">COUNTIFS($A$2:$A$1001,A355,$C$2:$C$1001,C355)</f>
        <v>1</v>
      </c>
      <c r="X355" s="3" t="str">
        <f aca="false">IF(W355&gt;1,"Duplicate","Unique")</f>
        <v>Unique</v>
      </c>
      <c r="Y355" s="3" t="str">
        <f aca="false">IF(B355&lt;6.5,"&lt;6.5",IF(B355&lt;7,"6.5–6.9",IF(B355&lt;7.5,"7.0–7.4",IF(B355&lt;8,"7.5–7.9","8.0+"))))</f>
        <v>6.5–6.9</v>
      </c>
      <c r="Z355" s="3" t="n">
        <f aca="false">IF(T355="","",YEAR(T355))</f>
        <v>2014</v>
      </c>
    </row>
    <row r="356" customFormat="false" ht="13.8" hidden="false" customHeight="false" outlineLevel="0" collapsed="false">
      <c r="A356" s="3" t="s">
        <v>997</v>
      </c>
      <c r="B356" s="3" t="n">
        <v>6.6</v>
      </c>
      <c r="C356" s="6" t="s">
        <v>998</v>
      </c>
      <c r="D356" s="3" t="n">
        <v>1</v>
      </c>
      <c r="E356" s="3" t="n">
        <v>3</v>
      </c>
      <c r="F356" s="3" t="s">
        <v>21</v>
      </c>
      <c r="G356" s="3" t="n">
        <v>0</v>
      </c>
      <c r="H356" s="3" t="n">
        <v>670</v>
      </c>
      <c r="I356" s="3" t="s">
        <v>22</v>
      </c>
      <c r="J356" s="3" t="n">
        <v>0</v>
      </c>
      <c r="K356" s="3" t="n">
        <v>2.6</v>
      </c>
      <c r="L356" s="3" t="n">
        <v>9</v>
      </c>
      <c r="M356" s="3" t="s">
        <v>23</v>
      </c>
      <c r="N356" s="3" t="n">
        <v>614</v>
      </c>
      <c r="O356" s="3" t="n">
        <v>6.1572</v>
      </c>
      <c r="P356" s="3" t="n">
        <v>123.126</v>
      </c>
      <c r="Q356" s="3" t="s">
        <v>999</v>
      </c>
      <c r="R356" s="3"/>
      <c r="S356" s="3" t="s">
        <v>191</v>
      </c>
      <c r="T356" s="5" t="n">
        <f aca="false">IF(C356="","",DATE(VALUE(MID(C356,7,4)),VALUE(MID(C356,4,2)),VALUE(MID(C356,1,2)))+TIME(VALUE(MID(C356,12,2)),VALUE(MID(C356,15,2)),0))</f>
        <v>41975.2159722222</v>
      </c>
      <c r="U356" s="3" t="str">
        <f aca="false">IFERROR(IF(ISNUMBER(VALUE(TRIM(MID(A356,FIND("-",A356)+1,FIND("km",A356)-FIND("-",A356)-1)))),"Distance + direction + city","Named-region"),"Named-region")</f>
        <v>Distance + direction + city</v>
      </c>
      <c r="V356" s="3" t="str">
        <f aca="false">LOWER(M356)</f>
        <v>mww</v>
      </c>
      <c r="W356" s="3" t="n">
        <f aca="false">COUNTIFS($A$2:$A$1001,A356,$C$2:$C$1001,C356)</f>
        <v>1</v>
      </c>
      <c r="X356" s="3" t="str">
        <f aca="false">IF(W356&gt;1,"Duplicate","Unique")</f>
        <v>Unique</v>
      </c>
      <c r="Y356" s="3" t="str">
        <f aca="false">IF(B356&lt;6.5,"&lt;6.5",IF(B356&lt;7,"6.5–6.9",IF(B356&lt;7.5,"7.0–7.4",IF(B356&lt;8,"7.5–7.9","8.0+"))))</f>
        <v>6.5–6.9</v>
      </c>
      <c r="Z356" s="3" t="n">
        <f aca="false">IF(T356="","",YEAR(T356))</f>
        <v>2014</v>
      </c>
    </row>
    <row r="357" customFormat="false" ht="13.8" hidden="false" customHeight="false" outlineLevel="0" collapsed="false">
      <c r="A357" s="3" t="s">
        <v>1000</v>
      </c>
      <c r="B357" s="3" t="n">
        <v>6.8</v>
      </c>
      <c r="C357" s="3" t="s">
        <v>1001</v>
      </c>
      <c r="D357" s="3" t="n">
        <v>6</v>
      </c>
      <c r="E357" s="3" t="n">
        <v>5</v>
      </c>
      <c r="F357" s="3" t="s">
        <v>21</v>
      </c>
      <c r="G357" s="3" t="n">
        <v>1</v>
      </c>
      <c r="H357" s="3" t="n">
        <v>713</v>
      </c>
      <c r="I357" s="3" t="s">
        <v>22</v>
      </c>
      <c r="J357" s="3" t="n">
        <v>0</v>
      </c>
      <c r="K357" s="3" t="n">
        <v>1.421</v>
      </c>
      <c r="L357" s="3" t="n">
        <v>19</v>
      </c>
      <c r="M357" s="3" t="s">
        <v>23</v>
      </c>
      <c r="N357" s="3" t="n">
        <v>39</v>
      </c>
      <c r="O357" s="3" t="n">
        <v>1.9604</v>
      </c>
      <c r="P357" s="3" t="n">
        <v>126.575</v>
      </c>
      <c r="Q357" s="3" t="s">
        <v>1002</v>
      </c>
      <c r="R357" s="3"/>
      <c r="S357" s="3" t="s">
        <v>68</v>
      </c>
      <c r="T357" s="5" t="n">
        <f aca="false">IF(C357="","",DATE(VALUE(MID(C357,7,4)),VALUE(MID(C357,4,2)),VALUE(MID(C357,1,2)))+TIME(VALUE(MID(C357,12,2)),VALUE(MID(C357,15,2)),0))</f>
        <v>41969.60625</v>
      </c>
      <c r="U357" s="3" t="str">
        <f aca="false">IFERROR(IF(ISNUMBER(VALUE(TRIM(MID(A357,FIND("-",A357)+1,FIND("km",A357)-FIND("-",A357)-1)))),"Distance + direction + city","Named-region"),"Named-region")</f>
        <v>Distance + direction + city</v>
      </c>
      <c r="V357" s="3" t="str">
        <f aca="false">LOWER(M357)</f>
        <v>mww</v>
      </c>
      <c r="W357" s="3" t="n">
        <f aca="false">COUNTIFS($A$2:$A$1001,A357,$C$2:$C$1001,C357)</f>
        <v>1</v>
      </c>
      <c r="X357" s="3" t="str">
        <f aca="false">IF(W357&gt;1,"Duplicate","Unique")</f>
        <v>Unique</v>
      </c>
      <c r="Y357" s="3" t="str">
        <f aca="false">IF(B357&lt;6.5,"&lt;6.5",IF(B357&lt;7,"6.5–6.9",IF(B357&lt;7.5,"7.0–7.4",IF(B357&lt;8,"7.5–7.9","8.0+"))))</f>
        <v>6.5–6.9</v>
      </c>
      <c r="Z357" s="3" t="n">
        <f aca="false">IF(T357="","",YEAR(T357))</f>
        <v>2014</v>
      </c>
    </row>
    <row r="358" customFormat="false" ht="13.8" hidden="false" customHeight="false" outlineLevel="0" collapsed="false">
      <c r="A358" s="3" t="s">
        <v>1003</v>
      </c>
      <c r="B358" s="3" t="n">
        <v>6.5</v>
      </c>
      <c r="C358" s="3" t="s">
        <v>1004</v>
      </c>
      <c r="D358" s="3" t="n">
        <v>5</v>
      </c>
      <c r="E358" s="3" t="n">
        <v>5</v>
      </c>
      <c r="F358" s="3" t="s">
        <v>21</v>
      </c>
      <c r="G358" s="3" t="n">
        <v>1</v>
      </c>
      <c r="H358" s="3" t="n">
        <v>652</v>
      </c>
      <c r="I358" s="3" t="s">
        <v>22</v>
      </c>
      <c r="J358" s="3" t="n">
        <v>0</v>
      </c>
      <c r="K358" s="3" t="n">
        <v>1.549</v>
      </c>
      <c r="L358" s="3" t="n">
        <v>9</v>
      </c>
      <c r="M358" s="3" t="s">
        <v>23</v>
      </c>
      <c r="N358" s="3" t="n">
        <v>35</v>
      </c>
      <c r="O358" s="3" t="n">
        <v>2.2999</v>
      </c>
      <c r="P358" s="3" t="n">
        <v>127.056</v>
      </c>
      <c r="Q358" s="3" t="s">
        <v>128</v>
      </c>
      <c r="R358" s="3"/>
      <c r="S358" s="3" t="s">
        <v>68</v>
      </c>
      <c r="T358" s="5" t="n">
        <f aca="false">IF(C358="","",DATE(VALUE(MID(C358,7,4)),VALUE(MID(C358,4,2)),VALUE(MID(C358,1,2)))+TIME(VALUE(MID(C358,12,2)),VALUE(MID(C358,15,2)),0))</f>
        <v>41964.4236111111</v>
      </c>
      <c r="U358" s="3" t="str">
        <f aca="false">IFERROR(IF(ISNUMBER(VALUE(TRIM(MID(A358,FIND("-",A358)+1,FIND("km",A358)-FIND("-",A358)-1)))),"Distance + direction + city","Named-region"),"Named-region")</f>
        <v>Distance + direction + city</v>
      </c>
      <c r="V358" s="3" t="str">
        <f aca="false">LOWER(M358)</f>
        <v>mww</v>
      </c>
      <c r="W358" s="3" t="n">
        <f aca="false">COUNTIFS($A$2:$A$1001,A358,$C$2:$C$1001,C358)</f>
        <v>1</v>
      </c>
      <c r="X358" s="3" t="str">
        <f aca="false">IF(W358&gt;1,"Duplicate","Unique")</f>
        <v>Unique</v>
      </c>
      <c r="Y358" s="3" t="str">
        <f aca="false">IF(B358&lt;6.5,"&lt;6.5",IF(B358&lt;7,"6.5–6.9",IF(B358&lt;7.5,"7.0–7.4",IF(B358&lt;8,"7.5–7.9","8.0+"))))</f>
        <v>6.5–6.9</v>
      </c>
      <c r="Z358" s="3" t="n">
        <f aca="false">IF(T358="","",YEAR(T358))</f>
        <v>2014</v>
      </c>
    </row>
    <row r="359" customFormat="false" ht="13.8" hidden="false" customHeight="false" outlineLevel="0" collapsed="false">
      <c r="A359" s="3" t="s">
        <v>1005</v>
      </c>
      <c r="B359" s="3" t="n">
        <v>6.7</v>
      </c>
      <c r="C359" s="3" t="s">
        <v>1006</v>
      </c>
      <c r="D359" s="3" t="n">
        <v>7</v>
      </c>
      <c r="E359" s="3" t="n">
        <v>4</v>
      </c>
      <c r="F359" s="3" t="s">
        <v>21</v>
      </c>
      <c r="G359" s="3" t="n">
        <v>1</v>
      </c>
      <c r="H359" s="3" t="n">
        <v>698</v>
      </c>
      <c r="I359" s="3" t="s">
        <v>22</v>
      </c>
      <c r="J359" s="3" t="n">
        <v>0</v>
      </c>
      <c r="K359" s="3" t="n">
        <v>1.079</v>
      </c>
      <c r="L359" s="3" t="n">
        <v>25</v>
      </c>
      <c r="M359" s="3" t="s">
        <v>23</v>
      </c>
      <c r="N359" s="3" t="n">
        <v>22</v>
      </c>
      <c r="O359" s="3" t="n">
        <v>-37.6478</v>
      </c>
      <c r="P359" s="3" t="n">
        <v>179.662</v>
      </c>
      <c r="Q359" s="3" t="s">
        <v>342</v>
      </c>
      <c r="R359" s="3"/>
      <c r="S359" s="3"/>
      <c r="T359" s="5" t="n">
        <f aca="false">IF(C359="","",DATE(VALUE(MID(C359,7,4)),VALUE(MID(C359,4,2)),VALUE(MID(C359,1,2)))+TIME(VALUE(MID(C359,12,2)),VALUE(MID(C359,15,2)),0))</f>
        <v>41959.9395833333</v>
      </c>
      <c r="U359" s="3" t="str">
        <f aca="false">IFERROR(IF(ISNUMBER(VALUE(TRIM(MID(A359,FIND("-",A359)+1,FIND("km",A359)-FIND("-",A359)-1)))),"Distance + direction + city","Named-region"),"Named-region")</f>
        <v>Distance + direction + city</v>
      </c>
      <c r="V359" s="3" t="str">
        <f aca="false">LOWER(M359)</f>
        <v>mww</v>
      </c>
      <c r="W359" s="3" t="n">
        <f aca="false">COUNTIFS($A$2:$A$1001,A359,$C$2:$C$1001,C359)</f>
        <v>1</v>
      </c>
      <c r="X359" s="3" t="str">
        <f aca="false">IF(W359&gt;1,"Duplicate","Unique")</f>
        <v>Unique</v>
      </c>
      <c r="Y359" s="3" t="str">
        <f aca="false">IF(B359&lt;6.5,"&lt;6.5",IF(B359&lt;7,"6.5–6.9",IF(B359&lt;7.5,"7.0–7.4",IF(B359&lt;8,"7.5–7.9","8.0+"))))</f>
        <v>6.5–6.9</v>
      </c>
      <c r="Z359" s="3" t="n">
        <f aca="false">IF(T359="","",YEAR(T359))</f>
        <v>2014</v>
      </c>
    </row>
    <row r="360" customFormat="false" ht="13.8" hidden="false" customHeight="false" outlineLevel="0" collapsed="false">
      <c r="A360" s="3" t="s">
        <v>1007</v>
      </c>
      <c r="B360" s="3" t="n">
        <v>7.1</v>
      </c>
      <c r="C360" s="3" t="s">
        <v>1008</v>
      </c>
      <c r="D360" s="3" t="n">
        <v>4</v>
      </c>
      <c r="E360" s="3" t="n">
        <v>6</v>
      </c>
      <c r="F360" s="3" t="s">
        <v>21</v>
      </c>
      <c r="G360" s="3" t="n">
        <v>1</v>
      </c>
      <c r="H360" s="3" t="n">
        <v>779</v>
      </c>
      <c r="I360" s="3" t="s">
        <v>22</v>
      </c>
      <c r="J360" s="3" t="n">
        <v>0</v>
      </c>
      <c r="K360" s="3" t="n">
        <v>1.397</v>
      </c>
      <c r="L360" s="3" t="n">
        <v>18</v>
      </c>
      <c r="M360" s="3" t="s">
        <v>23</v>
      </c>
      <c r="N360" s="3" t="n">
        <v>45</v>
      </c>
      <c r="O360" s="3" t="n">
        <v>1.8929</v>
      </c>
      <c r="P360" s="3" t="n">
        <v>126.522</v>
      </c>
      <c r="Q360" s="3" t="s">
        <v>1002</v>
      </c>
      <c r="R360" s="3"/>
      <c r="S360" s="3" t="s">
        <v>68</v>
      </c>
      <c r="T360" s="5" t="n">
        <f aca="false">IF(C360="","",DATE(VALUE(MID(C360,7,4)),VALUE(MID(C360,4,2)),VALUE(MID(C360,1,2)))+TIME(VALUE(MID(C360,12,2)),VALUE(MID(C360,15,2)),0))</f>
        <v>41958.1048611111</v>
      </c>
      <c r="U360" s="3" t="str">
        <f aca="false">IFERROR(IF(ISNUMBER(VALUE(TRIM(MID(A360,FIND("-",A360)+1,FIND("km",A360)-FIND("-",A360)-1)))),"Distance + direction + city","Named-region"),"Named-region")</f>
        <v>Distance + direction + city</v>
      </c>
      <c r="V360" s="3" t="str">
        <f aca="false">LOWER(M360)</f>
        <v>mww</v>
      </c>
      <c r="W360" s="3" t="n">
        <f aca="false">COUNTIFS($A$2:$A$1001,A360,$C$2:$C$1001,C360)</f>
        <v>1</v>
      </c>
      <c r="X360" s="3" t="str">
        <f aca="false">IF(W360&gt;1,"Duplicate","Unique")</f>
        <v>Unique</v>
      </c>
      <c r="Y360" s="3" t="str">
        <f aca="false">IF(B360&lt;6.5,"&lt;6.5",IF(B360&lt;7,"6.5–6.9",IF(B360&lt;7.5,"7.0–7.4",IF(B360&lt;8,"7.5–7.9","8.0+"))))</f>
        <v>7.0–7.4</v>
      </c>
      <c r="Z360" s="3" t="n">
        <f aca="false">IF(T360="","",YEAR(T360))</f>
        <v>2014</v>
      </c>
    </row>
    <row r="361" customFormat="false" ht="13.8" hidden="false" customHeight="false" outlineLevel="0" collapsed="false">
      <c r="A361" s="3" t="s">
        <v>1009</v>
      </c>
      <c r="B361" s="3" t="n">
        <v>6.6</v>
      </c>
      <c r="C361" s="6" t="s">
        <v>1010</v>
      </c>
      <c r="D361" s="3" t="n">
        <v>2</v>
      </c>
      <c r="E361" s="3" t="n">
        <v>6</v>
      </c>
      <c r="F361" s="3" t="s">
        <v>21</v>
      </c>
      <c r="G361" s="3" t="n">
        <v>1</v>
      </c>
      <c r="H361" s="3" t="n">
        <v>671</v>
      </c>
      <c r="I361" s="3" t="s">
        <v>22</v>
      </c>
      <c r="J361" s="3" t="n">
        <v>0</v>
      </c>
      <c r="K361" s="3" t="n">
        <v>3.557</v>
      </c>
      <c r="L361" s="3" t="n">
        <v>13</v>
      </c>
      <c r="M361" s="3" t="s">
        <v>23</v>
      </c>
      <c r="N361" s="3" t="n">
        <v>53.19</v>
      </c>
      <c r="O361" s="3" t="n">
        <v>-5.9873</v>
      </c>
      <c r="P361" s="3" t="n">
        <v>148.232</v>
      </c>
      <c r="Q361" s="3" t="s">
        <v>1011</v>
      </c>
      <c r="R361" s="3"/>
      <c r="S361" s="3" t="s">
        <v>85</v>
      </c>
      <c r="T361" s="5" t="n">
        <f aca="false">IF(C361="","",DATE(VALUE(MID(C361,7,4)),VALUE(MID(C361,4,2)),VALUE(MID(C361,1,2)))+TIME(VALUE(MID(C361,12,2)),VALUE(MID(C361,15,2)),0))</f>
        <v>41950.1479166667</v>
      </c>
      <c r="U361" s="3" t="str">
        <f aca="false">IFERROR(IF(ISNUMBER(VALUE(TRIM(MID(A361,FIND("-",A361)+1,FIND("km",A361)-FIND("-",A361)-1)))),"Distance + direction + city","Named-region"),"Named-region")</f>
        <v>Distance + direction + city</v>
      </c>
      <c r="V361" s="3" t="str">
        <f aca="false">LOWER(M361)</f>
        <v>mww</v>
      </c>
      <c r="W361" s="3" t="n">
        <f aca="false">COUNTIFS($A$2:$A$1001,A361,$C$2:$C$1001,C361)</f>
        <v>1</v>
      </c>
      <c r="X361" s="3" t="str">
        <f aca="false">IF(W361&gt;1,"Duplicate","Unique")</f>
        <v>Unique</v>
      </c>
      <c r="Y361" s="3" t="str">
        <f aca="false">IF(B361&lt;6.5,"&lt;6.5",IF(B361&lt;7,"6.5–6.9",IF(B361&lt;7.5,"7.0–7.4",IF(B361&lt;8,"7.5–7.9","8.0+"))))</f>
        <v>6.5–6.9</v>
      </c>
      <c r="Z361" s="3" t="n">
        <f aca="false">IF(T361="","",YEAR(T361))</f>
        <v>2014</v>
      </c>
    </row>
    <row r="362" customFormat="false" ht="13.8" hidden="false" customHeight="false" outlineLevel="0" collapsed="false">
      <c r="A362" s="3" t="s">
        <v>1012</v>
      </c>
      <c r="B362" s="3" t="n">
        <v>7.1</v>
      </c>
      <c r="C362" s="6" t="s">
        <v>1013</v>
      </c>
      <c r="D362" s="3" t="n">
        <v>3</v>
      </c>
      <c r="E362" s="3" t="n">
        <v>6</v>
      </c>
      <c r="F362" s="3" t="s">
        <v>21</v>
      </c>
      <c r="G362" s="3" t="n">
        <v>1</v>
      </c>
      <c r="H362" s="3" t="n">
        <v>776</v>
      </c>
      <c r="I362" s="3" t="s">
        <v>22</v>
      </c>
      <c r="J362" s="3" t="n">
        <v>0</v>
      </c>
      <c r="K362" s="3" t="n">
        <v>4.415</v>
      </c>
      <c r="L362" s="3" t="n">
        <v>13</v>
      </c>
      <c r="M362" s="3" t="s">
        <v>23</v>
      </c>
      <c r="N362" s="3" t="n">
        <v>434</v>
      </c>
      <c r="O362" s="3" t="n">
        <v>-19.6903</v>
      </c>
      <c r="P362" s="3" t="n">
        <v>-177.759</v>
      </c>
      <c r="Q362" s="3" t="s">
        <v>792</v>
      </c>
      <c r="R362" s="3"/>
      <c r="S362" s="3"/>
      <c r="T362" s="5" t="n">
        <f aca="false">IF(C362="","",DATE(VALUE(MID(C362,7,4)),VALUE(MID(C362,4,2)),VALUE(MID(C362,1,2)))+TIME(VALUE(MID(C362,12,2)),VALUE(MID(C362,15,2)),0))</f>
        <v>41944.7895833333</v>
      </c>
      <c r="U362" s="3" t="str">
        <f aca="false">IFERROR(IF(ISNUMBER(VALUE(TRIM(MID(A362,FIND("-",A362)+1,FIND("km",A362)-FIND("-",A362)-1)))),"Distance + direction + city","Named-region"),"Named-region")</f>
        <v>Named-region</v>
      </c>
      <c r="V362" s="3" t="str">
        <f aca="false">LOWER(M362)</f>
        <v>mww</v>
      </c>
      <c r="W362" s="3" t="n">
        <f aca="false">COUNTIFS($A$2:$A$1001,A362,$C$2:$C$1001,C362)</f>
        <v>1</v>
      </c>
      <c r="X362" s="3" t="str">
        <f aca="false">IF(W362&gt;1,"Duplicate","Unique")</f>
        <v>Unique</v>
      </c>
      <c r="Y362" s="3" t="str">
        <f aca="false">IF(B362&lt;6.5,"&lt;6.5",IF(B362&lt;7,"6.5–6.9",IF(B362&lt;7.5,"7.0–7.4",IF(B362&lt;8,"7.5–7.9","8.0+"))))</f>
        <v>7.0–7.4</v>
      </c>
      <c r="Z362" s="3" t="n">
        <f aca="false">IF(T362="","",YEAR(T362))</f>
        <v>2014</v>
      </c>
    </row>
    <row r="363" customFormat="false" ht="13.8" hidden="false" customHeight="false" outlineLevel="0" collapsed="false">
      <c r="A363" s="3" t="s">
        <v>1014</v>
      </c>
      <c r="B363" s="3" t="n">
        <v>7.3</v>
      </c>
      <c r="C363" s="3" t="s">
        <v>1015</v>
      </c>
      <c r="D363" s="3" t="n">
        <v>8</v>
      </c>
      <c r="E363" s="3" t="n">
        <v>6</v>
      </c>
      <c r="F363" s="3" t="s">
        <v>28</v>
      </c>
      <c r="G363" s="3" t="n">
        <v>1</v>
      </c>
      <c r="H363" s="3" t="n">
        <v>982</v>
      </c>
      <c r="I363" s="3" t="s">
        <v>22</v>
      </c>
      <c r="J363" s="3" t="n">
        <v>0</v>
      </c>
      <c r="K363" s="3" t="n">
        <v>1.078</v>
      </c>
      <c r="L363" s="3" t="n">
        <v>18</v>
      </c>
      <c r="M363" s="3" t="s">
        <v>23</v>
      </c>
      <c r="N363" s="3" t="n">
        <v>40</v>
      </c>
      <c r="O363" s="3" t="n">
        <v>12.5262</v>
      </c>
      <c r="P363" s="3" t="n">
        <v>-88.1225</v>
      </c>
      <c r="Q363" s="3" t="s">
        <v>29</v>
      </c>
      <c r="R363" s="3"/>
      <c r="S363" s="3"/>
      <c r="T363" s="5" t="n">
        <f aca="false">IF(C363="","",DATE(VALUE(MID(C363,7,4)),VALUE(MID(C363,4,2)),VALUE(MID(C363,1,2)))+TIME(VALUE(MID(C363,12,2)),VALUE(MID(C363,15,2)),0))</f>
        <v>41926.1604166667</v>
      </c>
      <c r="U363" s="3" t="str">
        <f aca="false">IFERROR(IF(ISNUMBER(VALUE(TRIM(MID(A363,FIND("-",A363)+1,FIND("km",A363)-FIND("-",A363)-1)))),"Distance + direction + city","Named-region"),"Named-region")</f>
        <v>Distance + direction + city</v>
      </c>
      <c r="V363" s="3" t="str">
        <f aca="false">LOWER(M363)</f>
        <v>mww</v>
      </c>
      <c r="W363" s="3" t="n">
        <f aca="false">COUNTIFS($A$2:$A$1001,A363,$C$2:$C$1001,C363)</f>
        <v>1</v>
      </c>
      <c r="X363" s="3" t="str">
        <f aca="false">IF(W363&gt;1,"Duplicate","Unique")</f>
        <v>Unique</v>
      </c>
      <c r="Y363" s="3" t="str">
        <f aca="false">IF(B363&lt;6.5,"&lt;6.5",IF(B363&lt;7,"6.5–6.9",IF(B363&lt;7.5,"7.0–7.4",IF(B363&lt;8,"7.5–7.9","8.0+"))))</f>
        <v>7.0–7.4</v>
      </c>
      <c r="Z363" s="3" t="n">
        <f aca="false">IF(T363="","",YEAR(T363))</f>
        <v>2014</v>
      </c>
    </row>
    <row r="364" customFormat="false" ht="13.8" hidden="false" customHeight="false" outlineLevel="0" collapsed="false">
      <c r="A364" s="3" t="s">
        <v>1016</v>
      </c>
      <c r="B364" s="3" t="n">
        <v>6.7</v>
      </c>
      <c r="C364" s="3" t="s">
        <v>1017</v>
      </c>
      <c r="D364" s="3" t="n">
        <v>5</v>
      </c>
      <c r="E364" s="3" t="n">
        <v>5</v>
      </c>
      <c r="F364" s="3" t="s">
        <v>21</v>
      </c>
      <c r="G364" s="3" t="n">
        <v>1</v>
      </c>
      <c r="H364" s="3" t="n">
        <v>724</v>
      </c>
      <c r="I364" s="3" t="s">
        <v>22</v>
      </c>
      <c r="J364" s="3" t="n">
        <v>0</v>
      </c>
      <c r="K364" s="3" t="n">
        <v>0.46</v>
      </c>
      <c r="L364" s="3" t="n">
        <v>11</v>
      </c>
      <c r="M364" s="3" t="s">
        <v>23</v>
      </c>
      <c r="N364" s="3" t="n">
        <v>130</v>
      </c>
      <c r="O364" s="3" t="n">
        <v>13.7641</v>
      </c>
      <c r="P364" s="3" t="n">
        <v>144.429</v>
      </c>
      <c r="Q364" s="3" t="s">
        <v>1018</v>
      </c>
      <c r="R364" s="3"/>
      <c r="S364" s="3"/>
      <c r="T364" s="5" t="n">
        <f aca="false">IF(C364="","",DATE(VALUE(MID(C364,7,4)),VALUE(MID(C364,4,2)),VALUE(MID(C364,1,2)))+TIME(VALUE(MID(C364,12,2)),VALUE(MID(C364,15,2)),0))</f>
        <v>41899.2597222222</v>
      </c>
      <c r="U364" s="3" t="str">
        <f aca="false">IFERROR(IF(ISNUMBER(VALUE(TRIM(MID(A364,FIND("-",A364)+1,FIND("km",A364)-FIND("-",A364)-1)))),"Distance + direction + city","Named-region"),"Named-region")</f>
        <v>Distance + direction + city</v>
      </c>
      <c r="V364" s="3" t="str">
        <f aca="false">LOWER(M364)</f>
        <v>mww</v>
      </c>
      <c r="W364" s="3" t="n">
        <f aca="false">COUNTIFS($A$2:$A$1001,A364,$C$2:$C$1001,C364)</f>
        <v>1</v>
      </c>
      <c r="X364" s="3" t="str">
        <f aca="false">IF(W364&gt;1,"Duplicate","Unique")</f>
        <v>Unique</v>
      </c>
      <c r="Y364" s="3" t="str">
        <f aca="false">IF(B364&lt;6.5,"&lt;6.5",IF(B364&lt;7,"6.5–6.9",IF(B364&lt;7.5,"7.0–7.4",IF(B364&lt;8,"7.5–7.9","8.0+"))))</f>
        <v>6.5–6.9</v>
      </c>
      <c r="Z364" s="3" t="n">
        <f aca="false">IF(T364="","",YEAR(T364))</f>
        <v>2014</v>
      </c>
    </row>
    <row r="365" customFormat="false" ht="13.8" hidden="false" customHeight="false" outlineLevel="0" collapsed="false">
      <c r="A365" s="3" t="s">
        <v>1019</v>
      </c>
      <c r="B365" s="3" t="n">
        <v>6.8</v>
      </c>
      <c r="C365" s="3" t="s">
        <v>1020</v>
      </c>
      <c r="D365" s="3" t="n">
        <v>6</v>
      </c>
      <c r="E365" s="3" t="n">
        <v>6</v>
      </c>
      <c r="F365" s="3" t="s">
        <v>21</v>
      </c>
      <c r="G365" s="3" t="n">
        <v>1</v>
      </c>
      <c r="H365" s="3" t="n">
        <v>741</v>
      </c>
      <c r="I365" s="3" t="s">
        <v>22</v>
      </c>
      <c r="J365" s="3" t="n">
        <v>0</v>
      </c>
      <c r="K365" s="3" t="n">
        <v>4.107</v>
      </c>
      <c r="L365" s="3" t="n">
        <v>18</v>
      </c>
      <c r="M365" s="3" t="s">
        <v>23</v>
      </c>
      <c r="N365" s="3" t="n">
        <v>101</v>
      </c>
      <c r="O365" s="3" t="n">
        <v>-14.598</v>
      </c>
      <c r="P365" s="3" t="n">
        <v>-73.5714</v>
      </c>
      <c r="Q365" s="3" t="s">
        <v>1021</v>
      </c>
      <c r="R365" s="3" t="s">
        <v>33</v>
      </c>
      <c r="S365" s="3" t="s">
        <v>199</v>
      </c>
      <c r="T365" s="5" t="n">
        <f aca="false">IF(C365="","",DATE(VALUE(MID(C365,7,4)),VALUE(MID(C365,4,2)),VALUE(MID(C365,1,2)))+TIME(VALUE(MID(C365,12,2)),VALUE(MID(C365,15,2)),0))</f>
        <v>41875.9729166667</v>
      </c>
      <c r="U365" s="3" t="str">
        <f aca="false">IFERROR(IF(ISNUMBER(VALUE(TRIM(MID(A365,FIND("-",A365)+1,FIND("km",A365)-FIND("-",A365)-1)))),"Distance + direction + city","Named-region"),"Named-region")</f>
        <v>Distance + direction + city</v>
      </c>
      <c r="V365" s="3" t="str">
        <f aca="false">LOWER(M365)</f>
        <v>mww</v>
      </c>
      <c r="W365" s="3" t="n">
        <f aca="false">COUNTIFS($A$2:$A$1001,A365,$C$2:$C$1001,C365)</f>
        <v>1</v>
      </c>
      <c r="X365" s="3" t="str">
        <f aca="false">IF(W365&gt;1,"Duplicate","Unique")</f>
        <v>Unique</v>
      </c>
      <c r="Y365" s="3" t="str">
        <f aca="false">IF(B365&lt;6.5,"&lt;6.5",IF(B365&lt;7,"6.5–6.9",IF(B365&lt;7.5,"7.0–7.4",IF(B365&lt;8,"7.5–7.9","8.0+"))))</f>
        <v>6.5–6.9</v>
      </c>
      <c r="Z365" s="3" t="n">
        <f aca="false">IF(T365="","",YEAR(T365))</f>
        <v>2014</v>
      </c>
    </row>
    <row r="366" customFormat="false" ht="13.8" hidden="false" customHeight="false" outlineLevel="0" collapsed="false">
      <c r="A366" s="3" t="s">
        <v>1022</v>
      </c>
      <c r="B366" s="3" t="n">
        <v>6.9</v>
      </c>
      <c r="C366" s="6" t="s">
        <v>1023</v>
      </c>
      <c r="D366" s="3" t="n">
        <v>0</v>
      </c>
      <c r="E366" s="3" t="n">
        <v>4</v>
      </c>
      <c r="F366" s="3" t="s">
        <v>21</v>
      </c>
      <c r="G366" s="3" t="n">
        <v>1</v>
      </c>
      <c r="H366" s="3" t="n">
        <v>732</v>
      </c>
      <c r="I366" s="3" t="s">
        <v>22</v>
      </c>
      <c r="J366" s="3" t="n">
        <v>0</v>
      </c>
      <c r="K366" s="3" t="n">
        <v>6.393</v>
      </c>
      <c r="L366" s="3" t="n">
        <v>12</v>
      </c>
      <c r="M366" s="3" t="s">
        <v>23</v>
      </c>
      <c r="N366" s="3" t="n">
        <v>13</v>
      </c>
      <c r="O366" s="3" t="n">
        <v>0.8295</v>
      </c>
      <c r="P366" s="3" t="n">
        <v>146.169</v>
      </c>
      <c r="Q366" s="3" t="s">
        <v>1024</v>
      </c>
      <c r="R366" s="3"/>
      <c r="S366" s="3"/>
      <c r="T366" s="5" t="n">
        <f aca="false">IF(C366="","",DATE(VALUE(MID(C366,7,4)),VALUE(MID(C366,4,2)),VALUE(MID(C366,1,2)))+TIME(VALUE(MID(C366,12,2)),VALUE(MID(C366,15,2)),0))</f>
        <v>41854.0152777778</v>
      </c>
      <c r="U366" s="3" t="str">
        <f aca="false">IFERROR(IF(ISNUMBER(VALUE(TRIM(MID(A366,FIND("-",A366)+1,FIND("km",A366)-FIND("-",A366)-1)))),"Distance + direction + city","Named-region"),"Named-region")</f>
        <v>Named-region</v>
      </c>
      <c r="V366" s="3" t="str">
        <f aca="false">LOWER(M366)</f>
        <v>mww</v>
      </c>
      <c r="W366" s="3" t="n">
        <f aca="false">COUNTIFS($A$2:$A$1001,A366,$C$2:$C$1001,C366)</f>
        <v>1</v>
      </c>
      <c r="X366" s="3" t="str">
        <f aca="false">IF(W366&gt;1,"Duplicate","Unique")</f>
        <v>Unique</v>
      </c>
      <c r="Y366" s="3" t="str">
        <f aca="false">IF(B366&lt;6.5,"&lt;6.5",IF(B366&lt;7,"6.5–6.9",IF(B366&lt;7.5,"7.0–7.4",IF(B366&lt;8,"7.5–7.9","8.0+"))))</f>
        <v>6.5–6.9</v>
      </c>
      <c r="Z366" s="3" t="n">
        <f aca="false">IF(T366="","",YEAR(T366))</f>
        <v>2014</v>
      </c>
    </row>
    <row r="367" customFormat="false" ht="13.8" hidden="false" customHeight="false" outlineLevel="0" collapsed="false">
      <c r="A367" s="3" t="s">
        <v>790</v>
      </c>
      <c r="B367" s="3" t="n">
        <v>6.9</v>
      </c>
      <c r="C367" s="3" t="s">
        <v>1025</v>
      </c>
      <c r="D367" s="3" t="n">
        <v>0</v>
      </c>
      <c r="E367" s="3" t="n">
        <v>6</v>
      </c>
      <c r="F367" s="3" t="s">
        <v>21</v>
      </c>
      <c r="G367" s="3" t="n">
        <v>1</v>
      </c>
      <c r="H367" s="3" t="n">
        <v>732</v>
      </c>
      <c r="I367" s="3" t="s">
        <v>22</v>
      </c>
      <c r="J367" s="3" t="n">
        <v>0</v>
      </c>
      <c r="K367" s="3" t="n">
        <v>3.934</v>
      </c>
      <c r="L367" s="3" t="n">
        <v>15</v>
      </c>
      <c r="M367" s="3" t="s">
        <v>23</v>
      </c>
      <c r="N367" s="3" t="n">
        <v>615.42</v>
      </c>
      <c r="O367" s="3" t="n">
        <v>-19.8015</v>
      </c>
      <c r="P367" s="3" t="n">
        <v>-178.4</v>
      </c>
      <c r="Q367" s="3" t="s">
        <v>792</v>
      </c>
      <c r="R367" s="3"/>
      <c r="S367" s="3" t="s">
        <v>146</v>
      </c>
      <c r="T367" s="5" t="n">
        <f aca="false">IF(C367="","",DATE(VALUE(MID(C367,7,4)),VALUE(MID(C367,4,2)),VALUE(MID(C367,1,2)))+TIME(VALUE(MID(C367,12,2)),VALUE(MID(C367,15,2)),0))</f>
        <v>41841.6208333333</v>
      </c>
      <c r="U367" s="3" t="str">
        <f aca="false">IFERROR(IF(ISNUMBER(VALUE(TRIM(MID(A367,FIND("-",A367)+1,FIND("km",A367)-FIND("-",A367)-1)))),"Distance + direction + city","Named-region"),"Named-region")</f>
        <v>Named-region</v>
      </c>
      <c r="V367" s="3" t="str">
        <f aca="false">LOWER(M367)</f>
        <v>mww</v>
      </c>
      <c r="W367" s="3" t="n">
        <f aca="false">COUNTIFS($A$2:$A$1001,A367,$C$2:$C$1001,C367)</f>
        <v>1</v>
      </c>
      <c r="X367" s="3" t="str">
        <f aca="false">IF(W367&gt;1,"Duplicate","Unique")</f>
        <v>Unique</v>
      </c>
      <c r="Y367" s="3" t="str">
        <f aca="false">IF(B367&lt;6.5,"&lt;6.5",IF(B367&lt;7,"6.5–6.9",IF(B367&lt;7.5,"7.0–7.4",IF(B367&lt;8,"7.5–7.9","8.0+"))))</f>
        <v>6.5–6.9</v>
      </c>
      <c r="Z367" s="3" t="n">
        <f aca="false">IF(T367="","",YEAR(T367))</f>
        <v>2014</v>
      </c>
    </row>
    <row r="368" customFormat="false" ht="13.8" hidden="false" customHeight="false" outlineLevel="0" collapsed="false">
      <c r="A368" s="3" t="s">
        <v>1026</v>
      </c>
      <c r="B368" s="3" t="n">
        <v>6.5</v>
      </c>
      <c r="C368" s="6" t="s">
        <v>1027</v>
      </c>
      <c r="D368" s="3" t="n">
        <v>5</v>
      </c>
      <c r="E368" s="3" t="n">
        <v>4</v>
      </c>
      <c r="F368" s="3" t="s">
        <v>21</v>
      </c>
      <c r="G368" s="3" t="n">
        <v>1</v>
      </c>
      <c r="H368" s="3" t="n">
        <v>706</v>
      </c>
      <c r="I368" s="3" t="s">
        <v>22</v>
      </c>
      <c r="J368" s="3" t="n">
        <v>0</v>
      </c>
      <c r="K368" s="3" t="n">
        <v>2.421</v>
      </c>
      <c r="L368" s="3" t="n">
        <v>9</v>
      </c>
      <c r="M368" s="3" t="s">
        <v>23</v>
      </c>
      <c r="N368" s="3" t="n">
        <v>20</v>
      </c>
      <c r="O368" s="3" t="n">
        <v>37.0052</v>
      </c>
      <c r="P368" s="3" t="n">
        <v>142.452</v>
      </c>
      <c r="Q368" s="3" t="s">
        <v>217</v>
      </c>
      <c r="R368" s="3"/>
      <c r="S368" s="3"/>
      <c r="T368" s="5" t="n">
        <f aca="false">IF(C368="","",DATE(VALUE(MID(C368,7,4)),VALUE(MID(C368,4,2)),VALUE(MID(C368,1,2)))+TIME(VALUE(MID(C368,12,2)),VALUE(MID(C368,15,2)),0))</f>
        <v>41831.8069444444</v>
      </c>
      <c r="U368" s="3" t="str">
        <f aca="false">IFERROR(IF(ISNUMBER(VALUE(TRIM(MID(A368,FIND("-",A368)+1,FIND("km",A368)-FIND("-",A368)-1)))),"Distance + direction + city","Named-region"),"Named-region")</f>
        <v>Distance + direction + city</v>
      </c>
      <c r="V368" s="3" t="str">
        <f aca="false">LOWER(M368)</f>
        <v>mww</v>
      </c>
      <c r="W368" s="3" t="n">
        <f aca="false">COUNTIFS($A$2:$A$1001,A368,$C$2:$C$1001,C368)</f>
        <v>1</v>
      </c>
      <c r="X368" s="3" t="str">
        <f aca="false">IF(W368&gt;1,"Duplicate","Unique")</f>
        <v>Unique</v>
      </c>
      <c r="Y368" s="3" t="str">
        <f aca="false">IF(B368&lt;6.5,"&lt;6.5",IF(B368&lt;7,"6.5–6.9",IF(B368&lt;7.5,"7.0–7.4",IF(B368&lt;8,"7.5–7.9","8.0+"))))</f>
        <v>6.5–6.9</v>
      </c>
      <c r="Z368" s="3" t="n">
        <f aca="false">IF(T368="","",YEAR(T368))</f>
        <v>2014</v>
      </c>
    </row>
    <row r="369" customFormat="false" ht="13.8" hidden="false" customHeight="false" outlineLevel="0" collapsed="false">
      <c r="A369" s="3" t="s">
        <v>1028</v>
      </c>
      <c r="B369" s="3" t="n">
        <v>6.9</v>
      </c>
      <c r="C369" s="6" t="s">
        <v>1029</v>
      </c>
      <c r="D369" s="3" t="n">
        <v>8</v>
      </c>
      <c r="E369" s="3" t="n">
        <v>7</v>
      </c>
      <c r="F369" s="3" t="s">
        <v>95</v>
      </c>
      <c r="G369" s="3" t="n">
        <v>1</v>
      </c>
      <c r="H369" s="3" t="n">
        <v>1079</v>
      </c>
      <c r="I369" s="3" t="s">
        <v>22</v>
      </c>
      <c r="J369" s="3" t="n">
        <v>0</v>
      </c>
      <c r="K369" s="3" t="n">
        <v>0.263</v>
      </c>
      <c r="L369" s="3" t="n">
        <v>51</v>
      </c>
      <c r="M369" s="3" t="s">
        <v>23</v>
      </c>
      <c r="N369" s="3" t="n">
        <v>53</v>
      </c>
      <c r="O369" s="3" t="n">
        <v>14.724</v>
      </c>
      <c r="P369" s="3" t="n">
        <v>-92.4614</v>
      </c>
      <c r="Q369" s="3" t="s">
        <v>517</v>
      </c>
      <c r="R369" s="3"/>
      <c r="S369" s="3" t="s">
        <v>165</v>
      </c>
      <c r="T369" s="5" t="n">
        <f aca="false">IF(C369="","",DATE(VALUE(MID(C369,7,4)),VALUE(MID(C369,4,2)),VALUE(MID(C369,1,2)))+TIME(VALUE(MID(C369,12,2)),VALUE(MID(C369,15,2)),0))</f>
        <v>41827.4743055556</v>
      </c>
      <c r="U369" s="3" t="str">
        <f aca="false">IFERROR(IF(ISNUMBER(VALUE(TRIM(MID(A369,FIND("-",A369)+1,FIND("km",A369)-FIND("-",A369)-1)))),"Distance + direction + city","Named-region"),"Named-region")</f>
        <v>Distance + direction + city</v>
      </c>
      <c r="V369" s="3" t="str">
        <f aca="false">LOWER(M369)</f>
        <v>mww</v>
      </c>
      <c r="W369" s="3" t="n">
        <f aca="false">COUNTIFS($A$2:$A$1001,A369,$C$2:$C$1001,C369)</f>
        <v>1</v>
      </c>
      <c r="X369" s="3" t="str">
        <f aca="false">IF(W369&gt;1,"Duplicate","Unique")</f>
        <v>Unique</v>
      </c>
      <c r="Y369" s="3" t="str">
        <f aca="false">IF(B369&lt;6.5,"&lt;6.5",IF(B369&lt;7,"6.5–6.9",IF(B369&lt;7.5,"7.0–7.4",IF(B369&lt;8,"7.5–7.9","8.0+"))))</f>
        <v>6.5–6.9</v>
      </c>
      <c r="Z369" s="3" t="n">
        <f aca="false">IF(T369="","",YEAR(T369))</f>
        <v>2014</v>
      </c>
    </row>
    <row r="370" customFormat="false" ht="13.8" hidden="false" customHeight="false" outlineLevel="0" collapsed="false">
      <c r="A370" s="3" t="s">
        <v>1030</v>
      </c>
      <c r="B370" s="3" t="n">
        <v>6.5</v>
      </c>
      <c r="C370" s="6" t="s">
        <v>1031</v>
      </c>
      <c r="D370" s="3" t="n">
        <v>0</v>
      </c>
      <c r="E370" s="3" t="n">
        <v>4</v>
      </c>
      <c r="F370" s="3" t="s">
        <v>21</v>
      </c>
      <c r="G370" s="3" t="n">
        <v>1</v>
      </c>
      <c r="H370" s="3" t="n">
        <v>650</v>
      </c>
      <c r="I370" s="3" t="s">
        <v>22</v>
      </c>
      <c r="J370" s="3" t="n">
        <v>0</v>
      </c>
      <c r="K370" s="3" t="n">
        <v>2.124</v>
      </c>
      <c r="L370" s="3" t="n">
        <v>15</v>
      </c>
      <c r="M370" s="3" t="s">
        <v>23</v>
      </c>
      <c r="N370" s="3" t="n">
        <v>20</v>
      </c>
      <c r="O370" s="3" t="n">
        <v>-6.2304</v>
      </c>
      <c r="P370" s="3" t="n">
        <v>152.807</v>
      </c>
      <c r="Q370" s="3" t="s">
        <v>625</v>
      </c>
      <c r="R370" s="3"/>
      <c r="S370" s="3"/>
      <c r="T370" s="5" t="n">
        <f aca="false">IF(C370="","",DATE(VALUE(MID(C370,7,4)),VALUE(MID(C370,4,2)),VALUE(MID(C370,1,2)))+TIME(VALUE(MID(C370,12,2)),VALUE(MID(C370,15,2)),0))</f>
        <v>41824.625</v>
      </c>
      <c r="U370" s="3" t="str">
        <f aca="false">IFERROR(IF(ISNUMBER(VALUE(TRIM(MID(A370,FIND("-",A370)+1,FIND("km",A370)-FIND("-",A370)-1)))),"Distance + direction + city","Named-region"),"Named-region")</f>
        <v>Distance + direction + city</v>
      </c>
      <c r="V370" s="3" t="str">
        <f aca="false">LOWER(M370)</f>
        <v>mww</v>
      </c>
      <c r="W370" s="3" t="n">
        <f aca="false">COUNTIFS($A$2:$A$1001,A370,$C$2:$C$1001,C370)</f>
        <v>1</v>
      </c>
      <c r="X370" s="3" t="str">
        <f aca="false">IF(W370&gt;1,"Duplicate","Unique")</f>
        <v>Unique</v>
      </c>
      <c r="Y370" s="3" t="str">
        <f aca="false">IF(B370&lt;6.5,"&lt;6.5",IF(B370&lt;7,"6.5–6.9",IF(B370&lt;7.5,"7.0–7.4",IF(B370&lt;8,"7.5–7.9","8.0+"))))</f>
        <v>6.5–6.9</v>
      </c>
      <c r="Z370" s="3" t="n">
        <f aca="false">IF(T370="","",YEAR(T370))</f>
        <v>2014</v>
      </c>
    </row>
    <row r="371" customFormat="false" ht="13.8" hidden="false" customHeight="false" outlineLevel="0" collapsed="false">
      <c r="A371" s="3" t="s">
        <v>1032</v>
      </c>
      <c r="B371" s="3" t="n">
        <v>6.7</v>
      </c>
      <c r="C371" s="3" t="s">
        <v>1033</v>
      </c>
      <c r="D371" s="3" t="n">
        <v>0</v>
      </c>
      <c r="E371" s="3" t="n">
        <v>5</v>
      </c>
      <c r="F371" s="3" t="s">
        <v>21</v>
      </c>
      <c r="G371" s="3" t="n">
        <v>1</v>
      </c>
      <c r="H371" s="3" t="n">
        <v>691</v>
      </c>
      <c r="I371" s="3" t="s">
        <v>22</v>
      </c>
      <c r="J371" s="3" t="n">
        <v>0</v>
      </c>
      <c r="K371" s="3" t="n">
        <v>6.713</v>
      </c>
      <c r="L371" s="3" t="n">
        <v>45</v>
      </c>
      <c r="M371" s="3" t="s">
        <v>23</v>
      </c>
      <c r="N371" s="3" t="n">
        <v>18</v>
      </c>
      <c r="O371" s="3" t="n">
        <v>-14.9831</v>
      </c>
      <c r="P371" s="3" t="n">
        <v>-175.51</v>
      </c>
      <c r="Q371" s="3" t="s">
        <v>1034</v>
      </c>
      <c r="R371" s="3"/>
      <c r="S371" s="3"/>
      <c r="T371" s="5" t="n">
        <f aca="false">IF(C371="","",DATE(VALUE(MID(C371,7,4)),VALUE(MID(C371,4,2)),VALUE(MID(C371,1,2)))+TIME(VALUE(MID(C371,12,2)),VALUE(MID(C371,15,2)),0))</f>
        <v>41819.71875</v>
      </c>
      <c r="U371" s="3" t="str">
        <f aca="false">IFERROR(IF(ISNUMBER(VALUE(TRIM(MID(A371,FIND("-",A371)+1,FIND("km",A371)-FIND("-",A371)-1)))),"Distance + direction + city","Named-region"),"Named-region")</f>
        <v>Distance + direction + city</v>
      </c>
      <c r="V371" s="3" t="str">
        <f aca="false">LOWER(M371)</f>
        <v>mww</v>
      </c>
      <c r="W371" s="3" t="n">
        <f aca="false">COUNTIFS($A$2:$A$1001,A371,$C$2:$C$1001,C371)</f>
        <v>1</v>
      </c>
      <c r="X371" s="3" t="str">
        <f aca="false">IF(W371&gt;1,"Duplicate","Unique")</f>
        <v>Unique</v>
      </c>
      <c r="Y371" s="3" t="str">
        <f aca="false">IF(B371&lt;6.5,"&lt;6.5",IF(B371&lt;7,"6.5–6.9",IF(B371&lt;7.5,"7.0–7.4",IF(B371&lt;8,"7.5–7.9","8.0+"))))</f>
        <v>6.5–6.9</v>
      </c>
      <c r="Z371" s="3" t="n">
        <f aca="false">IF(T371="","",YEAR(T371))</f>
        <v>2014</v>
      </c>
    </row>
    <row r="372" customFormat="false" ht="13.8" hidden="false" customHeight="false" outlineLevel="0" collapsed="false">
      <c r="A372" s="3" t="s">
        <v>281</v>
      </c>
      <c r="B372" s="3" t="n">
        <v>6.9</v>
      </c>
      <c r="C372" s="3" t="s">
        <v>1035</v>
      </c>
      <c r="D372" s="3" t="n">
        <v>0</v>
      </c>
      <c r="E372" s="3" t="n">
        <v>5</v>
      </c>
      <c r="F372" s="3" t="s">
        <v>21</v>
      </c>
      <c r="G372" s="3" t="n">
        <v>1</v>
      </c>
      <c r="H372" s="3" t="n">
        <v>732</v>
      </c>
      <c r="I372" s="3" t="s">
        <v>22</v>
      </c>
      <c r="J372" s="3" t="n">
        <v>0</v>
      </c>
      <c r="K372" s="3" t="n">
        <v>4.838</v>
      </c>
      <c r="L372" s="3" t="n">
        <v>25</v>
      </c>
      <c r="M372" s="3" t="s">
        <v>23</v>
      </c>
      <c r="N372" s="3" t="n">
        <v>8</v>
      </c>
      <c r="O372" s="3" t="n">
        <v>-55.4703</v>
      </c>
      <c r="P372" s="3" t="n">
        <v>-28.3669</v>
      </c>
      <c r="Q372" s="3" t="s">
        <v>275</v>
      </c>
      <c r="R372" s="3"/>
      <c r="S372" s="3"/>
      <c r="T372" s="5" t="n">
        <f aca="false">IF(C372="","",DATE(VALUE(MID(C372,7,4)),VALUE(MID(C372,4,2)),VALUE(MID(C372,1,2)))+TIME(VALUE(MID(C372,12,2)),VALUE(MID(C372,15,2)),0))</f>
        <v>41819.3277777778</v>
      </c>
      <c r="U372" s="3" t="str">
        <f aca="false">IFERROR(IF(ISNUMBER(VALUE(TRIM(MID(A372,FIND("-",A372)+1,FIND("km",A372)-FIND("-",A372)-1)))),"Distance + direction + city","Named-region"),"Named-region")</f>
        <v>Named-region</v>
      </c>
      <c r="V372" s="3" t="str">
        <f aca="false">LOWER(M372)</f>
        <v>mww</v>
      </c>
      <c r="W372" s="3" t="n">
        <f aca="false">COUNTIFS($A$2:$A$1001,A372,$C$2:$C$1001,C372)</f>
        <v>1</v>
      </c>
      <c r="X372" s="3" t="str">
        <f aca="false">IF(W372&gt;1,"Duplicate","Unique")</f>
        <v>Unique</v>
      </c>
      <c r="Y372" s="3" t="str">
        <f aca="false">IF(B372&lt;6.5,"&lt;6.5",IF(B372&lt;7,"6.5–6.9",IF(B372&lt;7.5,"7.0–7.4",IF(B372&lt;8,"7.5–7.9","8.0+"))))</f>
        <v>6.5–6.9</v>
      </c>
      <c r="Z372" s="3" t="n">
        <f aca="false">IF(T372="","",YEAR(T372))</f>
        <v>2014</v>
      </c>
    </row>
    <row r="373" customFormat="false" ht="13.8" hidden="false" customHeight="false" outlineLevel="0" collapsed="false">
      <c r="A373" s="3" t="s">
        <v>1036</v>
      </c>
      <c r="B373" s="3" t="n">
        <v>7.9</v>
      </c>
      <c r="C373" s="3" t="s">
        <v>1037</v>
      </c>
      <c r="D373" s="3" t="n">
        <v>6</v>
      </c>
      <c r="E373" s="3" t="n">
        <v>8</v>
      </c>
      <c r="F373" s="3" t="s">
        <v>21</v>
      </c>
      <c r="G373" s="3" t="n">
        <v>1</v>
      </c>
      <c r="H373" s="3" t="n">
        <v>963</v>
      </c>
      <c r="I373" s="3" t="s">
        <v>22</v>
      </c>
      <c r="J373" s="3" t="n">
        <v>0</v>
      </c>
      <c r="K373" s="3" t="n">
        <v>0.133</v>
      </c>
      <c r="L373" s="3" t="n">
        <v>22</v>
      </c>
      <c r="M373" s="3" t="s">
        <v>23</v>
      </c>
      <c r="N373" s="3" t="n">
        <v>109</v>
      </c>
      <c r="O373" s="3" t="n">
        <v>51.8486</v>
      </c>
      <c r="P373" s="3" t="n">
        <v>178.735</v>
      </c>
      <c r="Q373" s="3" t="s">
        <v>1038</v>
      </c>
      <c r="R373" s="3" t="s">
        <v>164</v>
      </c>
      <c r="S373" s="3" t="s">
        <v>261</v>
      </c>
      <c r="T373" s="5" t="n">
        <f aca="false">IF(C373="","",DATE(VALUE(MID(C373,7,4)),VALUE(MID(C373,4,2)),VALUE(MID(C373,1,2)))+TIME(VALUE(MID(C373,12,2)),VALUE(MID(C373,15,2)),0))</f>
        <v>41813.8701388889</v>
      </c>
      <c r="U373" s="3" t="str">
        <f aca="false">IFERROR(IF(ISNUMBER(VALUE(TRIM(MID(A373,FIND("-",A373)+1,FIND("km",A373)-FIND("-",A373)-1)))),"Distance + direction + city","Named-region"),"Named-region")</f>
        <v>Named-region</v>
      </c>
      <c r="V373" s="3" t="str">
        <f aca="false">LOWER(M373)</f>
        <v>mww</v>
      </c>
      <c r="W373" s="3" t="n">
        <f aca="false">COUNTIFS($A$2:$A$1001,A373,$C$2:$C$1001,C373)</f>
        <v>1</v>
      </c>
      <c r="X373" s="3" t="str">
        <f aca="false">IF(W373&gt;1,"Duplicate","Unique")</f>
        <v>Unique</v>
      </c>
      <c r="Y373" s="3" t="str">
        <f aca="false">IF(B373&lt;6.5,"&lt;6.5",IF(B373&lt;7,"6.5–6.9",IF(B373&lt;7.5,"7.0–7.4",IF(B373&lt;8,"7.5–7.9","8.0+"))))</f>
        <v>7.5–7.9</v>
      </c>
      <c r="Z373" s="3" t="n">
        <f aca="false">IF(T373="","",YEAR(T373))</f>
        <v>2014</v>
      </c>
    </row>
    <row r="374" customFormat="false" ht="13.8" hidden="false" customHeight="false" outlineLevel="0" collapsed="false">
      <c r="A374" s="3" t="s">
        <v>1039</v>
      </c>
      <c r="B374" s="3" t="n">
        <v>6.7</v>
      </c>
      <c r="C374" s="3" t="s">
        <v>1040</v>
      </c>
      <c r="D374" s="3" t="n">
        <v>0</v>
      </c>
      <c r="E374" s="3" t="n">
        <v>5</v>
      </c>
      <c r="F374" s="3" t="s">
        <v>21</v>
      </c>
      <c r="G374" s="3" t="n">
        <v>0</v>
      </c>
      <c r="H374" s="3" t="n">
        <v>691</v>
      </c>
      <c r="I374" s="3" t="s">
        <v>22</v>
      </c>
      <c r="J374" s="3" t="n">
        <v>0</v>
      </c>
      <c r="K374" s="3" t="n">
        <v>0.748</v>
      </c>
      <c r="L374" s="3" t="n">
        <v>43</v>
      </c>
      <c r="M374" s="3" t="s">
        <v>127</v>
      </c>
      <c r="N374" s="3" t="n">
        <v>26.59</v>
      </c>
      <c r="O374" s="3" t="n">
        <v>-29.9414</v>
      </c>
      <c r="P374" s="3" t="n">
        <v>-177.607</v>
      </c>
      <c r="Q374" s="3" t="s">
        <v>71</v>
      </c>
      <c r="R374" s="3"/>
      <c r="S374" s="3"/>
      <c r="T374" s="5" t="n">
        <f aca="false">IF(C374="","",DATE(VALUE(MID(C374,7,4)),VALUE(MID(C374,4,2)),VALUE(MID(C374,1,2)))+TIME(VALUE(MID(C374,12,2)),VALUE(MID(C374,15,2)),0))</f>
        <v>41813.8375</v>
      </c>
      <c r="U374" s="3" t="str">
        <f aca="false">IFERROR(IF(ISNUMBER(VALUE(TRIM(MID(A374,FIND("-",A374)+1,FIND("km",A374)-FIND("-",A374)-1)))),"Distance + direction + city","Named-region"),"Named-region")</f>
        <v>Named-region</v>
      </c>
      <c r="V374" s="3" t="str">
        <f aca="false">LOWER(M374)</f>
        <v>mwc</v>
      </c>
      <c r="W374" s="3" t="n">
        <f aca="false">COUNTIFS($A$2:$A$1001,A374,$C$2:$C$1001,C374)</f>
        <v>1</v>
      </c>
      <c r="X374" s="3" t="str">
        <f aca="false">IF(W374&gt;1,"Duplicate","Unique")</f>
        <v>Unique</v>
      </c>
      <c r="Y374" s="3" t="str">
        <f aca="false">IF(B374&lt;6.5,"&lt;6.5",IF(B374&lt;7,"6.5–6.9",IF(B374&lt;7.5,"7.0–7.4",IF(B374&lt;8,"7.5–7.9","8.0+"))))</f>
        <v>6.5–6.9</v>
      </c>
      <c r="Z374" s="3" t="n">
        <f aca="false">IF(T374="","",YEAR(T374))</f>
        <v>2014</v>
      </c>
    </row>
    <row r="375" customFormat="false" ht="13.8" hidden="false" customHeight="false" outlineLevel="0" collapsed="false">
      <c r="A375" s="3" t="s">
        <v>307</v>
      </c>
      <c r="B375" s="3" t="n">
        <v>6.5</v>
      </c>
      <c r="C375" s="3" t="s">
        <v>1041</v>
      </c>
      <c r="D375" s="3" t="n">
        <v>0</v>
      </c>
      <c r="E375" s="3" t="n">
        <v>5</v>
      </c>
      <c r="F375" s="3" t="s">
        <v>21</v>
      </c>
      <c r="G375" s="3" t="n">
        <v>0</v>
      </c>
      <c r="H375" s="3" t="n">
        <v>650</v>
      </c>
      <c r="I375" s="3" t="s">
        <v>22</v>
      </c>
      <c r="J375" s="3" t="n">
        <v>0</v>
      </c>
      <c r="K375" s="3" t="n">
        <v>0.778</v>
      </c>
      <c r="L375" s="3" t="n">
        <v>30</v>
      </c>
      <c r="M375" s="3" t="s">
        <v>127</v>
      </c>
      <c r="N375" s="3" t="n">
        <v>10</v>
      </c>
      <c r="O375" s="3" t="n">
        <v>-29.9379</v>
      </c>
      <c r="P375" s="3" t="n">
        <v>-177.516</v>
      </c>
      <c r="Q375" s="3" t="s">
        <v>71</v>
      </c>
      <c r="R375" s="3"/>
      <c r="S375" s="3"/>
      <c r="T375" s="5" t="n">
        <f aca="false">IF(C375="","",DATE(VALUE(MID(C375,7,4)),VALUE(MID(C375,4,2)),VALUE(MID(C375,1,2)))+TIME(VALUE(MID(C375,12,2)),VALUE(MID(C375,15,2)),0))</f>
        <v>41813.80625</v>
      </c>
      <c r="U375" s="3" t="str">
        <f aca="false">IFERROR(IF(ISNUMBER(VALUE(TRIM(MID(A375,FIND("-",A375)+1,FIND("km",A375)-FIND("-",A375)-1)))),"Distance + direction + city","Named-region"),"Named-region")</f>
        <v>Named-region</v>
      </c>
      <c r="V375" s="3" t="str">
        <f aca="false">LOWER(M375)</f>
        <v>mwc</v>
      </c>
      <c r="W375" s="3" t="n">
        <f aca="false">COUNTIFS($A$2:$A$1001,A375,$C$2:$C$1001,C375)</f>
        <v>1</v>
      </c>
      <c r="X375" s="3" t="str">
        <f aca="false">IF(W375&gt;1,"Duplicate","Unique")</f>
        <v>Unique</v>
      </c>
      <c r="Y375" s="3" t="str">
        <f aca="false">IF(B375&lt;6.5,"&lt;6.5",IF(B375&lt;7,"6.5–6.9",IF(B375&lt;7.5,"7.0–7.4",IF(B375&lt;8,"7.5–7.9","8.0+"))))</f>
        <v>6.5–6.9</v>
      </c>
      <c r="Z375" s="3" t="n">
        <f aca="false">IF(T375="","",YEAR(T375))</f>
        <v>2014</v>
      </c>
    </row>
    <row r="376" customFormat="false" ht="13.8" hidden="false" customHeight="false" outlineLevel="0" collapsed="false">
      <c r="A376" s="3" t="s">
        <v>100</v>
      </c>
      <c r="B376" s="3" t="n">
        <v>6.9</v>
      </c>
      <c r="C376" s="3" t="s">
        <v>1042</v>
      </c>
      <c r="D376" s="3" t="n">
        <v>0</v>
      </c>
      <c r="E376" s="3" t="n">
        <v>5</v>
      </c>
      <c r="F376" s="3" t="s">
        <v>21</v>
      </c>
      <c r="G376" s="3" t="n">
        <v>1</v>
      </c>
      <c r="H376" s="3" t="n">
        <v>732</v>
      </c>
      <c r="I376" s="3" t="s">
        <v>22</v>
      </c>
      <c r="J376" s="3" t="n">
        <v>0</v>
      </c>
      <c r="K376" s="3" t="n">
        <v>0.751</v>
      </c>
      <c r="L376" s="3" t="n">
        <v>35</v>
      </c>
      <c r="M376" s="3" t="s">
        <v>23</v>
      </c>
      <c r="N376" s="3" t="n">
        <v>20</v>
      </c>
      <c r="O376" s="3" t="n">
        <v>-29.9772</v>
      </c>
      <c r="P376" s="3" t="n">
        <v>-177.725</v>
      </c>
      <c r="Q376" s="3" t="s">
        <v>71</v>
      </c>
      <c r="R376" s="3"/>
      <c r="S376" s="3"/>
      <c r="T376" s="5" t="n">
        <f aca="false">IF(C376="","",DATE(VALUE(MID(C376,7,4)),VALUE(MID(C376,4,2)),VALUE(MID(C376,1,2)))+TIME(VALUE(MID(C376,12,2)),VALUE(MID(C376,15,2)),0))</f>
        <v>41813.8048611111</v>
      </c>
      <c r="U376" s="3" t="str">
        <f aca="false">IFERROR(IF(ISNUMBER(VALUE(TRIM(MID(A376,FIND("-",A376)+1,FIND("km",A376)-FIND("-",A376)-1)))),"Distance + direction + city","Named-region"),"Named-region")</f>
        <v>Named-region</v>
      </c>
      <c r="V376" s="3" t="str">
        <f aca="false">LOWER(M376)</f>
        <v>mww</v>
      </c>
      <c r="W376" s="3" t="n">
        <f aca="false">COUNTIFS($A$2:$A$1001,A376,$C$2:$C$1001,C376)</f>
        <v>1</v>
      </c>
      <c r="X376" s="3" t="str">
        <f aca="false">IF(W376&gt;1,"Duplicate","Unique")</f>
        <v>Unique</v>
      </c>
      <c r="Y376" s="3" t="str">
        <f aca="false">IF(B376&lt;6.5,"&lt;6.5",IF(B376&lt;7,"6.5–6.9",IF(B376&lt;7.5,"7.0–7.4",IF(B376&lt;8,"7.5–7.9","8.0+"))))</f>
        <v>6.5–6.9</v>
      </c>
      <c r="Z376" s="3" t="n">
        <f aca="false">IF(T376="","",YEAR(T376))</f>
        <v>2014</v>
      </c>
    </row>
    <row r="377" customFormat="false" ht="13.8" hidden="false" customHeight="false" outlineLevel="0" collapsed="false">
      <c r="A377" s="3" t="s">
        <v>1043</v>
      </c>
      <c r="B377" s="3" t="n">
        <v>6.9</v>
      </c>
      <c r="C377" s="3" t="s">
        <v>1044</v>
      </c>
      <c r="D377" s="3" t="n">
        <v>9</v>
      </c>
      <c r="E377" s="3" t="n">
        <v>7</v>
      </c>
      <c r="F377" s="3" t="s">
        <v>21</v>
      </c>
      <c r="G377" s="3" t="n">
        <v>0</v>
      </c>
      <c r="H377" s="3" t="n">
        <v>951</v>
      </c>
      <c r="I377" s="3" t="s">
        <v>22</v>
      </c>
      <c r="J377" s="3" t="n">
        <v>0</v>
      </c>
      <c r="K377" s="3" t="n">
        <v>0.402</v>
      </c>
      <c r="L377" s="3" t="n">
        <v>25</v>
      </c>
      <c r="M377" s="3" t="s">
        <v>23</v>
      </c>
      <c r="N377" s="3" t="n">
        <v>6.43</v>
      </c>
      <c r="O377" s="3" t="n">
        <v>40.2893</v>
      </c>
      <c r="P377" s="3" t="n">
        <v>25.3889</v>
      </c>
      <c r="Q377" s="3" t="s">
        <v>1045</v>
      </c>
      <c r="R377" s="3" t="s">
        <v>361</v>
      </c>
      <c r="S377" s="3" t="s">
        <v>362</v>
      </c>
      <c r="T377" s="5" t="n">
        <f aca="false">IF(C377="","",DATE(VALUE(MID(C377,7,4)),VALUE(MID(C377,4,2)),VALUE(MID(C377,1,2)))+TIME(VALUE(MID(C377,12,2)),VALUE(MID(C377,15,2)),0))</f>
        <v>41783.3923611111</v>
      </c>
      <c r="U377" s="3" t="str">
        <f aca="false">IFERROR(IF(ISNUMBER(VALUE(TRIM(MID(A377,FIND("-",A377)+1,FIND("km",A377)-FIND("-",A377)-1)))),"Distance + direction + city","Named-region"),"Named-region")</f>
        <v>Distance + direction + city</v>
      </c>
      <c r="V377" s="3" t="str">
        <f aca="false">LOWER(M377)</f>
        <v>mww</v>
      </c>
      <c r="W377" s="3" t="n">
        <f aca="false">COUNTIFS($A$2:$A$1001,A377,$C$2:$C$1001,C377)</f>
        <v>1</v>
      </c>
      <c r="X377" s="3" t="str">
        <f aca="false">IF(W377&gt;1,"Duplicate","Unique")</f>
        <v>Unique</v>
      </c>
      <c r="Y377" s="3" t="str">
        <f aca="false">IF(B377&lt;6.5,"&lt;6.5",IF(B377&lt;7,"6.5–6.9",IF(B377&lt;7.5,"7.0–7.4",IF(B377&lt;8,"7.5–7.9","8.0+"))))</f>
        <v>6.5–6.9</v>
      </c>
      <c r="Z377" s="3" t="n">
        <f aca="false">IF(T377="","",YEAR(T377))</f>
        <v>2014</v>
      </c>
    </row>
    <row r="378" customFormat="false" ht="13.8" hidden="false" customHeight="false" outlineLevel="0" collapsed="false">
      <c r="A378" s="3" t="s">
        <v>1046</v>
      </c>
      <c r="B378" s="3" t="n">
        <v>6.5</v>
      </c>
      <c r="C378" s="3" t="s">
        <v>1047</v>
      </c>
      <c r="D378" s="3" t="n">
        <v>7</v>
      </c>
      <c r="E378" s="3" t="n">
        <v>5</v>
      </c>
      <c r="F378" s="3" t="s">
        <v>21</v>
      </c>
      <c r="G378" s="3" t="n">
        <v>1</v>
      </c>
      <c r="H378" s="3" t="n">
        <v>694</v>
      </c>
      <c r="I378" s="3" t="s">
        <v>22</v>
      </c>
      <c r="J378" s="3" t="n">
        <v>0</v>
      </c>
      <c r="K378" s="3" t="n">
        <v>3.121</v>
      </c>
      <c r="L378" s="3" t="n">
        <v>33</v>
      </c>
      <c r="M378" s="3" t="s">
        <v>23</v>
      </c>
      <c r="N378" s="3" t="n">
        <v>10</v>
      </c>
      <c r="O378" s="3" t="n">
        <v>7.2096</v>
      </c>
      <c r="P378" s="3" t="n">
        <v>-82.3045</v>
      </c>
      <c r="Q378" s="3" t="s">
        <v>992</v>
      </c>
      <c r="R378" s="3"/>
      <c r="S378" s="3"/>
      <c r="T378" s="5" t="n">
        <f aca="false">IF(C378="","",DATE(VALUE(MID(C378,7,4)),VALUE(MID(C378,4,2)),VALUE(MID(C378,1,2)))+TIME(VALUE(MID(C378,12,2)),VALUE(MID(C378,15,2)),0))</f>
        <v>41772.2743055556</v>
      </c>
      <c r="U378" s="3" t="str">
        <f aca="false">IFERROR(IF(ISNUMBER(VALUE(TRIM(MID(A378,FIND("-",A378)+1,FIND("km",A378)-FIND("-",A378)-1)))),"Distance + direction + city","Named-region"),"Named-region")</f>
        <v>Distance + direction + city</v>
      </c>
      <c r="V378" s="3" t="str">
        <f aca="false">LOWER(M378)</f>
        <v>mww</v>
      </c>
      <c r="W378" s="3" t="n">
        <f aca="false">COUNTIFS($A$2:$A$1001,A378,$C$2:$C$1001,C378)</f>
        <v>1</v>
      </c>
      <c r="X378" s="3" t="str">
        <f aca="false">IF(W378&gt;1,"Duplicate","Unique")</f>
        <v>Unique</v>
      </c>
      <c r="Y378" s="3" t="str">
        <f aca="false">IF(B378&lt;6.5,"&lt;6.5",IF(B378&lt;7,"6.5–6.9",IF(B378&lt;7.5,"7.0–7.4",IF(B378&lt;8,"7.5–7.9","8.0+"))))</f>
        <v>6.5–6.9</v>
      </c>
      <c r="Z378" s="3" t="n">
        <f aca="false">IF(T378="","",YEAR(T378))</f>
        <v>2014</v>
      </c>
    </row>
    <row r="379" customFormat="false" ht="13.8" hidden="false" customHeight="false" outlineLevel="0" collapsed="false">
      <c r="A379" s="3" t="s">
        <v>1048</v>
      </c>
      <c r="B379" s="3" t="n">
        <v>6.6</v>
      </c>
      <c r="C379" s="6" t="s">
        <v>1049</v>
      </c>
      <c r="D379" s="3" t="n">
        <v>0</v>
      </c>
      <c r="E379" s="3" t="n">
        <v>5</v>
      </c>
      <c r="F379" s="3" t="s">
        <v>21</v>
      </c>
      <c r="G379" s="3" t="n">
        <v>1</v>
      </c>
      <c r="H379" s="3" t="n">
        <v>670</v>
      </c>
      <c r="I379" s="3" t="s">
        <v>22</v>
      </c>
      <c r="J379" s="3" t="n">
        <v>0</v>
      </c>
      <c r="K379" s="3" t="n">
        <v>3.34</v>
      </c>
      <c r="L379" s="3" t="n">
        <v>10</v>
      </c>
      <c r="M379" s="3" t="s">
        <v>23</v>
      </c>
      <c r="N379" s="3" t="n">
        <v>106</v>
      </c>
      <c r="O379" s="3" t="n">
        <v>-21.4542</v>
      </c>
      <c r="P379" s="3" t="n">
        <v>170.355</v>
      </c>
      <c r="Q379" s="3" t="s">
        <v>177</v>
      </c>
      <c r="R379" s="3"/>
      <c r="S379" s="3"/>
      <c r="T379" s="5" t="n">
        <f aca="false">IF(C379="","",DATE(VALUE(MID(C379,7,4)),VALUE(MID(C379,4,2)),VALUE(MID(C379,1,2)))+TIME(VALUE(MID(C379,12,2)),VALUE(MID(C379,15,2)),0))</f>
        <v>41760.275</v>
      </c>
      <c r="U379" s="3" t="str">
        <f aca="false">IFERROR(IF(ISNUMBER(VALUE(TRIM(MID(A379,FIND("-",A379)+1,FIND("km",A379)-FIND("-",A379)-1)))),"Distance + direction + city","Named-region"),"Named-region")</f>
        <v>Distance + direction + city</v>
      </c>
      <c r="V379" s="3" t="str">
        <f aca="false">LOWER(M379)</f>
        <v>mww</v>
      </c>
      <c r="W379" s="3" t="n">
        <f aca="false">COUNTIFS($A$2:$A$1001,A379,$C$2:$C$1001,C379)</f>
        <v>1</v>
      </c>
      <c r="X379" s="3" t="str">
        <f aca="false">IF(W379&gt;1,"Duplicate","Unique")</f>
        <v>Unique</v>
      </c>
      <c r="Y379" s="3" t="str">
        <f aca="false">IF(B379&lt;6.5,"&lt;6.5",IF(B379&lt;7,"6.5–6.9",IF(B379&lt;7.5,"7.0–7.4",IF(B379&lt;8,"7.5–7.9","8.0+"))))</f>
        <v>6.5–6.9</v>
      </c>
      <c r="Z379" s="3" t="n">
        <f aca="false">IF(T379="","",YEAR(T379))</f>
        <v>2014</v>
      </c>
    </row>
    <row r="380" customFormat="false" ht="13.8" hidden="false" customHeight="false" outlineLevel="0" collapsed="false">
      <c r="A380" s="3" t="s">
        <v>1050</v>
      </c>
      <c r="B380" s="3" t="n">
        <v>6.5</v>
      </c>
      <c r="C380" s="3" t="s">
        <v>1051</v>
      </c>
      <c r="D380" s="3" t="n">
        <v>4</v>
      </c>
      <c r="E380" s="3" t="n">
        <v>6</v>
      </c>
      <c r="F380" s="3" t="s">
        <v>21</v>
      </c>
      <c r="G380" s="3" t="n">
        <v>1</v>
      </c>
      <c r="H380" s="3" t="n">
        <v>838</v>
      </c>
      <c r="I380" s="3" t="s">
        <v>22</v>
      </c>
      <c r="J380" s="3" t="n">
        <v>0</v>
      </c>
      <c r="K380" s="3" t="n">
        <v>0</v>
      </c>
      <c r="L380" s="3" t="n">
        <v>0</v>
      </c>
      <c r="M380" s="3" t="s">
        <v>23</v>
      </c>
      <c r="N380" s="3" t="n">
        <v>10</v>
      </c>
      <c r="O380" s="3" t="n">
        <v>49.6388</v>
      </c>
      <c r="P380" s="3" t="n">
        <v>-127.732</v>
      </c>
      <c r="Q380" s="3" t="s">
        <v>1052</v>
      </c>
      <c r="R380" s="3"/>
      <c r="S380" s="3"/>
      <c r="T380" s="5" t="n">
        <f aca="false">IF(C380="","",DATE(VALUE(MID(C380,7,4)),VALUE(MID(C380,4,2)),VALUE(MID(C380,1,2)))+TIME(VALUE(MID(C380,12,2)),VALUE(MID(C380,15,2)),0))</f>
        <v>41753.1319444444</v>
      </c>
      <c r="U380" s="3" t="str">
        <f aca="false">IFERROR(IF(ISNUMBER(VALUE(TRIM(MID(A380,FIND("-",A380)+1,FIND("km",A380)-FIND("-",A380)-1)))),"Distance + direction + city","Named-region"),"Named-region")</f>
        <v>Distance + direction + city</v>
      </c>
      <c r="V380" s="3" t="str">
        <f aca="false">LOWER(M380)</f>
        <v>mww</v>
      </c>
      <c r="W380" s="3" t="n">
        <f aca="false">COUNTIFS($A$2:$A$1001,A380,$C$2:$C$1001,C380)</f>
        <v>1</v>
      </c>
      <c r="X380" s="3" t="str">
        <f aca="false">IF(W380&gt;1,"Duplicate","Unique")</f>
        <v>Unique</v>
      </c>
      <c r="Y380" s="3" t="str">
        <f aca="false">IF(B380&lt;6.5,"&lt;6.5",IF(B380&lt;7,"6.5–6.9",IF(B380&lt;7.5,"7.0–7.4",IF(B380&lt;8,"7.5–7.9","8.0+"))))</f>
        <v>6.5–6.9</v>
      </c>
      <c r="Z380" s="3" t="n">
        <f aca="false">IF(T380="","",YEAR(T380))</f>
        <v>2014</v>
      </c>
    </row>
    <row r="381" customFormat="false" ht="13.8" hidden="false" customHeight="false" outlineLevel="0" collapsed="false">
      <c r="A381" s="3" t="s">
        <v>1053</v>
      </c>
      <c r="B381" s="3" t="n">
        <v>7.5</v>
      </c>
      <c r="C381" s="3" t="s">
        <v>1054</v>
      </c>
      <c r="D381" s="3" t="n">
        <v>0</v>
      </c>
      <c r="E381" s="3" t="n">
        <v>6</v>
      </c>
      <c r="F381" s="3" t="s">
        <v>21</v>
      </c>
      <c r="G381" s="3" t="n">
        <v>1</v>
      </c>
      <c r="H381" s="3" t="n">
        <v>865</v>
      </c>
      <c r="I381" s="3" t="s">
        <v>22</v>
      </c>
      <c r="J381" s="3" t="n">
        <v>0</v>
      </c>
      <c r="K381" s="3" t="n">
        <v>3.82</v>
      </c>
      <c r="L381" s="3" t="n">
        <v>16</v>
      </c>
      <c r="M381" s="3" t="s">
        <v>23</v>
      </c>
      <c r="N381" s="3" t="n">
        <v>43.37</v>
      </c>
      <c r="O381" s="3" t="n">
        <v>-6.7547</v>
      </c>
      <c r="P381" s="3" t="n">
        <v>155.024</v>
      </c>
      <c r="Q381" s="3" t="s">
        <v>736</v>
      </c>
      <c r="R381" s="3"/>
      <c r="S381" s="3"/>
      <c r="T381" s="5" t="n">
        <f aca="false">IF(C381="","",DATE(VALUE(MID(C381,7,4)),VALUE(MID(C381,4,2)),VALUE(MID(C381,1,2)))+TIME(VALUE(MID(C381,12,2)),VALUE(MID(C381,15,2)),0))</f>
        <v>41748.5611111111</v>
      </c>
      <c r="U381" s="3" t="str">
        <f aca="false">IFERROR(IF(ISNUMBER(VALUE(TRIM(MID(A381,FIND("-",A381)+1,FIND("km",A381)-FIND("-",A381)-1)))),"Distance + direction + city","Named-region"),"Named-region")</f>
        <v>Distance + direction + city</v>
      </c>
      <c r="V381" s="3" t="str">
        <f aca="false">LOWER(M381)</f>
        <v>mww</v>
      </c>
      <c r="W381" s="3" t="n">
        <f aca="false">COUNTIFS($A$2:$A$1001,A381,$C$2:$C$1001,C381)</f>
        <v>1</v>
      </c>
      <c r="X381" s="3" t="str">
        <f aca="false">IF(W381&gt;1,"Duplicate","Unique")</f>
        <v>Unique</v>
      </c>
      <c r="Y381" s="3" t="str">
        <f aca="false">IF(B381&lt;6.5,"&lt;6.5",IF(B381&lt;7,"6.5–6.9",IF(B381&lt;7.5,"7.0–7.4",IF(B381&lt;8,"7.5–7.9","8.0+"))))</f>
        <v>7.5–7.9</v>
      </c>
      <c r="Z381" s="3" t="n">
        <f aca="false">IF(T381="","",YEAR(T381))</f>
        <v>2014</v>
      </c>
    </row>
    <row r="382" customFormat="false" ht="13.8" hidden="false" customHeight="false" outlineLevel="0" collapsed="false">
      <c r="A382" s="3" t="s">
        <v>1055</v>
      </c>
      <c r="B382" s="3" t="n">
        <v>6.6</v>
      </c>
      <c r="C382" s="3" t="s">
        <v>1056</v>
      </c>
      <c r="D382" s="3" t="n">
        <v>0</v>
      </c>
      <c r="E382" s="3" t="n">
        <v>6</v>
      </c>
      <c r="F382" s="3" t="s">
        <v>21</v>
      </c>
      <c r="G382" s="3" t="n">
        <v>1</v>
      </c>
      <c r="H382" s="3" t="n">
        <v>670</v>
      </c>
      <c r="I382" s="3" t="s">
        <v>22</v>
      </c>
      <c r="J382" s="3" t="n">
        <v>0</v>
      </c>
      <c r="K382" s="3" t="n">
        <v>3.803</v>
      </c>
      <c r="L382" s="3" t="n">
        <v>11</v>
      </c>
      <c r="M382" s="3" t="s">
        <v>23</v>
      </c>
      <c r="N382" s="3" t="n">
        <v>29</v>
      </c>
      <c r="O382" s="3" t="n">
        <v>-6.6558</v>
      </c>
      <c r="P382" s="3" t="n">
        <v>155.087</v>
      </c>
      <c r="Q382" s="3" t="s">
        <v>736</v>
      </c>
      <c r="R382" s="3"/>
      <c r="S382" s="3" t="s">
        <v>85</v>
      </c>
      <c r="T382" s="5" t="n">
        <f aca="false">IF(C382="","",DATE(VALUE(MID(C382,7,4)),VALUE(MID(C382,4,2)),VALUE(MID(C382,1,2)))+TIME(VALUE(MID(C382,12,2)),VALUE(MID(C382,15,2)),0))</f>
        <v>41748.0444444444</v>
      </c>
      <c r="U382" s="3" t="str">
        <f aca="false">IFERROR(IF(ISNUMBER(VALUE(TRIM(MID(A382,FIND("-",A382)+1,FIND("km",A382)-FIND("-",A382)-1)))),"Distance + direction + city","Named-region"),"Named-region")</f>
        <v>Distance + direction + city</v>
      </c>
      <c r="V382" s="3" t="str">
        <f aca="false">LOWER(M382)</f>
        <v>mww</v>
      </c>
      <c r="W382" s="3" t="n">
        <f aca="false">COUNTIFS($A$2:$A$1001,A382,$C$2:$C$1001,C382)</f>
        <v>1</v>
      </c>
      <c r="X382" s="3" t="str">
        <f aca="false">IF(W382&gt;1,"Duplicate","Unique")</f>
        <v>Unique</v>
      </c>
      <c r="Y382" s="3" t="str">
        <f aca="false">IF(B382&lt;6.5,"&lt;6.5",IF(B382&lt;7,"6.5–6.9",IF(B382&lt;7.5,"7.0–7.4",IF(B382&lt;8,"7.5–7.9","8.0+"))))</f>
        <v>6.5–6.9</v>
      </c>
      <c r="Z382" s="3" t="n">
        <f aca="false">IF(T382="","",YEAR(T382))</f>
        <v>2014</v>
      </c>
    </row>
    <row r="383" customFormat="false" ht="13.8" hidden="false" customHeight="false" outlineLevel="0" collapsed="false">
      <c r="A383" s="3" t="s">
        <v>1057</v>
      </c>
      <c r="B383" s="3" t="n">
        <v>7.2</v>
      </c>
      <c r="C383" s="3" t="s">
        <v>1058</v>
      </c>
      <c r="D383" s="3" t="n">
        <v>8</v>
      </c>
      <c r="E383" s="3" t="n">
        <v>7</v>
      </c>
      <c r="F383" s="3" t="s">
        <v>28</v>
      </c>
      <c r="G383" s="3" t="n">
        <v>1</v>
      </c>
      <c r="H383" s="3" t="n">
        <v>1017</v>
      </c>
      <c r="I383" s="3" t="s">
        <v>22</v>
      </c>
      <c r="J383" s="3" t="n">
        <v>0</v>
      </c>
      <c r="K383" s="3" t="n">
        <v>2.25</v>
      </c>
      <c r="L383" s="3" t="n">
        <v>46</v>
      </c>
      <c r="M383" s="3" t="s">
        <v>23</v>
      </c>
      <c r="N383" s="3" t="n">
        <v>24</v>
      </c>
      <c r="O383" s="3" t="n">
        <v>17.397</v>
      </c>
      <c r="P383" s="3" t="n">
        <v>-100.972</v>
      </c>
      <c r="Q383" s="3" t="s">
        <v>1059</v>
      </c>
      <c r="R383" s="3" t="s">
        <v>164</v>
      </c>
      <c r="S383" s="3" t="s">
        <v>165</v>
      </c>
      <c r="T383" s="5" t="n">
        <f aca="false">IF(C383="","",DATE(VALUE(MID(C383,7,4)),VALUE(MID(C383,4,2)),VALUE(MID(C383,1,2)))+TIME(VALUE(MID(C383,12,2)),VALUE(MID(C383,15,2)),0))</f>
        <v>41747.6020833333</v>
      </c>
      <c r="U383" s="3" t="str">
        <f aca="false">IFERROR(IF(ISNUMBER(VALUE(TRIM(MID(A383,FIND("-",A383)+1,FIND("km",A383)-FIND("-",A383)-1)))),"Distance + direction + city","Named-region"),"Named-region")</f>
        <v>Distance + direction + city</v>
      </c>
      <c r="V383" s="3" t="str">
        <f aca="false">LOWER(M383)</f>
        <v>mww</v>
      </c>
      <c r="W383" s="3" t="n">
        <f aca="false">COUNTIFS($A$2:$A$1001,A383,$C$2:$C$1001,C383)</f>
        <v>1</v>
      </c>
      <c r="X383" s="3" t="str">
        <f aca="false">IF(W383&gt;1,"Duplicate","Unique")</f>
        <v>Unique</v>
      </c>
      <c r="Y383" s="3" t="str">
        <f aca="false">IF(B383&lt;6.5,"&lt;6.5",IF(B383&lt;7,"6.5–6.9",IF(B383&lt;7.5,"7.0–7.4",IF(B383&lt;8,"7.5–7.9","8.0+"))))</f>
        <v>7.0–7.4</v>
      </c>
      <c r="Z383" s="3" t="n">
        <f aca="false">IF(T383="","",YEAR(T383))</f>
        <v>2014</v>
      </c>
    </row>
    <row r="384" customFormat="false" ht="13.8" hidden="false" customHeight="false" outlineLevel="0" collapsed="false">
      <c r="A384" s="3" t="s">
        <v>1060</v>
      </c>
      <c r="B384" s="3" t="n">
        <v>6.6</v>
      </c>
      <c r="C384" s="3" t="s">
        <v>1061</v>
      </c>
      <c r="D384" s="3" t="n">
        <v>0</v>
      </c>
      <c r="E384" s="3" t="n">
        <v>6</v>
      </c>
      <c r="F384" s="3" t="s">
        <v>21</v>
      </c>
      <c r="G384" s="3" t="n">
        <v>0</v>
      </c>
      <c r="H384" s="3" t="n">
        <v>670</v>
      </c>
      <c r="I384" s="3" t="s">
        <v>22</v>
      </c>
      <c r="J384" s="3" t="n">
        <v>0</v>
      </c>
      <c r="K384" s="3" t="n">
        <v>2.666</v>
      </c>
      <c r="L384" s="3" t="n">
        <v>22</v>
      </c>
      <c r="M384" s="3" t="s">
        <v>23</v>
      </c>
      <c r="N384" s="3" t="n">
        <v>10</v>
      </c>
      <c r="O384" s="3" t="n">
        <v>-11.1284</v>
      </c>
      <c r="P384" s="3" t="n">
        <v>162.052</v>
      </c>
      <c r="Q384" s="3" t="s">
        <v>581</v>
      </c>
      <c r="R384" s="3"/>
      <c r="S384" s="3"/>
      <c r="T384" s="5" t="n">
        <f aca="false">IF(C384="","",DATE(VALUE(MID(C384,7,4)),VALUE(MID(C384,4,2)),VALUE(MID(C384,1,2)))+TIME(VALUE(MID(C384,12,2)),VALUE(MID(C384,15,2)),0))</f>
        <v>41742.5583333333</v>
      </c>
      <c r="U384" s="3" t="str">
        <f aca="false">IFERROR(IF(ISNUMBER(VALUE(TRIM(MID(A384,FIND("-",A384)+1,FIND("km",A384)-FIND("-",A384)-1)))),"Distance + direction + city","Named-region"),"Named-region")</f>
        <v>Distance + direction + city</v>
      </c>
      <c r="V384" s="3" t="str">
        <f aca="false">LOWER(M384)</f>
        <v>mww</v>
      </c>
      <c r="W384" s="3" t="n">
        <f aca="false">COUNTIFS($A$2:$A$1001,A384,$C$2:$C$1001,C384)</f>
        <v>1</v>
      </c>
      <c r="X384" s="3" t="str">
        <f aca="false">IF(W384&gt;1,"Duplicate","Unique")</f>
        <v>Unique</v>
      </c>
      <c r="Y384" s="3" t="str">
        <f aca="false">IF(B384&lt;6.5,"&lt;6.5",IF(B384&lt;7,"6.5–6.9",IF(B384&lt;7.5,"7.0–7.4",IF(B384&lt;8,"7.5–7.9","8.0+"))))</f>
        <v>6.5–6.9</v>
      </c>
      <c r="Z384" s="3" t="n">
        <f aca="false">IF(T384="","",YEAR(T384))</f>
        <v>2014</v>
      </c>
    </row>
    <row r="385" customFormat="false" ht="13.8" hidden="false" customHeight="false" outlineLevel="0" collapsed="false">
      <c r="A385" s="3" t="s">
        <v>1062</v>
      </c>
      <c r="B385" s="3" t="n">
        <v>7.4</v>
      </c>
      <c r="C385" s="3" t="s">
        <v>1063</v>
      </c>
      <c r="D385" s="3" t="n">
        <v>0</v>
      </c>
      <c r="E385" s="3" t="n">
        <v>6</v>
      </c>
      <c r="F385" s="3" t="s">
        <v>21</v>
      </c>
      <c r="G385" s="3" t="n">
        <v>1</v>
      </c>
      <c r="H385" s="3" t="n">
        <v>842</v>
      </c>
      <c r="I385" s="3" t="s">
        <v>22</v>
      </c>
      <c r="J385" s="3" t="n">
        <v>0</v>
      </c>
      <c r="K385" s="3" t="n">
        <v>2.885</v>
      </c>
      <c r="L385" s="3" t="n">
        <v>17</v>
      </c>
      <c r="M385" s="3" t="s">
        <v>23</v>
      </c>
      <c r="N385" s="3" t="n">
        <v>39</v>
      </c>
      <c r="O385" s="3" t="n">
        <v>-11.4633</v>
      </c>
      <c r="P385" s="3" t="n">
        <v>162.051</v>
      </c>
      <c r="Q385" s="3" t="s">
        <v>581</v>
      </c>
      <c r="R385" s="3"/>
      <c r="S385" s="3"/>
      <c r="T385" s="5" t="n">
        <f aca="false">IF(C385="","",DATE(VALUE(MID(C385,7,4)),VALUE(MID(C385,4,2)),VALUE(MID(C385,1,2)))+TIME(VALUE(MID(C385,12,2)),VALUE(MID(C385,15,2)),0))</f>
        <v>41742.525</v>
      </c>
      <c r="U385" s="3" t="str">
        <f aca="false">IFERROR(IF(ISNUMBER(VALUE(TRIM(MID(A385,FIND("-",A385)+1,FIND("km",A385)-FIND("-",A385)-1)))),"Distance + direction + city","Named-region"),"Named-region")</f>
        <v>Distance + direction + city</v>
      </c>
      <c r="V385" s="3" t="str">
        <f aca="false">LOWER(M385)</f>
        <v>mww</v>
      </c>
      <c r="W385" s="3" t="n">
        <f aca="false">COUNTIFS($A$2:$A$1001,A385,$C$2:$C$1001,C385)</f>
        <v>1</v>
      </c>
      <c r="X385" s="3" t="str">
        <f aca="false">IF(W385&gt;1,"Duplicate","Unique")</f>
        <v>Unique</v>
      </c>
      <c r="Y385" s="3" t="str">
        <f aca="false">IF(B385&lt;6.5,"&lt;6.5",IF(B385&lt;7,"6.5–6.9",IF(B385&lt;7.5,"7.0–7.4",IF(B385&lt;8,"7.5–7.9","8.0+"))))</f>
        <v>7.0–7.4</v>
      </c>
      <c r="Z385" s="3" t="n">
        <f aca="false">IF(T385="","",YEAR(T385))</f>
        <v>2014</v>
      </c>
    </row>
    <row r="386" customFormat="false" ht="13.8" hidden="false" customHeight="false" outlineLevel="0" collapsed="false">
      <c r="A386" s="3" t="s">
        <v>1064</v>
      </c>
      <c r="B386" s="3" t="n">
        <v>7.6</v>
      </c>
      <c r="C386" s="6" t="s">
        <v>1065</v>
      </c>
      <c r="D386" s="3" t="n">
        <v>0</v>
      </c>
      <c r="E386" s="3" t="n">
        <v>7</v>
      </c>
      <c r="F386" s="3" t="s">
        <v>21</v>
      </c>
      <c r="G386" s="3" t="n">
        <v>1</v>
      </c>
      <c r="H386" s="3" t="n">
        <v>889</v>
      </c>
      <c r="I386" s="3" t="s">
        <v>22</v>
      </c>
      <c r="J386" s="3" t="n">
        <v>0</v>
      </c>
      <c r="K386" s="3" t="n">
        <v>2.828</v>
      </c>
      <c r="L386" s="3" t="n">
        <v>13</v>
      </c>
      <c r="M386" s="3" t="s">
        <v>23</v>
      </c>
      <c r="N386" s="3" t="n">
        <v>22.56</v>
      </c>
      <c r="O386" s="3" t="n">
        <v>-11.2701</v>
      </c>
      <c r="P386" s="3" t="n">
        <v>162.148</v>
      </c>
      <c r="Q386" s="3" t="s">
        <v>581</v>
      </c>
      <c r="R386" s="3"/>
      <c r="S386" s="3"/>
      <c r="T386" s="5" t="n">
        <f aca="false">IF(C386="","",DATE(VALUE(MID(C386,7,4)),VALUE(MID(C386,4,2)),VALUE(MID(C386,1,2)))+TIME(VALUE(MID(C386,12,2)),VALUE(MID(C386,15,2)),0))</f>
        <v>41741.8430555556</v>
      </c>
      <c r="U386" s="3" t="str">
        <f aca="false">IFERROR(IF(ISNUMBER(VALUE(TRIM(MID(A386,FIND("-",A386)+1,FIND("km",A386)-FIND("-",A386)-1)))),"Distance + direction + city","Named-region"),"Named-region")</f>
        <v>Distance + direction + city</v>
      </c>
      <c r="V386" s="3" t="str">
        <f aca="false">LOWER(M386)</f>
        <v>mww</v>
      </c>
      <c r="W386" s="3" t="n">
        <f aca="false">COUNTIFS($A$2:$A$1001,A386,$C$2:$C$1001,C386)</f>
        <v>1</v>
      </c>
      <c r="X386" s="3" t="str">
        <f aca="false">IF(W386&gt;1,"Duplicate","Unique")</f>
        <v>Unique</v>
      </c>
      <c r="Y386" s="3" t="str">
        <f aca="false">IF(B386&lt;6.5,"&lt;6.5",IF(B386&lt;7,"6.5–6.9",IF(B386&lt;7.5,"7.0–7.4",IF(B386&lt;8,"7.5–7.9","8.0+"))))</f>
        <v>7.5–7.9</v>
      </c>
      <c r="Z386" s="3" t="n">
        <f aca="false">IF(T386="","",YEAR(T386))</f>
        <v>2014</v>
      </c>
    </row>
    <row r="387" customFormat="false" ht="13.8" hidden="false" customHeight="false" outlineLevel="0" collapsed="false">
      <c r="A387" s="3" t="s">
        <v>1066</v>
      </c>
      <c r="B387" s="3" t="n">
        <v>6.6</v>
      </c>
      <c r="C387" s="6" t="s">
        <v>1067</v>
      </c>
      <c r="D387" s="3" t="n">
        <v>6</v>
      </c>
      <c r="E387" s="3" t="n">
        <v>5</v>
      </c>
      <c r="F387" s="3" t="s">
        <v>21</v>
      </c>
      <c r="G387" s="3" t="n">
        <v>1</v>
      </c>
      <c r="H387" s="3" t="n">
        <v>677</v>
      </c>
      <c r="I387" s="3" t="s">
        <v>22</v>
      </c>
      <c r="J387" s="3" t="n">
        <v>0</v>
      </c>
      <c r="K387" s="3" t="n">
        <v>0.761</v>
      </c>
      <c r="L387" s="3" t="n">
        <v>20</v>
      </c>
      <c r="M387" s="3" t="s">
        <v>23</v>
      </c>
      <c r="N387" s="3" t="n">
        <v>135</v>
      </c>
      <c r="O387" s="3" t="n">
        <v>11.642</v>
      </c>
      <c r="P387" s="3" t="n">
        <v>-85.8779</v>
      </c>
      <c r="Q387" s="3" t="s">
        <v>1068</v>
      </c>
      <c r="R387" s="3"/>
      <c r="S387" s="3" t="s">
        <v>1069</v>
      </c>
      <c r="T387" s="5" t="n">
        <f aca="false">IF(C387="","",DATE(VALUE(MID(C387,7,4)),VALUE(MID(C387,4,2)),VALUE(MID(C387,1,2)))+TIME(VALUE(MID(C387,12,2)),VALUE(MID(C387,15,2)),0))</f>
        <v>41740.8534722222</v>
      </c>
      <c r="U387" s="3" t="str">
        <f aca="false">IFERROR(IF(ISNUMBER(VALUE(TRIM(MID(A387,FIND("-",A387)+1,FIND("km",A387)-FIND("-",A387)-1)))),"Distance + direction + city","Named-region"),"Named-region")</f>
        <v>Distance + direction + city</v>
      </c>
      <c r="V387" s="3" t="str">
        <f aca="false">LOWER(M387)</f>
        <v>mww</v>
      </c>
      <c r="W387" s="3" t="n">
        <f aca="false">COUNTIFS($A$2:$A$1001,A387,$C$2:$C$1001,C387)</f>
        <v>1</v>
      </c>
      <c r="X387" s="3" t="str">
        <f aca="false">IF(W387&gt;1,"Duplicate","Unique")</f>
        <v>Unique</v>
      </c>
      <c r="Y387" s="3" t="str">
        <f aca="false">IF(B387&lt;6.5,"&lt;6.5",IF(B387&lt;7,"6.5–6.9",IF(B387&lt;7.5,"7.0–7.4",IF(B387&lt;8,"7.5–7.9","8.0+"))))</f>
        <v>6.5–6.9</v>
      </c>
      <c r="Z387" s="3" t="n">
        <f aca="false">IF(T387="","",YEAR(T387))</f>
        <v>2014</v>
      </c>
    </row>
    <row r="388" customFormat="false" ht="13.8" hidden="false" customHeight="false" outlineLevel="0" collapsed="false">
      <c r="A388" s="3" t="s">
        <v>1070</v>
      </c>
      <c r="B388" s="3" t="n">
        <v>6.5</v>
      </c>
      <c r="C388" s="6" t="s">
        <v>1071</v>
      </c>
      <c r="D388" s="3" t="n">
        <v>0</v>
      </c>
      <c r="E388" s="3" t="n">
        <v>6</v>
      </c>
      <c r="F388" s="3" t="s">
        <v>21</v>
      </c>
      <c r="G388" s="3" t="n">
        <v>1</v>
      </c>
      <c r="H388" s="3" t="n">
        <v>650</v>
      </c>
      <c r="I388" s="3" t="s">
        <v>22</v>
      </c>
      <c r="J388" s="3" t="n">
        <v>0</v>
      </c>
      <c r="K388" s="3" t="n">
        <v>3.787</v>
      </c>
      <c r="L388" s="3" t="n">
        <v>16</v>
      </c>
      <c r="M388" s="3" t="s">
        <v>23</v>
      </c>
      <c r="N388" s="3" t="n">
        <v>20</v>
      </c>
      <c r="O388" s="3" t="n">
        <v>-6.7878</v>
      </c>
      <c r="P388" s="3" t="n">
        <v>154.95</v>
      </c>
      <c r="Q388" s="3" t="s">
        <v>736</v>
      </c>
      <c r="R388" s="3"/>
      <c r="S388" s="3"/>
      <c r="T388" s="5" t="n">
        <f aca="false">IF(C388="","",DATE(VALUE(MID(C388,7,4)),VALUE(MID(C388,4,2)),VALUE(MID(C388,1,2)))+TIME(VALUE(MID(C388,12,2)),VALUE(MID(C388,15,2)),0))</f>
        <v>41740.3444444445</v>
      </c>
      <c r="U388" s="3" t="str">
        <f aca="false">IFERROR(IF(ISNUMBER(VALUE(TRIM(MID(A388,FIND("-",A388)+1,FIND("km",A388)-FIND("-",A388)-1)))),"Distance + direction + city","Named-region"),"Named-region")</f>
        <v>Distance + direction + city</v>
      </c>
      <c r="V388" s="3" t="str">
        <f aca="false">LOWER(M388)</f>
        <v>mww</v>
      </c>
      <c r="W388" s="3" t="n">
        <f aca="false">COUNTIFS($A$2:$A$1001,A388,$C$2:$C$1001,C388)</f>
        <v>1</v>
      </c>
      <c r="X388" s="3" t="str">
        <f aca="false">IF(W388&gt;1,"Duplicate","Unique")</f>
        <v>Unique</v>
      </c>
      <c r="Y388" s="3" t="str">
        <f aca="false">IF(B388&lt;6.5,"&lt;6.5",IF(B388&lt;7,"6.5–6.9",IF(B388&lt;7.5,"7.0–7.4",IF(B388&lt;8,"7.5–7.9","8.0+"))))</f>
        <v>6.5–6.9</v>
      </c>
      <c r="Z388" s="3" t="n">
        <f aca="false">IF(T388="","",YEAR(T388))</f>
        <v>2014</v>
      </c>
    </row>
    <row r="389" customFormat="false" ht="13.8" hidden="false" customHeight="false" outlineLevel="0" collapsed="false">
      <c r="A389" s="3" t="s">
        <v>1072</v>
      </c>
      <c r="B389" s="3" t="n">
        <v>7.1</v>
      </c>
      <c r="C389" s="6" t="s">
        <v>1073</v>
      </c>
      <c r="D389" s="3" t="n">
        <v>0</v>
      </c>
      <c r="E389" s="3" t="n">
        <v>7</v>
      </c>
      <c r="F389" s="3" t="s">
        <v>21</v>
      </c>
      <c r="G389" s="3" t="n">
        <v>1</v>
      </c>
      <c r="H389" s="3" t="n">
        <v>776</v>
      </c>
      <c r="I389" s="3" t="s">
        <v>22</v>
      </c>
      <c r="J389" s="3" t="n">
        <v>0</v>
      </c>
      <c r="K389" s="3" t="n">
        <v>3.729</v>
      </c>
      <c r="L389" s="3" t="n">
        <v>21</v>
      </c>
      <c r="M389" s="3" t="s">
        <v>23</v>
      </c>
      <c r="N389" s="3" t="n">
        <v>60.53</v>
      </c>
      <c r="O389" s="3" t="n">
        <v>-6.5858</v>
      </c>
      <c r="P389" s="3" t="n">
        <v>155.048</v>
      </c>
      <c r="Q389" s="3" t="s">
        <v>736</v>
      </c>
      <c r="R389" s="3"/>
      <c r="S389" s="3" t="s">
        <v>85</v>
      </c>
      <c r="T389" s="5" t="n">
        <f aca="false">IF(C389="","",DATE(VALUE(MID(C389,7,4)),VALUE(MID(C389,4,2)),VALUE(MID(C389,1,2)))+TIME(VALUE(MID(C389,12,2)),VALUE(MID(C389,15,2)),0))</f>
        <v>41740.2965277778</v>
      </c>
      <c r="U389" s="3" t="str">
        <f aca="false">IFERROR(IF(ISNUMBER(VALUE(TRIM(MID(A389,FIND("-",A389)+1,FIND("km",A389)-FIND("-",A389)-1)))),"Distance + direction + city","Named-region"),"Named-region")</f>
        <v>Distance + direction + city</v>
      </c>
      <c r="V389" s="3" t="str">
        <f aca="false">LOWER(M389)</f>
        <v>mww</v>
      </c>
      <c r="W389" s="3" t="n">
        <f aca="false">COUNTIFS($A$2:$A$1001,A389,$C$2:$C$1001,C389)</f>
        <v>1</v>
      </c>
      <c r="X389" s="3" t="str">
        <f aca="false">IF(W389&gt;1,"Duplicate","Unique")</f>
        <v>Unique</v>
      </c>
      <c r="Y389" s="3" t="str">
        <f aca="false">IF(B389&lt;6.5,"&lt;6.5",IF(B389&lt;7,"6.5–6.9",IF(B389&lt;7.5,"7.0–7.4",IF(B389&lt;8,"7.5–7.9","8.0+"))))</f>
        <v>7.0–7.4</v>
      </c>
      <c r="Z389" s="3" t="n">
        <f aca="false">IF(T389="","",YEAR(T389))</f>
        <v>2014</v>
      </c>
    </row>
    <row r="390" customFormat="false" ht="13.8" hidden="false" customHeight="false" outlineLevel="0" collapsed="false">
      <c r="A390" s="3" t="s">
        <v>1074</v>
      </c>
      <c r="B390" s="3" t="n">
        <v>7.7</v>
      </c>
      <c r="C390" s="6" t="s">
        <v>1075</v>
      </c>
      <c r="D390" s="3" t="n">
        <v>8</v>
      </c>
      <c r="E390" s="3" t="n">
        <v>9</v>
      </c>
      <c r="F390" s="3" t="s">
        <v>28</v>
      </c>
      <c r="G390" s="3" t="n">
        <v>1</v>
      </c>
      <c r="H390" s="3" t="n">
        <v>1057</v>
      </c>
      <c r="I390" s="3" t="s">
        <v>22</v>
      </c>
      <c r="J390" s="3" t="n">
        <v>0</v>
      </c>
      <c r="K390" s="3" t="n">
        <v>1.029</v>
      </c>
      <c r="L390" s="3" t="n">
        <v>44</v>
      </c>
      <c r="M390" s="3" t="s">
        <v>23</v>
      </c>
      <c r="N390" s="3" t="n">
        <v>22.4</v>
      </c>
      <c r="O390" s="3" t="n">
        <v>-20.5709</v>
      </c>
      <c r="P390" s="3" t="n">
        <v>-70.4931</v>
      </c>
      <c r="Q390" s="3" t="s">
        <v>1076</v>
      </c>
      <c r="R390" s="3"/>
      <c r="S390" s="3"/>
      <c r="T390" s="5" t="n">
        <f aca="false">IF(C390="","",DATE(VALUE(MID(C390,7,4)),VALUE(MID(C390,4,2)),VALUE(MID(C390,1,2)))+TIME(VALUE(MID(C390,12,2)),VALUE(MID(C390,15,2)),0))</f>
        <v>41732.1131944444</v>
      </c>
      <c r="U390" s="3" t="str">
        <f aca="false">IFERROR(IF(ISNUMBER(VALUE(TRIM(MID(A390,FIND("-",A390)+1,FIND("km",A390)-FIND("-",A390)-1)))),"Distance + direction + city","Named-region"),"Named-region")</f>
        <v>Distance + direction + city</v>
      </c>
      <c r="V390" s="3" t="str">
        <f aca="false">LOWER(M390)</f>
        <v>mww</v>
      </c>
      <c r="W390" s="3" t="n">
        <f aca="false">COUNTIFS($A$2:$A$1001,A390,$C$2:$C$1001,C390)</f>
        <v>1</v>
      </c>
      <c r="X390" s="3" t="str">
        <f aca="false">IF(W390&gt;1,"Duplicate","Unique")</f>
        <v>Unique</v>
      </c>
      <c r="Y390" s="3" t="str">
        <f aca="false">IF(B390&lt;6.5,"&lt;6.5",IF(B390&lt;7,"6.5–6.9",IF(B390&lt;7.5,"7.0–7.4",IF(B390&lt;8,"7.5–7.9","8.0+"))))</f>
        <v>7.5–7.9</v>
      </c>
      <c r="Z390" s="3" t="n">
        <f aca="false">IF(T390="","",YEAR(T390))</f>
        <v>2014</v>
      </c>
    </row>
    <row r="391" customFormat="false" ht="13.8" hidden="false" customHeight="false" outlineLevel="0" collapsed="false">
      <c r="A391" s="3" t="s">
        <v>1077</v>
      </c>
      <c r="B391" s="3" t="n">
        <v>6.5</v>
      </c>
      <c r="C391" s="6" t="s">
        <v>1078</v>
      </c>
      <c r="D391" s="3" t="n">
        <v>7</v>
      </c>
      <c r="E391" s="3" t="n">
        <v>7</v>
      </c>
      <c r="F391" s="3" t="s">
        <v>21</v>
      </c>
      <c r="G391" s="3" t="n">
        <v>0</v>
      </c>
      <c r="H391" s="3" t="n">
        <v>670</v>
      </c>
      <c r="I391" s="3" t="s">
        <v>22</v>
      </c>
      <c r="J391" s="3" t="n">
        <v>0</v>
      </c>
      <c r="K391" s="3" t="n">
        <v>0.828</v>
      </c>
      <c r="L391" s="3" t="n">
        <v>82</v>
      </c>
      <c r="M391" s="3" t="s">
        <v>23</v>
      </c>
      <c r="N391" s="3" t="n">
        <v>24.07</v>
      </c>
      <c r="O391" s="3" t="n">
        <v>-20.3113</v>
      </c>
      <c r="P391" s="3" t="n">
        <v>-70.5756</v>
      </c>
      <c r="Q391" s="3" t="s">
        <v>1076</v>
      </c>
      <c r="R391" s="3"/>
      <c r="S391" s="3"/>
      <c r="T391" s="5" t="n">
        <f aca="false">IF(C391="","",DATE(VALUE(MID(C391,7,4)),VALUE(MID(C391,4,2)),VALUE(MID(C391,1,2)))+TIME(VALUE(MID(C391,12,2)),VALUE(MID(C391,15,2)),0))</f>
        <v>41732.0819444444</v>
      </c>
      <c r="U391" s="3" t="str">
        <f aca="false">IFERROR(IF(ISNUMBER(VALUE(TRIM(MID(A391,FIND("-",A391)+1,FIND("km",A391)-FIND("-",A391)-1)))),"Distance + direction + city","Named-region"),"Named-region")</f>
        <v>Distance + direction + city</v>
      </c>
      <c r="V391" s="3" t="str">
        <f aca="false">LOWER(M391)</f>
        <v>mww</v>
      </c>
      <c r="W391" s="3" t="n">
        <f aca="false">COUNTIFS($A$2:$A$1001,A391,$C$2:$C$1001,C391)</f>
        <v>1</v>
      </c>
      <c r="X391" s="3" t="str">
        <f aca="false">IF(W391&gt;1,"Duplicate","Unique")</f>
        <v>Unique</v>
      </c>
      <c r="Y391" s="3" t="str">
        <f aca="false">IF(B391&lt;6.5,"&lt;6.5",IF(B391&lt;7,"6.5–6.9",IF(B391&lt;7.5,"7.0–7.4",IF(B391&lt;8,"7.5–7.9","8.0+"))))</f>
        <v>6.5–6.9</v>
      </c>
      <c r="Z391" s="3" t="n">
        <f aca="false">IF(T391="","",YEAR(T391))</f>
        <v>2014</v>
      </c>
    </row>
    <row r="392" customFormat="false" ht="13.8" hidden="false" customHeight="false" outlineLevel="0" collapsed="false">
      <c r="A392" s="3" t="s">
        <v>1079</v>
      </c>
      <c r="B392" s="3" t="n">
        <v>6.9</v>
      </c>
      <c r="C392" s="6" t="s">
        <v>1080</v>
      </c>
      <c r="D392" s="3" t="n">
        <v>0</v>
      </c>
      <c r="E392" s="3" t="n">
        <v>5</v>
      </c>
      <c r="F392" s="3" t="s">
        <v>21</v>
      </c>
      <c r="G392" s="3" t="n">
        <v>0</v>
      </c>
      <c r="H392" s="3" t="n">
        <v>732</v>
      </c>
      <c r="I392" s="3" t="s">
        <v>22</v>
      </c>
      <c r="J392" s="3" t="n">
        <v>0</v>
      </c>
      <c r="K392" s="3" t="n">
        <v>0.828</v>
      </c>
      <c r="L392" s="3" t="n">
        <v>119</v>
      </c>
      <c r="M392" s="3" t="s">
        <v>23</v>
      </c>
      <c r="N392" s="3" t="n">
        <v>28.42</v>
      </c>
      <c r="O392" s="3" t="n">
        <v>-19.8927</v>
      </c>
      <c r="P392" s="3" t="n">
        <v>-70.9455</v>
      </c>
      <c r="Q392" s="3" t="s">
        <v>1076</v>
      </c>
      <c r="R392" s="3"/>
      <c r="S392" s="3"/>
      <c r="T392" s="5" t="n">
        <f aca="false">IF(C392="","",DATE(VALUE(MID(C392,7,4)),VALUE(MID(C392,4,2)),VALUE(MID(C392,1,2)))+TIME(VALUE(MID(C392,12,2)),VALUE(MID(C392,15,2)),0))</f>
        <v>41730.9979166667</v>
      </c>
      <c r="U392" s="3" t="str">
        <f aca="false">IFERROR(IF(ISNUMBER(VALUE(TRIM(MID(A392,FIND("-",A392)+1,FIND("km",A392)-FIND("-",A392)-1)))),"Distance + direction + city","Named-region"),"Named-region")</f>
        <v>Distance + direction + city</v>
      </c>
      <c r="V392" s="3" t="str">
        <f aca="false">LOWER(M392)</f>
        <v>mww</v>
      </c>
      <c r="W392" s="3" t="n">
        <f aca="false">COUNTIFS($A$2:$A$1001,A392,$C$2:$C$1001,C392)</f>
        <v>1</v>
      </c>
      <c r="X392" s="3" t="str">
        <f aca="false">IF(W392&gt;1,"Duplicate","Unique")</f>
        <v>Unique</v>
      </c>
      <c r="Y392" s="3" t="str">
        <f aca="false">IF(B392&lt;6.5,"&lt;6.5",IF(B392&lt;7,"6.5–6.9",IF(B392&lt;7.5,"7.0–7.4",IF(B392&lt;8,"7.5–7.9","8.0+"))))</f>
        <v>6.5–6.9</v>
      </c>
      <c r="Z392" s="3" t="n">
        <f aca="false">IF(T392="","",YEAR(T392))</f>
        <v>2014</v>
      </c>
    </row>
    <row r="393" customFormat="false" ht="13.8" hidden="false" customHeight="false" outlineLevel="0" collapsed="false">
      <c r="A393" s="3" t="s">
        <v>1081</v>
      </c>
      <c r="B393" s="3" t="n">
        <v>8.2</v>
      </c>
      <c r="C393" s="6" t="s">
        <v>1082</v>
      </c>
      <c r="D393" s="3" t="n">
        <v>9</v>
      </c>
      <c r="E393" s="3" t="n">
        <v>8</v>
      </c>
      <c r="F393" s="3" t="s">
        <v>28</v>
      </c>
      <c r="G393" s="3" t="n">
        <v>1</v>
      </c>
      <c r="H393" s="3" t="n">
        <v>1332</v>
      </c>
      <c r="I393" s="3" t="s">
        <v>22</v>
      </c>
      <c r="J393" s="3" t="n">
        <v>0</v>
      </c>
      <c r="K393" s="3" t="n">
        <v>0.609</v>
      </c>
      <c r="L393" s="3" t="n">
        <v>23</v>
      </c>
      <c r="M393" s="3" t="s">
        <v>23</v>
      </c>
      <c r="N393" s="3" t="n">
        <v>25</v>
      </c>
      <c r="O393" s="3" t="n">
        <v>-19.6097</v>
      </c>
      <c r="P393" s="3" t="n">
        <v>-70.7691</v>
      </c>
      <c r="Q393" s="3" t="s">
        <v>1076</v>
      </c>
      <c r="R393" s="3"/>
      <c r="S393" s="3"/>
      <c r="T393" s="5" t="n">
        <f aca="false">IF(C393="","",DATE(VALUE(MID(C393,7,4)),VALUE(MID(C393,4,2)),VALUE(MID(C393,1,2)))+TIME(VALUE(MID(C393,12,2)),VALUE(MID(C393,15,2)),0))</f>
        <v>41730.9902777778</v>
      </c>
      <c r="U393" s="3" t="str">
        <f aca="false">IFERROR(IF(ISNUMBER(VALUE(TRIM(MID(A393,FIND("-",A393)+1,FIND("km",A393)-FIND("-",A393)-1)))),"Distance + direction + city","Named-region"),"Named-region")</f>
        <v>Distance + direction + city</v>
      </c>
      <c r="V393" s="3" t="str">
        <f aca="false">LOWER(M393)</f>
        <v>mww</v>
      </c>
      <c r="W393" s="3" t="n">
        <f aca="false">COUNTIFS($A$2:$A$1001,A393,$C$2:$C$1001,C393)</f>
        <v>1</v>
      </c>
      <c r="X393" s="3" t="str">
        <f aca="false">IF(W393&gt;1,"Duplicate","Unique")</f>
        <v>Unique</v>
      </c>
      <c r="Y393" s="3" t="str">
        <f aca="false">IF(B393&lt;6.5,"&lt;6.5",IF(B393&lt;7,"6.5–6.9",IF(B393&lt;7.5,"7.0–7.4",IF(B393&lt;8,"7.5–7.9","8.0+"))))</f>
        <v>8.0+</v>
      </c>
      <c r="Z393" s="3" t="n">
        <f aca="false">IF(T393="","",YEAR(T393))</f>
        <v>2014</v>
      </c>
    </row>
    <row r="394" customFormat="false" ht="13.8" hidden="false" customHeight="false" outlineLevel="0" collapsed="false">
      <c r="A394" s="3" t="s">
        <v>1083</v>
      </c>
      <c r="B394" s="3" t="n">
        <v>6.7</v>
      </c>
      <c r="C394" s="3" t="s">
        <v>1084</v>
      </c>
      <c r="D394" s="3" t="n">
        <v>7</v>
      </c>
      <c r="E394" s="3" t="n">
        <v>7</v>
      </c>
      <c r="F394" s="3" t="s">
        <v>21</v>
      </c>
      <c r="G394" s="3" t="n">
        <v>1</v>
      </c>
      <c r="H394" s="3" t="n">
        <v>718</v>
      </c>
      <c r="I394" s="3" t="s">
        <v>22</v>
      </c>
      <c r="J394" s="3" t="n">
        <v>0</v>
      </c>
      <c r="K394" s="3" t="n">
        <v>1.008</v>
      </c>
      <c r="L394" s="3" t="n">
        <v>44</v>
      </c>
      <c r="M394" s="3" t="s">
        <v>23</v>
      </c>
      <c r="N394" s="3" t="n">
        <v>20</v>
      </c>
      <c r="O394" s="3" t="n">
        <v>-19.9807</v>
      </c>
      <c r="P394" s="3" t="n">
        <v>-70.7022</v>
      </c>
      <c r="Q394" s="3" t="s">
        <v>1076</v>
      </c>
      <c r="R394" s="3"/>
      <c r="S394" s="3"/>
      <c r="T394" s="5" t="n">
        <f aca="false">IF(C394="","",DATE(VALUE(MID(C394,7,4)),VALUE(MID(C394,4,2)),VALUE(MID(C394,1,2)))+TIME(VALUE(MID(C394,12,2)),VALUE(MID(C394,15,2)),0))</f>
        <v>41714.8861111111</v>
      </c>
      <c r="U394" s="3" t="str">
        <f aca="false">IFERROR(IF(ISNUMBER(VALUE(TRIM(MID(A394,FIND("-",A394)+1,FIND("km",A394)-FIND("-",A394)-1)))),"Distance + direction + city","Named-region"),"Named-region")</f>
        <v>Distance + direction + city</v>
      </c>
      <c r="V394" s="3" t="str">
        <f aca="false">LOWER(M394)</f>
        <v>mww</v>
      </c>
      <c r="W394" s="3" t="n">
        <f aca="false">COUNTIFS($A$2:$A$1001,A394,$C$2:$C$1001,C394)</f>
        <v>1</v>
      </c>
      <c r="X394" s="3" t="str">
        <f aca="false">IF(W394&gt;1,"Duplicate","Unique")</f>
        <v>Unique</v>
      </c>
      <c r="Y394" s="3" t="str">
        <f aca="false">IF(B394&lt;6.5,"&lt;6.5",IF(B394&lt;7,"6.5–6.9",IF(B394&lt;7.5,"7.0–7.4",IF(B394&lt;8,"7.5–7.9","8.0+"))))</f>
        <v>6.5–6.9</v>
      </c>
      <c r="Z394" s="3" t="n">
        <f aca="false">IF(T394="","",YEAR(T394))</f>
        <v>2014</v>
      </c>
    </row>
    <row r="395" customFormat="false" ht="13.8" hidden="false" customHeight="false" outlineLevel="0" collapsed="false">
      <c r="A395" s="3" t="s">
        <v>1085</v>
      </c>
      <c r="B395" s="3" t="n">
        <v>6.8</v>
      </c>
      <c r="C395" s="6" t="s">
        <v>1086</v>
      </c>
      <c r="D395" s="3" t="n">
        <v>5</v>
      </c>
      <c r="E395" s="3" t="n">
        <v>5</v>
      </c>
      <c r="F395" s="3" t="s">
        <v>21</v>
      </c>
      <c r="G395" s="3" t="n">
        <v>1</v>
      </c>
      <c r="H395" s="3" t="n">
        <v>1211</v>
      </c>
      <c r="I395" s="3" t="s">
        <v>1087</v>
      </c>
      <c r="J395" s="3" t="n">
        <v>112</v>
      </c>
      <c r="K395" s="3" t="n">
        <v>0.6568</v>
      </c>
      <c r="L395" s="3" t="n">
        <v>229</v>
      </c>
      <c r="M395" s="3" t="s">
        <v>485</v>
      </c>
      <c r="N395" s="3" t="n">
        <v>16.441</v>
      </c>
      <c r="O395" s="3" t="n">
        <v>40.8287</v>
      </c>
      <c r="P395" s="3" t="n">
        <v>-125.134</v>
      </c>
      <c r="Q395" s="3" t="s">
        <v>1088</v>
      </c>
      <c r="R395" s="3"/>
      <c r="S395" s="3"/>
      <c r="T395" s="5" t="n">
        <f aca="false">IF(C395="","",DATE(VALUE(MID(C395,7,4)),VALUE(MID(C395,4,2)),VALUE(MID(C395,1,2)))+TIME(VALUE(MID(C395,12,2)),VALUE(MID(C395,15,2)),0))</f>
        <v>41708.2208333333</v>
      </c>
      <c r="U395" s="3" t="str">
        <f aca="false">IFERROR(IF(ISNUMBER(VALUE(TRIM(MID(A395,FIND("-",A395)+1,FIND("km",A395)-FIND("-",A395)-1)))),"Distance + direction + city","Named-region"),"Named-region")</f>
        <v>Distance + direction + city</v>
      </c>
      <c r="V395" s="3" t="str">
        <f aca="false">LOWER(M395)</f>
        <v>mw</v>
      </c>
      <c r="W395" s="3" t="n">
        <f aca="false">COUNTIFS($A$2:$A$1001,A395,$C$2:$C$1001,C395)</f>
        <v>1</v>
      </c>
      <c r="X395" s="3" t="str">
        <f aca="false">IF(W395&gt;1,"Duplicate","Unique")</f>
        <v>Unique</v>
      </c>
      <c r="Y395" s="3" t="str">
        <f aca="false">IF(B395&lt;6.5,"&lt;6.5",IF(B395&lt;7,"6.5–6.9",IF(B395&lt;7.5,"7.0–7.4",IF(B395&lt;8,"7.5–7.9","8.0+"))))</f>
        <v>6.5–6.9</v>
      </c>
      <c r="Z395" s="3" t="n">
        <f aca="false">IF(T395="","",YEAR(T395))</f>
        <v>2014</v>
      </c>
    </row>
    <row r="396" customFormat="false" ht="13.8" hidden="false" customHeight="false" outlineLevel="0" collapsed="false">
      <c r="A396" s="3" t="s">
        <v>1089</v>
      </c>
      <c r="B396" s="3" t="n">
        <v>6.5</v>
      </c>
      <c r="C396" s="6" t="s">
        <v>1090</v>
      </c>
      <c r="D396" s="3" t="n">
        <v>4</v>
      </c>
      <c r="E396" s="3" t="n">
        <v>5</v>
      </c>
      <c r="F396" s="3" t="s">
        <v>21</v>
      </c>
      <c r="G396" s="3" t="n">
        <v>1</v>
      </c>
      <c r="H396" s="3" t="n">
        <v>668</v>
      </c>
      <c r="I396" s="3" t="s">
        <v>22</v>
      </c>
      <c r="J396" s="3" t="n">
        <v>0</v>
      </c>
      <c r="K396" s="3" t="n">
        <v>1.001</v>
      </c>
      <c r="L396" s="3" t="n">
        <v>17</v>
      </c>
      <c r="M396" s="3" t="s">
        <v>23</v>
      </c>
      <c r="N396" s="3" t="n">
        <v>119</v>
      </c>
      <c r="O396" s="3" t="n">
        <v>27.4312</v>
      </c>
      <c r="P396" s="3" t="n">
        <v>127.367</v>
      </c>
      <c r="Q396" s="3" t="s">
        <v>1091</v>
      </c>
      <c r="R396" s="3"/>
      <c r="S396" s="3"/>
      <c r="T396" s="5" t="n">
        <f aca="false">IF(C396="","",DATE(VALUE(MID(C396,7,4)),VALUE(MID(C396,4,2)),VALUE(MID(C396,1,2)))+TIME(VALUE(MID(C396,12,2)),VALUE(MID(C396,15,2)),0))</f>
        <v>41700.8409722222</v>
      </c>
      <c r="U396" s="3" t="str">
        <f aca="false">IFERROR(IF(ISNUMBER(VALUE(TRIM(MID(A396,FIND("-",A396)+1,FIND("km",A396)-FIND("-",A396)-1)))),"Distance + direction + city","Named-region"),"Named-region")</f>
        <v>Distance + direction + city</v>
      </c>
      <c r="V396" s="3" t="str">
        <f aca="false">LOWER(M396)</f>
        <v>mww</v>
      </c>
      <c r="W396" s="3" t="n">
        <f aca="false">COUNTIFS($A$2:$A$1001,A396,$C$2:$C$1001,C396)</f>
        <v>1</v>
      </c>
      <c r="X396" s="3" t="str">
        <f aca="false">IF(W396&gt;1,"Duplicate","Unique")</f>
        <v>Unique</v>
      </c>
      <c r="Y396" s="3" t="str">
        <f aca="false">IF(B396&lt;6.5,"&lt;6.5",IF(B396&lt;7,"6.5–6.9",IF(B396&lt;7.5,"7.0–7.4",IF(B396&lt;8,"7.5–7.9","8.0+"))))</f>
        <v>6.5–6.9</v>
      </c>
      <c r="Z396" s="3" t="n">
        <f aca="false">IF(T396="","",YEAR(T396))</f>
        <v>2014</v>
      </c>
    </row>
    <row r="397" customFormat="false" ht="13.8" hidden="false" customHeight="false" outlineLevel="0" collapsed="false">
      <c r="A397" s="3" t="s">
        <v>1092</v>
      </c>
      <c r="B397" s="3" t="n">
        <v>6.5</v>
      </c>
      <c r="C397" s="3" t="s">
        <v>1093</v>
      </c>
      <c r="D397" s="3" t="n">
        <v>5</v>
      </c>
      <c r="E397" s="3" t="n">
        <v>4</v>
      </c>
      <c r="F397" s="3" t="s">
        <v>21</v>
      </c>
      <c r="G397" s="3" t="n">
        <v>1</v>
      </c>
      <c r="H397" s="3" t="n">
        <v>681</v>
      </c>
      <c r="I397" s="3" t="s">
        <v>22</v>
      </c>
      <c r="J397" s="3" t="n">
        <v>0</v>
      </c>
      <c r="K397" s="3" t="n">
        <v>1.635</v>
      </c>
      <c r="L397" s="3" t="n">
        <v>30</v>
      </c>
      <c r="M397" s="3" t="s">
        <v>23</v>
      </c>
      <c r="N397" s="3" t="n">
        <v>14.83</v>
      </c>
      <c r="O397" s="3" t="n">
        <v>14.6682</v>
      </c>
      <c r="P397" s="3" t="n">
        <v>-58.9272</v>
      </c>
      <c r="Q397" s="3" t="s">
        <v>1094</v>
      </c>
      <c r="R397" s="3"/>
      <c r="S397" s="3"/>
      <c r="T397" s="5" t="n">
        <f aca="false">IF(C397="","",DATE(VALUE(MID(C397,7,4)),VALUE(MID(C397,4,2)),VALUE(MID(C397,1,2)))+TIME(VALUE(MID(C397,12,2)),VALUE(MID(C397,15,2)),0))</f>
        <v>41688.39375</v>
      </c>
      <c r="U397" s="3" t="str">
        <f aca="false">IFERROR(IF(ISNUMBER(VALUE(TRIM(MID(A397,FIND("-",A397)+1,FIND("km",A397)-FIND("-",A397)-1)))),"Distance + direction + city","Named-region"),"Named-region")</f>
        <v>Distance + direction + city</v>
      </c>
      <c r="V397" s="3" t="str">
        <f aca="false">LOWER(M397)</f>
        <v>mww</v>
      </c>
      <c r="W397" s="3" t="n">
        <f aca="false">COUNTIFS($A$2:$A$1001,A397,$C$2:$C$1001,C397)</f>
        <v>1</v>
      </c>
      <c r="X397" s="3" t="str">
        <f aca="false">IF(W397&gt;1,"Duplicate","Unique")</f>
        <v>Unique</v>
      </c>
      <c r="Y397" s="3" t="str">
        <f aca="false">IF(B397&lt;6.5,"&lt;6.5",IF(B397&lt;7,"6.5–6.9",IF(B397&lt;7.5,"7.0–7.4",IF(B397&lt;8,"7.5–7.9","8.0+"))))</f>
        <v>6.5–6.9</v>
      </c>
      <c r="Z397" s="3" t="n">
        <f aca="false">IF(T397="","",YEAR(T397))</f>
        <v>2014</v>
      </c>
    </row>
    <row r="398" customFormat="false" ht="13.8" hidden="false" customHeight="false" outlineLevel="0" collapsed="false">
      <c r="A398" s="3" t="s">
        <v>1095</v>
      </c>
      <c r="B398" s="3" t="n">
        <v>6.9</v>
      </c>
      <c r="C398" s="6" t="s">
        <v>1096</v>
      </c>
      <c r="D398" s="3" t="n">
        <v>3</v>
      </c>
      <c r="E398" s="3" t="n">
        <v>8</v>
      </c>
      <c r="F398" s="3" t="s">
        <v>28</v>
      </c>
      <c r="G398" s="3" t="n">
        <v>0</v>
      </c>
      <c r="H398" s="3" t="n">
        <v>733</v>
      </c>
      <c r="I398" s="3" t="s">
        <v>22</v>
      </c>
      <c r="J398" s="3" t="n">
        <v>0</v>
      </c>
      <c r="K398" s="3" t="n">
        <v>7.496</v>
      </c>
      <c r="L398" s="3" t="n">
        <v>18</v>
      </c>
      <c r="M398" s="3" t="s">
        <v>23</v>
      </c>
      <c r="N398" s="3" t="n">
        <v>10</v>
      </c>
      <c r="O398" s="3" t="n">
        <v>35.9053</v>
      </c>
      <c r="P398" s="3" t="n">
        <v>82.5864</v>
      </c>
      <c r="Q398" s="3" t="s">
        <v>1097</v>
      </c>
      <c r="R398" s="3" t="s">
        <v>80</v>
      </c>
      <c r="S398" s="3" t="s">
        <v>184</v>
      </c>
      <c r="T398" s="5" t="n">
        <f aca="false">IF(C398="","",DATE(VALUE(MID(C398,7,4)),VALUE(MID(C398,4,2)),VALUE(MID(C398,1,2)))+TIME(VALUE(MID(C398,12,2)),VALUE(MID(C398,15,2)),0))</f>
        <v>41682.3881944444</v>
      </c>
      <c r="U398" s="3" t="str">
        <f aca="false">IFERROR(IF(ISNUMBER(VALUE(TRIM(MID(A398,FIND("-",A398)+1,FIND("km",A398)-FIND("-",A398)-1)))),"Distance + direction + city","Named-region"),"Named-region")</f>
        <v>Distance + direction + city</v>
      </c>
      <c r="V398" s="3" t="str">
        <f aca="false">LOWER(M398)</f>
        <v>mww</v>
      </c>
      <c r="W398" s="3" t="n">
        <f aca="false">COUNTIFS($A$2:$A$1001,A398,$C$2:$C$1001,C398)</f>
        <v>1</v>
      </c>
      <c r="X398" s="3" t="str">
        <f aca="false">IF(W398&gt;1,"Duplicate","Unique")</f>
        <v>Unique</v>
      </c>
      <c r="Y398" s="3" t="str">
        <f aca="false">IF(B398&lt;6.5,"&lt;6.5",IF(B398&lt;7,"6.5–6.9",IF(B398&lt;7.5,"7.0–7.4",IF(B398&lt;8,"7.5–7.9","8.0+"))))</f>
        <v>6.5–6.9</v>
      </c>
      <c r="Z398" s="3" t="n">
        <f aca="false">IF(T398="","",YEAR(T398))</f>
        <v>2014</v>
      </c>
    </row>
    <row r="399" customFormat="false" ht="13.8" hidden="false" customHeight="false" outlineLevel="0" collapsed="false">
      <c r="A399" s="3" t="s">
        <v>1098</v>
      </c>
      <c r="B399" s="3" t="n">
        <v>6.5</v>
      </c>
      <c r="C399" s="6" t="s">
        <v>1099</v>
      </c>
      <c r="D399" s="3" t="n">
        <v>0</v>
      </c>
      <c r="E399" s="3" t="n">
        <v>5</v>
      </c>
      <c r="F399" s="3" t="s">
        <v>21</v>
      </c>
      <c r="G399" s="3" t="n">
        <v>1</v>
      </c>
      <c r="H399" s="3" t="n">
        <v>650</v>
      </c>
      <c r="I399" s="3" t="s">
        <v>22</v>
      </c>
      <c r="J399" s="3" t="n">
        <v>0</v>
      </c>
      <c r="K399" s="3" t="n">
        <v>0.409</v>
      </c>
      <c r="L399" s="3" t="n">
        <v>20</v>
      </c>
      <c r="M399" s="3" t="s">
        <v>23</v>
      </c>
      <c r="N399" s="3" t="n">
        <v>122</v>
      </c>
      <c r="O399" s="3" t="n">
        <v>-15.0691</v>
      </c>
      <c r="P399" s="3" t="n">
        <v>167.372</v>
      </c>
      <c r="Q399" s="3" t="s">
        <v>104</v>
      </c>
      <c r="R399" s="3"/>
      <c r="S399" s="3" t="s">
        <v>25</v>
      </c>
      <c r="T399" s="5" t="n">
        <f aca="false">IF(C399="","",DATE(VALUE(MID(C399,7,4)),VALUE(MID(C399,4,2)),VALUE(MID(C399,1,2)))+TIME(VALUE(MID(C399,12,2)),VALUE(MID(C399,15,2)),0))</f>
        <v>41677.3611111111</v>
      </c>
      <c r="U399" s="3" t="str">
        <f aca="false">IFERROR(IF(ISNUMBER(VALUE(TRIM(MID(A399,FIND("-",A399)+1,FIND("km",A399)-FIND("-",A399)-1)))),"Distance + direction + city","Named-region"),"Named-region")</f>
        <v>Distance + direction + city</v>
      </c>
      <c r="V399" s="3" t="str">
        <f aca="false">LOWER(M399)</f>
        <v>mww</v>
      </c>
      <c r="W399" s="3" t="n">
        <f aca="false">COUNTIFS($A$2:$A$1001,A399,$C$2:$C$1001,C399)</f>
        <v>1</v>
      </c>
      <c r="X399" s="3" t="str">
        <f aca="false">IF(W399&gt;1,"Duplicate","Unique")</f>
        <v>Unique</v>
      </c>
      <c r="Y399" s="3" t="str">
        <f aca="false">IF(B399&lt;6.5,"&lt;6.5",IF(B399&lt;7,"6.5–6.9",IF(B399&lt;7.5,"7.0–7.4",IF(B399&lt;8,"7.5–7.9","8.0+"))))</f>
        <v>6.5–6.9</v>
      </c>
      <c r="Z399" s="3" t="n">
        <f aca="false">IF(T399="","",YEAR(T399))</f>
        <v>2014</v>
      </c>
    </row>
    <row r="400" customFormat="false" ht="13.8" hidden="false" customHeight="false" outlineLevel="0" collapsed="false">
      <c r="A400" s="3" t="s">
        <v>1100</v>
      </c>
      <c r="B400" s="3" t="n">
        <v>6.5</v>
      </c>
      <c r="C400" s="6" t="s">
        <v>1101</v>
      </c>
      <c r="D400" s="3" t="n">
        <v>0</v>
      </c>
      <c r="E400" s="3" t="n">
        <v>3</v>
      </c>
      <c r="F400" s="3" t="s">
        <v>21</v>
      </c>
      <c r="G400" s="3" t="n">
        <v>1</v>
      </c>
      <c r="H400" s="3" t="n">
        <v>650</v>
      </c>
      <c r="I400" s="3" t="s">
        <v>22</v>
      </c>
      <c r="J400" s="3" t="n">
        <v>0</v>
      </c>
      <c r="K400" s="3" t="n">
        <v>3.651</v>
      </c>
      <c r="L400" s="3" t="n">
        <v>22</v>
      </c>
      <c r="M400" s="3" t="s">
        <v>23</v>
      </c>
      <c r="N400" s="3" t="n">
        <v>44.26</v>
      </c>
      <c r="O400" s="3" t="n">
        <v>-32.9076</v>
      </c>
      <c r="P400" s="3" t="n">
        <v>-177.881</v>
      </c>
      <c r="Q400" s="3" t="s">
        <v>187</v>
      </c>
      <c r="R400" s="3"/>
      <c r="S400" s="3"/>
      <c r="T400" s="5" t="n">
        <f aca="false">IF(C400="","",DATE(VALUE(MID(C400,7,4)),VALUE(MID(C400,4,2)),VALUE(MID(C400,1,2)))+TIME(VALUE(MID(C400,12,2)),VALUE(MID(C400,15,2)),0))</f>
        <v>41672.3930555556</v>
      </c>
      <c r="U400" s="3" t="str">
        <f aca="false">IFERROR(IF(ISNUMBER(VALUE(TRIM(MID(A400,FIND("-",A400)+1,FIND("km",A400)-FIND("-",A400)-1)))),"Distance + direction + city","Named-region"),"Named-region")</f>
        <v>Named-region</v>
      </c>
      <c r="V400" s="3" t="str">
        <f aca="false">LOWER(M400)</f>
        <v>mww</v>
      </c>
      <c r="W400" s="3" t="n">
        <f aca="false">COUNTIFS($A$2:$A$1001,A400,$C$2:$C$1001,C400)</f>
        <v>1</v>
      </c>
      <c r="X400" s="3" t="str">
        <f aca="false">IF(W400&gt;1,"Duplicate","Unique")</f>
        <v>Unique</v>
      </c>
      <c r="Y400" s="3" t="str">
        <f aca="false">IF(B400&lt;6.5,"&lt;6.5",IF(B400&lt;7,"6.5–6.9",IF(B400&lt;7.5,"7.0–7.4",IF(B400&lt;8,"7.5–7.9","8.0+"))))</f>
        <v>6.5–6.9</v>
      </c>
      <c r="Z400" s="3" t="n">
        <f aca="false">IF(T400="","",YEAR(T400))</f>
        <v>2014</v>
      </c>
    </row>
    <row r="401" customFormat="false" ht="13.8" hidden="false" customHeight="false" outlineLevel="0" collapsed="false">
      <c r="A401" s="3" t="s">
        <v>1102</v>
      </c>
      <c r="B401" s="3" t="n">
        <v>6.5</v>
      </c>
      <c r="C401" s="6" t="s">
        <v>1103</v>
      </c>
      <c r="D401" s="3" t="n">
        <v>0</v>
      </c>
      <c r="E401" s="3" t="n">
        <v>4</v>
      </c>
      <c r="F401" s="3" t="s">
        <v>21</v>
      </c>
      <c r="G401" s="3" t="n">
        <v>1</v>
      </c>
      <c r="H401" s="3" t="n">
        <v>650</v>
      </c>
      <c r="I401" s="3" t="s">
        <v>22</v>
      </c>
      <c r="J401" s="3" t="n">
        <v>0</v>
      </c>
      <c r="K401" s="3" t="n">
        <v>3.997</v>
      </c>
      <c r="L401" s="3" t="n">
        <v>14</v>
      </c>
      <c r="M401" s="3" t="s">
        <v>23</v>
      </c>
      <c r="N401" s="3" t="n">
        <v>187</v>
      </c>
      <c r="O401" s="3" t="n">
        <v>-13.8633</v>
      </c>
      <c r="P401" s="3" t="n">
        <v>167.249</v>
      </c>
      <c r="Q401" s="3" t="s">
        <v>24</v>
      </c>
      <c r="R401" s="3"/>
      <c r="S401" s="3" t="s">
        <v>25</v>
      </c>
      <c r="T401" s="5" t="n">
        <f aca="false">IF(C401="","",DATE(VALUE(MID(C401,7,4)),VALUE(MID(C401,4,2)),VALUE(MID(C401,1,2)))+TIME(VALUE(MID(C401,12,2)),VALUE(MID(C401,15,2)),0))</f>
        <v>41640.66875</v>
      </c>
      <c r="U401" s="3" t="str">
        <f aca="false">IFERROR(IF(ISNUMBER(VALUE(TRIM(MID(A401,FIND("-",A401)+1,FIND("km",A401)-FIND("-",A401)-1)))),"Distance + direction + city","Named-region"),"Named-region")</f>
        <v>Distance + direction + city</v>
      </c>
      <c r="V401" s="3" t="str">
        <f aca="false">LOWER(M401)</f>
        <v>mww</v>
      </c>
      <c r="W401" s="3" t="n">
        <f aca="false">COUNTIFS($A$2:$A$1001,A401,$C$2:$C$1001,C401)</f>
        <v>1</v>
      </c>
      <c r="X401" s="3" t="str">
        <f aca="false">IF(W401&gt;1,"Duplicate","Unique")</f>
        <v>Unique</v>
      </c>
      <c r="Y401" s="3" t="str">
        <f aca="false">IF(B401&lt;6.5,"&lt;6.5",IF(B401&lt;7,"6.5–6.9",IF(B401&lt;7.5,"7.0–7.4",IF(B401&lt;8,"7.5–7.9","8.0+"))))</f>
        <v>6.5–6.9</v>
      </c>
      <c r="Z401" s="3" t="n">
        <f aca="false">IF(T401="","",YEAR(T401))</f>
        <v>2014</v>
      </c>
    </row>
    <row r="402" customFormat="false" ht="13.8" hidden="false" customHeight="false" outlineLevel="0" collapsed="false">
      <c r="A402" s="3" t="s">
        <v>1104</v>
      </c>
      <c r="B402" s="3" t="n">
        <v>6.5</v>
      </c>
      <c r="C402" s="3" t="s">
        <v>1105</v>
      </c>
      <c r="D402" s="3" t="n">
        <v>3</v>
      </c>
      <c r="E402" s="3" t="n">
        <v>4</v>
      </c>
      <c r="F402" s="3" t="s">
        <v>21</v>
      </c>
      <c r="G402" s="3" t="n">
        <v>0</v>
      </c>
      <c r="H402" s="3" t="n">
        <v>651</v>
      </c>
      <c r="I402" s="3" t="s">
        <v>22</v>
      </c>
      <c r="J402" s="3" t="n">
        <v>0</v>
      </c>
      <c r="K402" s="3" t="n">
        <v>5.194</v>
      </c>
      <c r="L402" s="3" t="n">
        <v>22</v>
      </c>
      <c r="M402" s="3" t="s">
        <v>23</v>
      </c>
      <c r="N402" s="3" t="n">
        <v>371</v>
      </c>
      <c r="O402" s="3" t="n">
        <v>-17.1171</v>
      </c>
      <c r="P402" s="3" t="n">
        <v>-176.545</v>
      </c>
      <c r="Q402" s="3" t="s">
        <v>792</v>
      </c>
      <c r="R402" s="3"/>
      <c r="S402" s="3"/>
      <c r="T402" s="5" t="n">
        <f aca="false">IF(C402="","",DATE(VALUE(MID(C402,7,4)),VALUE(MID(C402,4,2)),VALUE(MID(C402,1,2)))+TIME(VALUE(MID(C402,12,2)),VALUE(MID(C402,15,2)),0))</f>
        <v>41601.325</v>
      </c>
      <c r="U402" s="3" t="str">
        <f aca="false">IFERROR(IF(ISNUMBER(VALUE(TRIM(MID(A402,FIND("-",A402)+1,FIND("km",A402)-FIND("-",A402)-1)))),"Distance + direction + city","Named-region"),"Named-region")</f>
        <v>Named-region</v>
      </c>
      <c r="V402" s="3" t="str">
        <f aca="false">LOWER(M402)</f>
        <v>mww</v>
      </c>
      <c r="W402" s="3" t="n">
        <f aca="false">COUNTIFS($A$2:$A$1001,A402,$C$2:$C$1001,C402)</f>
        <v>1</v>
      </c>
      <c r="X402" s="3" t="str">
        <f aca="false">IF(W402&gt;1,"Duplicate","Unique")</f>
        <v>Unique</v>
      </c>
      <c r="Y402" s="3" t="str">
        <f aca="false">IF(B402&lt;6.5,"&lt;6.5",IF(B402&lt;7,"6.5–6.9",IF(B402&lt;7.5,"7.0–7.4",IF(B402&lt;8,"7.5–7.9","8.0+"))))</f>
        <v>6.5–6.9</v>
      </c>
      <c r="Z402" s="3" t="n">
        <f aca="false">IF(T402="","",YEAR(T402))</f>
        <v>2013</v>
      </c>
    </row>
    <row r="403" customFormat="false" ht="13.8" hidden="false" customHeight="false" outlineLevel="0" collapsed="false">
      <c r="A403" s="3" t="s">
        <v>1106</v>
      </c>
      <c r="B403" s="3" t="n">
        <v>7.7</v>
      </c>
      <c r="C403" s="3" t="s">
        <v>1107</v>
      </c>
      <c r="D403" s="3" t="n">
        <v>1</v>
      </c>
      <c r="E403" s="3" t="n">
        <v>8</v>
      </c>
      <c r="F403" s="3" t="s">
        <v>21</v>
      </c>
      <c r="G403" s="3" t="n">
        <v>1</v>
      </c>
      <c r="H403" s="3" t="n">
        <v>912</v>
      </c>
      <c r="I403" s="3" t="s">
        <v>22</v>
      </c>
      <c r="J403" s="3" t="n">
        <v>0</v>
      </c>
      <c r="K403" s="3" t="n">
        <v>8.05</v>
      </c>
      <c r="L403" s="3" t="n">
        <v>23</v>
      </c>
      <c r="M403" s="3" t="s">
        <v>23</v>
      </c>
      <c r="N403" s="3" t="n">
        <v>10</v>
      </c>
      <c r="O403" s="3" t="n">
        <v>-60.2738</v>
      </c>
      <c r="P403" s="3" t="n">
        <v>-46.4011</v>
      </c>
      <c r="Q403" s="3" t="s">
        <v>1108</v>
      </c>
      <c r="R403" s="3"/>
      <c r="S403" s="3" t="s">
        <v>464</v>
      </c>
      <c r="T403" s="5" t="n">
        <f aca="false">IF(C403="","",DATE(VALUE(MID(C403,7,4)),VALUE(MID(C403,4,2)),VALUE(MID(C403,1,2)))+TIME(VALUE(MID(C403,12,2)),VALUE(MID(C403,15,2)),0))</f>
        <v>41595.3777777778</v>
      </c>
      <c r="U403" s="3" t="str">
        <f aca="false">IFERROR(IF(ISNUMBER(VALUE(TRIM(MID(A403,FIND("-",A403)+1,FIND("km",A403)-FIND("-",A403)-1)))),"Distance + direction + city","Named-region"),"Named-region")</f>
        <v>Named-region</v>
      </c>
      <c r="V403" s="3" t="str">
        <f aca="false">LOWER(M403)</f>
        <v>mww</v>
      </c>
      <c r="W403" s="3" t="n">
        <f aca="false">COUNTIFS($A$2:$A$1001,A403,$C$2:$C$1001,C403)</f>
        <v>1</v>
      </c>
      <c r="X403" s="3" t="str">
        <f aca="false">IF(W403&gt;1,"Duplicate","Unique")</f>
        <v>Unique</v>
      </c>
      <c r="Y403" s="3" t="str">
        <f aca="false">IF(B403&lt;6.5,"&lt;6.5",IF(B403&lt;7,"6.5–6.9",IF(B403&lt;7.5,"7.0–7.4",IF(B403&lt;8,"7.5–7.9","8.0+"))))</f>
        <v>7.5–7.9</v>
      </c>
      <c r="Z403" s="3" t="n">
        <f aca="false">IF(T403="","",YEAR(T403))</f>
        <v>2013</v>
      </c>
    </row>
    <row r="404" customFormat="false" ht="13.8" hidden="false" customHeight="false" outlineLevel="0" collapsed="false">
      <c r="A404" s="3" t="s">
        <v>1109</v>
      </c>
      <c r="B404" s="3" t="n">
        <v>6.9</v>
      </c>
      <c r="C404" s="3" t="s">
        <v>1110</v>
      </c>
      <c r="D404" s="3" t="n">
        <v>0</v>
      </c>
      <c r="E404" s="3" t="n">
        <v>5</v>
      </c>
      <c r="F404" s="3" t="s">
        <v>21</v>
      </c>
      <c r="G404" s="3" t="n">
        <v>1</v>
      </c>
      <c r="H404" s="3" t="n">
        <v>732</v>
      </c>
      <c r="I404" s="3" t="s">
        <v>22</v>
      </c>
      <c r="J404" s="3" t="n">
        <v>0</v>
      </c>
      <c r="K404" s="3" t="n">
        <v>8.284</v>
      </c>
      <c r="L404" s="3" t="n">
        <v>17</v>
      </c>
      <c r="M404" s="3" t="s">
        <v>23</v>
      </c>
      <c r="N404" s="3" t="n">
        <v>9.97</v>
      </c>
      <c r="O404" s="3" t="n">
        <v>-60.2627</v>
      </c>
      <c r="P404" s="3" t="n">
        <v>-47.0621</v>
      </c>
      <c r="Q404" s="3" t="s">
        <v>1108</v>
      </c>
      <c r="R404" s="3"/>
      <c r="S404" s="3" t="s">
        <v>464</v>
      </c>
      <c r="T404" s="5" t="n">
        <f aca="false">IF(C404="","",DATE(VALUE(MID(C404,7,4)),VALUE(MID(C404,4,2)),VALUE(MID(C404,1,2)))+TIME(VALUE(MID(C404,12,2)),VALUE(MID(C404,15,2)),0))</f>
        <v>41594.1486111111</v>
      </c>
      <c r="U404" s="3" t="str">
        <f aca="false">IFERROR(IF(ISNUMBER(VALUE(TRIM(MID(A404,FIND("-",A404)+1,FIND("km",A404)-FIND("-",A404)-1)))),"Distance + direction + city","Named-region"),"Named-region")</f>
        <v>Named-region</v>
      </c>
      <c r="V404" s="3" t="str">
        <f aca="false">LOWER(M404)</f>
        <v>mww</v>
      </c>
      <c r="W404" s="3" t="n">
        <f aca="false">COUNTIFS($A$2:$A$1001,A404,$C$2:$C$1001,C404)</f>
        <v>1</v>
      </c>
      <c r="X404" s="3" t="str">
        <f aca="false">IF(W404&gt;1,"Duplicate","Unique")</f>
        <v>Unique</v>
      </c>
      <c r="Y404" s="3" t="str">
        <f aca="false">IF(B404&lt;6.5,"&lt;6.5",IF(B404&lt;7,"6.5–6.9",IF(B404&lt;7.5,"7.0–7.4",IF(B404&lt;8,"7.5–7.9","8.0+"))))</f>
        <v>6.5–6.9</v>
      </c>
      <c r="Z404" s="3" t="n">
        <f aca="false">IF(T404="","",YEAR(T404))</f>
        <v>2013</v>
      </c>
    </row>
    <row r="405" customFormat="false" ht="13.8" hidden="false" customHeight="false" outlineLevel="0" collapsed="false">
      <c r="A405" s="3" t="s">
        <v>1111</v>
      </c>
      <c r="B405" s="3" t="n">
        <v>6.6</v>
      </c>
      <c r="C405" s="3" t="s">
        <v>1112</v>
      </c>
      <c r="D405" s="3" t="n">
        <v>6</v>
      </c>
      <c r="E405" s="3" t="n">
        <v>7</v>
      </c>
      <c r="F405" s="3" t="s">
        <v>21</v>
      </c>
      <c r="G405" s="3" t="n">
        <v>1</v>
      </c>
      <c r="H405" s="3" t="n">
        <v>723</v>
      </c>
      <c r="I405" s="3" t="s">
        <v>22</v>
      </c>
      <c r="J405" s="3" t="n">
        <v>0</v>
      </c>
      <c r="K405" s="3" t="n">
        <v>0.636</v>
      </c>
      <c r="L405" s="3" t="n">
        <v>31</v>
      </c>
      <c r="M405" s="3" t="s">
        <v>23</v>
      </c>
      <c r="N405" s="3" t="n">
        <v>27</v>
      </c>
      <c r="O405" s="3" t="n">
        <v>-30.2921</v>
      </c>
      <c r="P405" s="3" t="n">
        <v>-71.5215</v>
      </c>
      <c r="Q405" s="3" t="s">
        <v>523</v>
      </c>
      <c r="R405" s="3" t="s">
        <v>33</v>
      </c>
      <c r="S405" s="3" t="s">
        <v>373</v>
      </c>
      <c r="T405" s="5" t="n">
        <f aca="false">IF(C405="","",DATE(VALUE(MID(C405,7,4)),VALUE(MID(C405,4,2)),VALUE(MID(C405,1,2)))+TIME(VALUE(MID(C405,12,2)),VALUE(MID(C405,15,2)),0))</f>
        <v>41578.9604166667</v>
      </c>
      <c r="U405" s="3" t="str">
        <f aca="false">IFERROR(IF(ISNUMBER(VALUE(TRIM(MID(A405,FIND("-",A405)+1,FIND("km",A405)-FIND("-",A405)-1)))),"Distance + direction + city","Named-region"),"Named-region")</f>
        <v>Distance + direction + city</v>
      </c>
      <c r="V405" s="3" t="str">
        <f aca="false">LOWER(M405)</f>
        <v>mww</v>
      </c>
      <c r="W405" s="3" t="n">
        <f aca="false">COUNTIFS($A$2:$A$1001,A405,$C$2:$C$1001,C405)</f>
        <v>1</v>
      </c>
      <c r="X405" s="3" t="str">
        <f aca="false">IF(W405&gt;1,"Duplicate","Unique")</f>
        <v>Unique</v>
      </c>
      <c r="Y405" s="3" t="str">
        <f aca="false">IF(B405&lt;6.5,"&lt;6.5",IF(B405&lt;7,"6.5–6.9",IF(B405&lt;7.5,"7.0–7.4",IF(B405&lt;8,"7.5–7.9","8.0+"))))</f>
        <v>6.5–6.9</v>
      </c>
      <c r="Z405" s="3" t="n">
        <f aca="false">IF(T405="","",YEAR(T405))</f>
        <v>2013</v>
      </c>
    </row>
    <row r="406" customFormat="false" ht="13.8" hidden="false" customHeight="false" outlineLevel="0" collapsed="false">
      <c r="A406" s="3" t="s">
        <v>1113</v>
      </c>
      <c r="B406" s="3" t="n">
        <v>7.1</v>
      </c>
      <c r="C406" s="3" t="s">
        <v>1114</v>
      </c>
      <c r="D406" s="3" t="n">
        <v>6</v>
      </c>
      <c r="E406" s="3" t="n">
        <v>4</v>
      </c>
      <c r="F406" s="3" t="s">
        <v>21</v>
      </c>
      <c r="G406" s="3" t="n">
        <v>1</v>
      </c>
      <c r="H406" s="3" t="n">
        <v>872</v>
      </c>
      <c r="I406" s="3" t="s">
        <v>22</v>
      </c>
      <c r="J406" s="3" t="n">
        <v>0</v>
      </c>
      <c r="K406" s="3" t="n">
        <v>3.968</v>
      </c>
      <c r="L406" s="3" t="n">
        <v>10</v>
      </c>
      <c r="M406" s="3" t="s">
        <v>23</v>
      </c>
      <c r="N406" s="3" t="n">
        <v>35</v>
      </c>
      <c r="O406" s="3" t="n">
        <v>37.1557</v>
      </c>
      <c r="P406" s="3" t="n">
        <v>144.661</v>
      </c>
      <c r="Q406" s="3" t="s">
        <v>1115</v>
      </c>
      <c r="R406" s="3"/>
      <c r="S406" s="3"/>
      <c r="T406" s="5" t="n">
        <f aca="false">IF(C406="","",DATE(VALUE(MID(C406,7,4)),VALUE(MID(C406,4,2)),VALUE(MID(C406,1,2)))+TIME(VALUE(MID(C406,12,2)),VALUE(MID(C406,15,2)),0))</f>
        <v>41572.7152777778</v>
      </c>
      <c r="U406" s="3" t="str">
        <f aca="false">IFERROR(IF(ISNUMBER(VALUE(TRIM(MID(A406,FIND("-",A406)+1,FIND("km",A406)-FIND("-",A406)-1)))),"Distance + direction + city","Named-region"),"Named-region")</f>
        <v>Named-region</v>
      </c>
      <c r="V406" s="3" t="str">
        <f aca="false">LOWER(M406)</f>
        <v>mww</v>
      </c>
      <c r="W406" s="3" t="n">
        <f aca="false">COUNTIFS($A$2:$A$1001,A406,$C$2:$C$1001,C406)</f>
        <v>1</v>
      </c>
      <c r="X406" s="3" t="str">
        <f aca="false">IF(W406&gt;1,"Duplicate","Unique")</f>
        <v>Unique</v>
      </c>
      <c r="Y406" s="3" t="str">
        <f aca="false">IF(B406&lt;6.5,"&lt;6.5",IF(B406&lt;7,"6.5–6.9",IF(B406&lt;7.5,"7.0–7.4",IF(B406&lt;8,"7.5–7.9","8.0+"))))</f>
        <v>7.0–7.4</v>
      </c>
      <c r="Z406" s="3" t="n">
        <f aca="false">IF(T406="","",YEAR(T406))</f>
        <v>2013</v>
      </c>
    </row>
    <row r="407" customFormat="false" ht="13.8" hidden="false" customHeight="false" outlineLevel="0" collapsed="false">
      <c r="A407" s="3" t="s">
        <v>1116</v>
      </c>
      <c r="B407" s="3" t="n">
        <v>6.6</v>
      </c>
      <c r="C407" s="3" t="s">
        <v>1117</v>
      </c>
      <c r="D407" s="3" t="n">
        <v>8</v>
      </c>
      <c r="E407" s="3" t="n">
        <v>5</v>
      </c>
      <c r="F407" s="3" t="s">
        <v>21</v>
      </c>
      <c r="G407" s="3" t="n">
        <v>1</v>
      </c>
      <c r="H407" s="3" t="n">
        <v>692</v>
      </c>
      <c r="I407" s="3" t="s">
        <v>22</v>
      </c>
      <c r="J407" s="3" t="n">
        <v>0</v>
      </c>
      <c r="K407" s="3" t="n">
        <v>1.98</v>
      </c>
      <c r="L407" s="3" t="n">
        <v>44</v>
      </c>
      <c r="M407" s="3" t="s">
        <v>23</v>
      </c>
      <c r="N407" s="3" t="n">
        <v>9.45</v>
      </c>
      <c r="O407" s="3" t="n">
        <v>26.0913</v>
      </c>
      <c r="P407" s="3" t="n">
        <v>-110.321</v>
      </c>
      <c r="Q407" s="3" t="s">
        <v>1118</v>
      </c>
      <c r="R407" s="3"/>
      <c r="S407" s="3"/>
      <c r="T407" s="5" t="n">
        <f aca="false">IF(C407="","",DATE(VALUE(MID(C407,7,4)),VALUE(MID(C407,4,2)),VALUE(MID(C407,1,2)))+TIME(VALUE(MID(C407,12,2)),VALUE(MID(C407,15,2)),0))</f>
        <v>41566.7458333333</v>
      </c>
      <c r="U407" s="3" t="str">
        <f aca="false">IFERROR(IF(ISNUMBER(VALUE(TRIM(MID(A407,FIND("-",A407)+1,FIND("km",A407)-FIND("-",A407)-1)))),"Distance + direction + city","Named-region"),"Named-region")</f>
        <v>Distance + direction + city</v>
      </c>
      <c r="V407" s="3" t="str">
        <f aca="false">LOWER(M407)</f>
        <v>mww</v>
      </c>
      <c r="W407" s="3" t="n">
        <f aca="false">COUNTIFS($A$2:$A$1001,A407,$C$2:$C$1001,C407)</f>
        <v>1</v>
      </c>
      <c r="X407" s="3" t="str">
        <f aca="false">IF(W407&gt;1,"Duplicate","Unique")</f>
        <v>Unique</v>
      </c>
      <c r="Y407" s="3" t="str">
        <f aca="false">IF(B407&lt;6.5,"&lt;6.5",IF(B407&lt;7,"6.5–6.9",IF(B407&lt;7.5,"7.0–7.4",IF(B407&lt;8,"7.5–7.9","8.0+"))))</f>
        <v>6.5–6.9</v>
      </c>
      <c r="Z407" s="3" t="n">
        <f aca="false">IF(T407="","",YEAR(T407))</f>
        <v>2013</v>
      </c>
    </row>
    <row r="408" customFormat="false" ht="13.8" hidden="false" customHeight="false" outlineLevel="0" collapsed="false">
      <c r="A408" s="3" t="s">
        <v>1119</v>
      </c>
      <c r="B408" s="3" t="n">
        <v>6.8</v>
      </c>
      <c r="C408" s="3" t="s">
        <v>1120</v>
      </c>
      <c r="D408" s="3" t="n">
        <v>0</v>
      </c>
      <c r="E408" s="3" t="n">
        <v>6</v>
      </c>
      <c r="F408" s="3" t="s">
        <v>21</v>
      </c>
      <c r="G408" s="3" t="n">
        <v>1</v>
      </c>
      <c r="H408" s="3" t="n">
        <v>711</v>
      </c>
      <c r="I408" s="3" t="s">
        <v>22</v>
      </c>
      <c r="J408" s="3" t="n">
        <v>0</v>
      </c>
      <c r="K408" s="3" t="n">
        <v>5.79</v>
      </c>
      <c r="L408" s="3" t="n">
        <v>9</v>
      </c>
      <c r="M408" s="3" t="s">
        <v>23</v>
      </c>
      <c r="N408" s="3" t="n">
        <v>35</v>
      </c>
      <c r="O408" s="3" t="n">
        <v>-6.4456</v>
      </c>
      <c r="P408" s="3" t="n">
        <v>154.931</v>
      </c>
      <c r="Q408" s="3" t="s">
        <v>736</v>
      </c>
      <c r="R408" s="3"/>
      <c r="S408" s="3" t="s">
        <v>85</v>
      </c>
      <c r="T408" s="5" t="n">
        <f aca="false">IF(C408="","",DATE(VALUE(MID(C408,7,4)),VALUE(MID(C408,4,2)),VALUE(MID(C408,1,2)))+TIME(VALUE(MID(C408,12,2)),VALUE(MID(C408,15,2)),0))</f>
        <v>41563.4375</v>
      </c>
      <c r="U408" s="3" t="str">
        <f aca="false">IFERROR(IF(ISNUMBER(VALUE(TRIM(MID(A408,FIND("-",A408)+1,FIND("km",A408)-FIND("-",A408)-1)))),"Distance + direction + city","Named-region"),"Named-region")</f>
        <v>Distance + direction + city</v>
      </c>
      <c r="V408" s="3" t="str">
        <f aca="false">LOWER(M408)</f>
        <v>mww</v>
      </c>
      <c r="W408" s="3" t="n">
        <f aca="false">COUNTIFS($A$2:$A$1001,A408,$C$2:$C$1001,C408)</f>
        <v>1</v>
      </c>
      <c r="X408" s="3" t="str">
        <f aca="false">IF(W408&gt;1,"Duplicate","Unique")</f>
        <v>Unique</v>
      </c>
      <c r="Y408" s="3" t="str">
        <f aca="false">IF(B408&lt;6.5,"&lt;6.5",IF(B408&lt;7,"6.5–6.9",IF(B408&lt;7.5,"7.0–7.4",IF(B408&lt;8,"7.5–7.9","8.0+"))))</f>
        <v>6.5–6.9</v>
      </c>
      <c r="Z408" s="3" t="n">
        <f aca="false">IF(T408="","",YEAR(T408))</f>
        <v>2013</v>
      </c>
    </row>
    <row r="409" customFormat="false" ht="13.8" hidden="false" customHeight="false" outlineLevel="0" collapsed="false">
      <c r="A409" s="3" t="s">
        <v>1121</v>
      </c>
      <c r="B409" s="3" t="n">
        <v>7.1</v>
      </c>
      <c r="C409" s="3" t="s">
        <v>1122</v>
      </c>
      <c r="D409" s="3" t="n">
        <v>9</v>
      </c>
      <c r="E409" s="3" t="n">
        <v>8</v>
      </c>
      <c r="F409" s="3" t="s">
        <v>95</v>
      </c>
      <c r="G409" s="3" t="n">
        <v>1</v>
      </c>
      <c r="H409" s="3" t="n">
        <v>1092</v>
      </c>
      <c r="I409" s="3" t="s">
        <v>22</v>
      </c>
      <c r="J409" s="3" t="n">
        <v>0</v>
      </c>
      <c r="K409" s="3" t="n">
        <v>3.144</v>
      </c>
      <c r="L409" s="3" t="n">
        <v>12</v>
      </c>
      <c r="M409" s="3" t="s">
        <v>23</v>
      </c>
      <c r="N409" s="3" t="n">
        <v>19.04</v>
      </c>
      <c r="O409" s="3" t="n">
        <v>9.8796</v>
      </c>
      <c r="P409" s="3" t="n">
        <v>124.117</v>
      </c>
      <c r="Q409" s="3" t="s">
        <v>1123</v>
      </c>
      <c r="R409" s="3"/>
      <c r="S409" s="3" t="s">
        <v>191</v>
      </c>
      <c r="T409" s="5" t="n">
        <f aca="false">IF(C409="","",DATE(VALUE(MID(C409,7,4)),VALUE(MID(C409,4,2)),VALUE(MID(C409,1,2)))+TIME(VALUE(MID(C409,12,2)),VALUE(MID(C409,15,2)),0))</f>
        <v>41562.0083333333</v>
      </c>
      <c r="U409" s="3" t="str">
        <f aca="false">IFERROR(IF(ISNUMBER(VALUE(TRIM(MID(A409,FIND("-",A409)+1,FIND("km",A409)-FIND("-",A409)-1)))),"Distance + direction + city","Named-region"),"Named-region")</f>
        <v>Distance + direction + city</v>
      </c>
      <c r="V409" s="3" t="str">
        <f aca="false">LOWER(M409)</f>
        <v>mww</v>
      </c>
      <c r="W409" s="3" t="n">
        <f aca="false">COUNTIFS($A$2:$A$1001,A409,$C$2:$C$1001,C409)</f>
        <v>1</v>
      </c>
      <c r="X409" s="3" t="str">
        <f aca="false">IF(W409&gt;1,"Duplicate","Unique")</f>
        <v>Unique</v>
      </c>
      <c r="Y409" s="3" t="str">
        <f aca="false">IF(B409&lt;6.5,"&lt;6.5",IF(B409&lt;7,"6.5–6.9",IF(B409&lt;7.5,"7.0–7.4",IF(B409&lt;8,"7.5–7.9","8.0+"))))</f>
        <v>7.0–7.4</v>
      </c>
      <c r="Z409" s="3" t="n">
        <f aca="false">IF(T409="","",YEAR(T409))</f>
        <v>2013</v>
      </c>
    </row>
    <row r="410" customFormat="false" ht="13.8" hidden="false" customHeight="false" outlineLevel="0" collapsed="false">
      <c r="A410" s="3" t="s">
        <v>1124</v>
      </c>
      <c r="B410" s="3" t="n">
        <v>6.6</v>
      </c>
      <c r="C410" s="6" t="s">
        <v>1125</v>
      </c>
      <c r="D410" s="3" t="n">
        <v>5</v>
      </c>
      <c r="E410" s="3" t="n">
        <v>6</v>
      </c>
      <c r="F410" s="3" t="s">
        <v>28</v>
      </c>
      <c r="G410" s="3" t="n">
        <v>0</v>
      </c>
      <c r="H410" s="3" t="n">
        <v>691</v>
      </c>
      <c r="I410" s="3" t="s">
        <v>22</v>
      </c>
      <c r="J410" s="3" t="n">
        <v>0</v>
      </c>
      <c r="K410" s="3" t="n">
        <v>1.984</v>
      </c>
      <c r="L410" s="3" t="n">
        <v>40</v>
      </c>
      <c r="M410" s="3" t="s">
        <v>23</v>
      </c>
      <c r="N410" s="3" t="n">
        <v>40</v>
      </c>
      <c r="O410" s="3" t="n">
        <v>35.5142</v>
      </c>
      <c r="P410" s="3" t="n">
        <v>23.2523</v>
      </c>
      <c r="Q410" s="3" t="s">
        <v>1126</v>
      </c>
      <c r="R410" s="3" t="s">
        <v>361</v>
      </c>
      <c r="S410" s="3"/>
      <c r="T410" s="5" t="n">
        <f aca="false">IF(C410="","",DATE(VALUE(MID(C410,7,4)),VALUE(MID(C410,4,2)),VALUE(MID(C410,1,2)))+TIME(VALUE(MID(C410,12,2)),VALUE(MID(C410,15,2)),0))</f>
        <v>41559.5493055556</v>
      </c>
      <c r="U410" s="3" t="str">
        <f aca="false">IFERROR(IF(ISNUMBER(VALUE(TRIM(MID(A410,FIND("-",A410)+1,FIND("km",A410)-FIND("-",A410)-1)))),"Distance + direction + city","Named-region"),"Named-region")</f>
        <v>Distance + direction + city</v>
      </c>
      <c r="V410" s="3" t="str">
        <f aca="false">LOWER(M410)</f>
        <v>mww</v>
      </c>
      <c r="W410" s="3" t="n">
        <f aca="false">COUNTIFS($A$2:$A$1001,A410,$C$2:$C$1001,C410)</f>
        <v>1</v>
      </c>
      <c r="X410" s="3" t="str">
        <f aca="false">IF(W410&gt;1,"Duplicate","Unique")</f>
        <v>Unique</v>
      </c>
      <c r="Y410" s="3" t="str">
        <f aca="false">IF(B410&lt;6.5,"&lt;6.5",IF(B410&lt;7,"6.5–6.9",IF(B410&lt;7.5,"7.0–7.4",IF(B410&lt;8,"7.5–7.9","8.0+"))))</f>
        <v>6.5–6.9</v>
      </c>
      <c r="Z410" s="3" t="n">
        <f aca="false">IF(T410="","",YEAR(T410))</f>
        <v>2013</v>
      </c>
    </row>
    <row r="411" customFormat="false" ht="13.8" hidden="false" customHeight="false" outlineLevel="0" collapsed="false">
      <c r="A411" s="3" t="s">
        <v>1127</v>
      </c>
      <c r="B411" s="3" t="n">
        <v>6.7</v>
      </c>
      <c r="C411" s="6" t="s">
        <v>1128</v>
      </c>
      <c r="D411" s="3" t="n">
        <v>0</v>
      </c>
      <c r="E411" s="3" t="n">
        <v>3</v>
      </c>
      <c r="F411" s="3" t="s">
        <v>21</v>
      </c>
      <c r="G411" s="3" t="n">
        <v>0</v>
      </c>
      <c r="H411" s="3" t="n">
        <v>691</v>
      </c>
      <c r="I411" s="3" t="s">
        <v>22</v>
      </c>
      <c r="J411" s="3" t="n">
        <v>0</v>
      </c>
      <c r="K411" s="3" t="n">
        <v>2.958</v>
      </c>
      <c r="L411" s="3" t="n">
        <v>11</v>
      </c>
      <c r="M411" s="3" t="s">
        <v>23</v>
      </c>
      <c r="N411" s="3" t="n">
        <v>573</v>
      </c>
      <c r="O411" s="3" t="n">
        <v>53.1995</v>
      </c>
      <c r="P411" s="3" t="n">
        <v>152.786</v>
      </c>
      <c r="Q411" s="3" t="s">
        <v>1129</v>
      </c>
      <c r="R411" s="3"/>
      <c r="S411" s="3"/>
      <c r="T411" s="5" t="n">
        <f aca="false">IF(C411="","",DATE(VALUE(MID(C411,7,4)),VALUE(MID(C411,4,2)),VALUE(MID(C411,1,2)))+TIME(VALUE(MID(C411,12,2)),VALUE(MID(C411,15,2)),0))</f>
        <v>41548.1513888889</v>
      </c>
      <c r="U411" s="3" t="str">
        <f aca="false">IFERROR(IF(ISNUMBER(VALUE(TRIM(MID(A411,FIND("-",A411)+1,FIND("km",A411)-FIND("-",A411)-1)))),"Distance + direction + city","Named-region"),"Named-region")</f>
        <v>Named-region</v>
      </c>
      <c r="V411" s="3" t="str">
        <f aca="false">LOWER(M411)</f>
        <v>mww</v>
      </c>
      <c r="W411" s="3" t="n">
        <f aca="false">COUNTIFS($A$2:$A$1001,A411,$C$2:$C$1001,C411)</f>
        <v>1</v>
      </c>
      <c r="X411" s="3" t="str">
        <f aca="false">IF(W411&gt;1,"Duplicate","Unique")</f>
        <v>Unique</v>
      </c>
      <c r="Y411" s="3" t="str">
        <f aca="false">IF(B411&lt;6.5,"&lt;6.5",IF(B411&lt;7,"6.5–6.9",IF(B411&lt;7.5,"7.0–7.4",IF(B411&lt;8,"7.5–7.9","8.0+"))))</f>
        <v>6.5–6.9</v>
      </c>
      <c r="Z411" s="3" t="n">
        <f aca="false">IF(T411="","",YEAR(T411))</f>
        <v>2013</v>
      </c>
    </row>
    <row r="412" customFormat="false" ht="13.8" hidden="false" customHeight="false" outlineLevel="0" collapsed="false">
      <c r="A412" s="3" t="s">
        <v>307</v>
      </c>
      <c r="B412" s="3" t="n">
        <v>6.5</v>
      </c>
      <c r="C412" s="3" t="s">
        <v>1130</v>
      </c>
      <c r="D412" s="3" t="n">
        <v>0</v>
      </c>
      <c r="E412" s="3" t="n">
        <v>4</v>
      </c>
      <c r="F412" s="3" t="s">
        <v>21</v>
      </c>
      <c r="G412" s="3" t="n">
        <v>1</v>
      </c>
      <c r="H412" s="3" t="n">
        <v>650</v>
      </c>
      <c r="I412" s="3" t="s">
        <v>22</v>
      </c>
      <c r="J412" s="3" t="n">
        <v>0</v>
      </c>
      <c r="K412" s="3" t="n">
        <v>1.709</v>
      </c>
      <c r="L412" s="3" t="n">
        <v>21</v>
      </c>
      <c r="M412" s="3" t="s">
        <v>23</v>
      </c>
      <c r="N412" s="3" t="n">
        <v>41.54</v>
      </c>
      <c r="O412" s="3" t="n">
        <v>-30.9255</v>
      </c>
      <c r="P412" s="3" t="n">
        <v>-178.323</v>
      </c>
      <c r="Q412" s="3" t="s">
        <v>71</v>
      </c>
      <c r="R412" s="3"/>
      <c r="S412" s="3"/>
      <c r="T412" s="5" t="n">
        <f aca="false">IF(C412="","",DATE(VALUE(MID(C412,7,4)),VALUE(MID(C412,4,2)),VALUE(MID(C412,1,2)))+TIME(VALUE(MID(C412,12,2)),VALUE(MID(C412,15,2)),0))</f>
        <v>41547.2465277778</v>
      </c>
      <c r="U412" s="3" t="str">
        <f aca="false">IFERROR(IF(ISNUMBER(VALUE(TRIM(MID(A412,FIND("-",A412)+1,FIND("km",A412)-FIND("-",A412)-1)))),"Distance + direction + city","Named-region"),"Named-region")</f>
        <v>Named-region</v>
      </c>
      <c r="V412" s="3" t="str">
        <f aca="false">LOWER(M412)</f>
        <v>mww</v>
      </c>
      <c r="W412" s="3" t="n">
        <f aca="false">COUNTIFS($A$2:$A$1001,A412,$C$2:$C$1001,C412)</f>
        <v>1</v>
      </c>
      <c r="X412" s="3" t="str">
        <f aca="false">IF(W412&gt;1,"Duplicate","Unique")</f>
        <v>Unique</v>
      </c>
      <c r="Y412" s="3" t="str">
        <f aca="false">IF(B412&lt;6.5,"&lt;6.5",IF(B412&lt;7,"6.5–6.9",IF(B412&lt;7.5,"7.0–7.4",IF(B412&lt;8,"7.5–7.9","8.0+"))))</f>
        <v>6.5–6.9</v>
      </c>
      <c r="Z412" s="3" t="n">
        <f aca="false">IF(T412="","",YEAR(T412))</f>
        <v>2013</v>
      </c>
    </row>
    <row r="413" customFormat="false" ht="13.8" hidden="false" customHeight="false" outlineLevel="0" collapsed="false">
      <c r="A413" s="3" t="s">
        <v>1131</v>
      </c>
      <c r="B413" s="3" t="n">
        <v>6.8</v>
      </c>
      <c r="C413" s="3" t="s">
        <v>1132</v>
      </c>
      <c r="D413" s="3" t="n">
        <v>7</v>
      </c>
      <c r="E413" s="3" t="n">
        <v>7</v>
      </c>
      <c r="F413" s="3" t="s">
        <v>95</v>
      </c>
      <c r="G413" s="3" t="n">
        <v>0</v>
      </c>
      <c r="H413" s="3" t="n">
        <v>1005</v>
      </c>
      <c r="I413" s="3" t="s">
        <v>22</v>
      </c>
      <c r="J413" s="3" t="n">
        <v>0</v>
      </c>
      <c r="K413" s="3" t="n">
        <v>7.359</v>
      </c>
      <c r="L413" s="3" t="n">
        <v>17</v>
      </c>
      <c r="M413" s="3" t="s">
        <v>23</v>
      </c>
      <c r="N413" s="3" t="n">
        <v>12</v>
      </c>
      <c r="O413" s="3" t="n">
        <v>27.1825</v>
      </c>
      <c r="P413" s="3" t="n">
        <v>65.5052</v>
      </c>
      <c r="Q413" s="3" t="s">
        <v>1133</v>
      </c>
      <c r="R413" s="3" t="s">
        <v>80</v>
      </c>
      <c r="S413" s="3" t="s">
        <v>1134</v>
      </c>
      <c r="T413" s="5" t="n">
        <f aca="false">IF(C413="","",DATE(VALUE(MID(C413,7,4)),VALUE(MID(C413,4,2)),VALUE(MID(C413,1,2)))+TIME(VALUE(MID(C413,12,2)),VALUE(MID(C413,15,2)),0))</f>
        <v>41545.3152777778</v>
      </c>
      <c r="U413" s="3" t="str">
        <f aca="false">IFERROR(IF(ISNUMBER(VALUE(TRIM(MID(A413,FIND("-",A413)+1,FIND("km",A413)-FIND("-",A413)-1)))),"Distance + direction + city","Named-region"),"Named-region")</f>
        <v>Distance + direction + city</v>
      </c>
      <c r="V413" s="3" t="str">
        <f aca="false">LOWER(M413)</f>
        <v>mww</v>
      </c>
      <c r="W413" s="3" t="n">
        <f aca="false">COUNTIFS($A$2:$A$1001,A413,$C$2:$C$1001,C413)</f>
        <v>1</v>
      </c>
      <c r="X413" s="3" t="str">
        <f aca="false">IF(W413&gt;1,"Duplicate","Unique")</f>
        <v>Unique</v>
      </c>
      <c r="Y413" s="3" t="str">
        <f aca="false">IF(B413&lt;6.5,"&lt;6.5",IF(B413&lt;7,"6.5–6.9",IF(B413&lt;7.5,"7.0–7.4",IF(B413&lt;8,"7.5–7.9","8.0+"))))</f>
        <v>6.5–6.9</v>
      </c>
      <c r="Z413" s="3" t="n">
        <f aca="false">IF(T413="","",YEAR(T413))</f>
        <v>2013</v>
      </c>
    </row>
    <row r="414" customFormat="false" ht="13.8" hidden="false" customHeight="false" outlineLevel="0" collapsed="false">
      <c r="A414" s="3" t="s">
        <v>1135</v>
      </c>
      <c r="B414" s="3" t="n">
        <v>7.1</v>
      </c>
      <c r="C414" s="3" t="s">
        <v>1136</v>
      </c>
      <c r="D414" s="3" t="n">
        <v>8</v>
      </c>
      <c r="E414" s="3" t="n">
        <v>7</v>
      </c>
      <c r="F414" s="3" t="s">
        <v>21</v>
      </c>
      <c r="G414" s="3" t="n">
        <v>1</v>
      </c>
      <c r="H414" s="3" t="n">
        <v>843</v>
      </c>
      <c r="I414" s="3" t="s">
        <v>22</v>
      </c>
      <c r="J414" s="3" t="n">
        <v>0</v>
      </c>
      <c r="K414" s="3" t="n">
        <v>4.446</v>
      </c>
      <c r="L414" s="3" t="n">
        <v>17</v>
      </c>
      <c r="M414" s="3" t="s">
        <v>23</v>
      </c>
      <c r="N414" s="3" t="n">
        <v>40</v>
      </c>
      <c r="O414" s="3" t="n">
        <v>-15.8385</v>
      </c>
      <c r="P414" s="3" t="n">
        <v>-74.5112</v>
      </c>
      <c r="Q414" s="3" t="s">
        <v>639</v>
      </c>
      <c r="R414" s="3"/>
      <c r="S414" s="3" t="s">
        <v>199</v>
      </c>
      <c r="T414" s="5" t="n">
        <f aca="false">IF(C414="","",DATE(VALUE(MID(C414,7,4)),VALUE(MID(C414,4,2)),VALUE(MID(C414,1,2)))+TIME(VALUE(MID(C414,12,2)),VALUE(MID(C414,15,2)),0))</f>
        <v>41542.6958333333</v>
      </c>
      <c r="U414" s="3" t="str">
        <f aca="false">IFERROR(IF(ISNUMBER(VALUE(TRIM(MID(A414,FIND("-",A414)+1,FIND("km",A414)-FIND("-",A414)-1)))),"Distance + direction + city","Named-region"),"Named-region")</f>
        <v>Distance + direction + city</v>
      </c>
      <c r="V414" s="3" t="str">
        <f aca="false">LOWER(M414)</f>
        <v>mww</v>
      </c>
      <c r="W414" s="3" t="n">
        <f aca="false">COUNTIFS($A$2:$A$1001,A414,$C$2:$C$1001,C414)</f>
        <v>1</v>
      </c>
      <c r="X414" s="3" t="str">
        <f aca="false">IF(W414&gt;1,"Duplicate","Unique")</f>
        <v>Unique</v>
      </c>
      <c r="Y414" s="3" t="str">
        <f aca="false">IF(B414&lt;6.5,"&lt;6.5",IF(B414&lt;7,"6.5–6.9",IF(B414&lt;7.5,"7.0–7.4",IF(B414&lt;8,"7.5–7.9","8.0+"))))</f>
        <v>7.0–7.4</v>
      </c>
      <c r="Z414" s="3" t="n">
        <f aca="false">IF(T414="","",YEAR(T414))</f>
        <v>2013</v>
      </c>
    </row>
    <row r="415" customFormat="false" ht="13.8" hidden="false" customHeight="false" outlineLevel="0" collapsed="false">
      <c r="A415" s="3" t="s">
        <v>1137</v>
      </c>
      <c r="B415" s="3" t="n">
        <v>7.7</v>
      </c>
      <c r="C415" s="3" t="s">
        <v>1138</v>
      </c>
      <c r="D415" s="3" t="n">
        <v>5</v>
      </c>
      <c r="E415" s="3" t="n">
        <v>8</v>
      </c>
      <c r="F415" s="3" t="s">
        <v>121</v>
      </c>
      <c r="G415" s="3" t="n">
        <v>0</v>
      </c>
      <c r="H415" s="3" t="n">
        <v>2015</v>
      </c>
      <c r="I415" s="3" t="s">
        <v>22</v>
      </c>
      <c r="J415" s="3" t="n">
        <v>0</v>
      </c>
      <c r="K415" s="3" t="n">
        <v>7.241</v>
      </c>
      <c r="L415" s="3" t="n">
        <v>17</v>
      </c>
      <c r="M415" s="3" t="s">
        <v>23</v>
      </c>
      <c r="N415" s="3" t="n">
        <v>15</v>
      </c>
      <c r="O415" s="3" t="n">
        <v>26.951</v>
      </c>
      <c r="P415" s="3" t="n">
        <v>65.5009</v>
      </c>
      <c r="Q415" s="3" t="s">
        <v>1139</v>
      </c>
      <c r="R415" s="3" t="s">
        <v>80</v>
      </c>
      <c r="S415" s="3" t="s">
        <v>1134</v>
      </c>
      <c r="T415" s="5" t="n">
        <f aca="false">IF(C415="","",DATE(VALUE(MID(C415,7,4)),VALUE(MID(C415,4,2)),VALUE(MID(C415,1,2)))+TIME(VALUE(MID(C415,12,2)),VALUE(MID(C415,15,2)),0))</f>
        <v>41541.4784722222</v>
      </c>
      <c r="U415" s="3" t="str">
        <f aca="false">IFERROR(IF(ISNUMBER(VALUE(TRIM(MID(A415,FIND("-",A415)+1,FIND("km",A415)-FIND("-",A415)-1)))),"Distance + direction + city","Named-region"),"Named-region")</f>
        <v>Distance + direction + city</v>
      </c>
      <c r="V415" s="3" t="str">
        <f aca="false">LOWER(M415)</f>
        <v>mww</v>
      </c>
      <c r="W415" s="3" t="n">
        <f aca="false">COUNTIFS($A$2:$A$1001,A415,$C$2:$C$1001,C415)</f>
        <v>1</v>
      </c>
      <c r="X415" s="3" t="str">
        <f aca="false">IF(W415&gt;1,"Duplicate","Unique")</f>
        <v>Unique</v>
      </c>
      <c r="Y415" s="3" t="str">
        <f aca="false">IF(B415&lt;6.5,"&lt;6.5",IF(B415&lt;7,"6.5–6.9",IF(B415&lt;7.5,"7.0–7.4",IF(B415&lt;8,"7.5–7.9","8.0+"))))</f>
        <v>7.5–7.9</v>
      </c>
      <c r="Z415" s="3" t="n">
        <f aca="false">IF(T415="","",YEAR(T415))</f>
        <v>2013</v>
      </c>
    </row>
    <row r="416" customFormat="false" ht="13.8" hidden="false" customHeight="false" outlineLevel="0" collapsed="false">
      <c r="A416" s="3" t="s">
        <v>1140</v>
      </c>
      <c r="B416" s="3" t="n">
        <v>6.5</v>
      </c>
      <c r="C416" s="6" t="s">
        <v>1141</v>
      </c>
      <c r="D416" s="3" t="n">
        <v>0</v>
      </c>
      <c r="E416" s="3" t="n">
        <v>6</v>
      </c>
      <c r="F416" s="3" t="s">
        <v>21</v>
      </c>
      <c r="G416" s="3" t="n">
        <v>1</v>
      </c>
      <c r="H416" s="3" t="n">
        <v>650</v>
      </c>
      <c r="I416" s="3" t="s">
        <v>22</v>
      </c>
      <c r="J416" s="3" t="n">
        <v>0</v>
      </c>
      <c r="K416" s="3" t="n">
        <v>0.735</v>
      </c>
      <c r="L416" s="3" t="n">
        <v>24</v>
      </c>
      <c r="M416" s="3" t="s">
        <v>23</v>
      </c>
      <c r="N416" s="3" t="n">
        <v>20</v>
      </c>
      <c r="O416" s="3" t="n">
        <v>51.5573</v>
      </c>
      <c r="P416" s="3" t="n">
        <v>-174.767</v>
      </c>
      <c r="Q416" s="3" t="s">
        <v>1142</v>
      </c>
      <c r="R416" s="3"/>
      <c r="S416" s="3"/>
      <c r="T416" s="5" t="n">
        <f aca="false">IF(C416="","",DATE(VALUE(MID(C416,7,4)),VALUE(MID(C416,4,2)),VALUE(MID(C416,1,2)))+TIME(VALUE(MID(C416,12,2)),VALUE(MID(C416,15,2)),0))</f>
        <v>41521.1055555556</v>
      </c>
      <c r="U416" s="3" t="str">
        <f aca="false">IFERROR(IF(ISNUMBER(VALUE(TRIM(MID(A416,FIND("-",A416)+1,FIND("km",A416)-FIND("-",A416)-1)))),"Distance + direction + city","Named-region"),"Named-region")</f>
        <v>Distance + direction + city</v>
      </c>
      <c r="V416" s="3" t="str">
        <f aca="false">LOWER(M416)</f>
        <v>mww</v>
      </c>
      <c r="W416" s="3" t="n">
        <f aca="false">COUNTIFS($A$2:$A$1001,A416,$C$2:$C$1001,C416)</f>
        <v>1</v>
      </c>
      <c r="X416" s="3" t="str">
        <f aca="false">IF(W416&gt;1,"Duplicate","Unique")</f>
        <v>Unique</v>
      </c>
      <c r="Y416" s="3" t="str">
        <f aca="false">IF(B416&lt;6.5,"&lt;6.5",IF(B416&lt;7,"6.5–6.9",IF(B416&lt;7.5,"7.0–7.4",IF(B416&lt;8,"7.5–7.9","8.0+"))))</f>
        <v>6.5–6.9</v>
      </c>
      <c r="Z416" s="3" t="n">
        <f aca="false">IF(T416="","",YEAR(T416))</f>
        <v>2013</v>
      </c>
    </row>
    <row r="417" customFormat="false" ht="13.8" hidden="false" customHeight="false" outlineLevel="0" collapsed="false">
      <c r="A417" s="3" t="s">
        <v>1143</v>
      </c>
      <c r="B417" s="3" t="n">
        <v>6.5</v>
      </c>
      <c r="C417" s="6" t="s">
        <v>1144</v>
      </c>
      <c r="D417" s="3" t="n">
        <v>5</v>
      </c>
      <c r="E417" s="3" t="n">
        <v>3</v>
      </c>
      <c r="F417" s="3" t="s">
        <v>21</v>
      </c>
      <c r="G417" s="3" t="n">
        <v>0</v>
      </c>
      <c r="H417" s="3" t="n">
        <v>739</v>
      </c>
      <c r="I417" s="3" t="s">
        <v>22</v>
      </c>
      <c r="J417" s="3" t="n">
        <v>0</v>
      </c>
      <c r="K417" s="3" t="n">
        <v>3.276</v>
      </c>
      <c r="L417" s="3" t="n">
        <v>26</v>
      </c>
      <c r="M417" s="3" t="s">
        <v>23</v>
      </c>
      <c r="N417" s="3" t="n">
        <v>402</v>
      </c>
      <c r="O417" s="3" t="n">
        <v>29.9377</v>
      </c>
      <c r="P417" s="3" t="n">
        <v>138.833</v>
      </c>
      <c r="Q417" s="3" t="s">
        <v>1145</v>
      </c>
      <c r="R417" s="3"/>
      <c r="S417" s="3"/>
      <c r="T417" s="5" t="n">
        <f aca="false">IF(C417="","",DATE(VALUE(MID(C417,7,4)),VALUE(MID(C417,4,2)),VALUE(MID(C417,1,2)))+TIME(VALUE(MID(C417,12,2)),VALUE(MID(C417,15,2)),0))</f>
        <v>41521.0125</v>
      </c>
      <c r="U417" s="3" t="str">
        <f aca="false">IFERROR(IF(ISNUMBER(VALUE(TRIM(MID(A417,FIND("-",A417)+1,FIND("km",A417)-FIND("-",A417)-1)))),"Distance + direction + city","Named-region"),"Named-region")</f>
        <v>Named-region</v>
      </c>
      <c r="V417" s="3" t="str">
        <f aca="false">LOWER(M417)</f>
        <v>mww</v>
      </c>
      <c r="W417" s="3" t="n">
        <f aca="false">COUNTIFS($A$2:$A$1001,A417,$C$2:$C$1001,C417)</f>
        <v>1</v>
      </c>
      <c r="X417" s="3" t="str">
        <f aca="false">IF(W417&gt;1,"Duplicate","Unique")</f>
        <v>Unique</v>
      </c>
      <c r="Y417" s="3" t="str">
        <f aca="false">IF(B417&lt;6.5,"&lt;6.5",IF(B417&lt;7,"6.5–6.9",IF(B417&lt;7.5,"7.0–7.4",IF(B417&lt;8,"7.5–7.9","8.0+"))))</f>
        <v>6.5–6.9</v>
      </c>
      <c r="Z417" s="3" t="n">
        <f aca="false">IF(T417="","",YEAR(T417))</f>
        <v>2013</v>
      </c>
    </row>
    <row r="418" customFormat="false" ht="13.8" hidden="false" customHeight="false" outlineLevel="0" collapsed="false">
      <c r="A418" s="3" t="s">
        <v>1146</v>
      </c>
      <c r="B418" s="3" t="n">
        <v>6.5</v>
      </c>
      <c r="C418" s="6" t="s">
        <v>1147</v>
      </c>
      <c r="D418" s="3" t="n">
        <v>4</v>
      </c>
      <c r="E418" s="3" t="n">
        <v>5</v>
      </c>
      <c r="F418" s="3" t="s">
        <v>21</v>
      </c>
      <c r="G418" s="3" t="n">
        <v>0</v>
      </c>
      <c r="H418" s="3" t="n">
        <v>668</v>
      </c>
      <c r="I418" s="3" t="s">
        <v>22</v>
      </c>
      <c r="J418" s="3" t="n">
        <v>0</v>
      </c>
      <c r="K418" s="3" t="n">
        <v>3.097</v>
      </c>
      <c r="L418" s="3" t="n">
        <v>11</v>
      </c>
      <c r="M418" s="3" t="s">
        <v>23</v>
      </c>
      <c r="N418" s="3" t="n">
        <v>112</v>
      </c>
      <c r="O418" s="3" t="n">
        <v>-7.44</v>
      </c>
      <c r="P418" s="3" t="n">
        <v>128.221</v>
      </c>
      <c r="Q418" s="3" t="s">
        <v>248</v>
      </c>
      <c r="R418" s="3"/>
      <c r="S418" s="3" t="s">
        <v>68</v>
      </c>
      <c r="T418" s="5" t="n">
        <f aca="false">IF(C418="","",DATE(VALUE(MID(C418,7,4)),VALUE(MID(C418,4,2)),VALUE(MID(C418,1,2)))+TIME(VALUE(MID(C418,12,2)),VALUE(MID(C418,15,2)),0))</f>
        <v>41518.4944444444</v>
      </c>
      <c r="U418" s="3" t="str">
        <f aca="false">IFERROR(IF(ISNUMBER(VALUE(TRIM(MID(A418,FIND("-",A418)+1,FIND("km",A418)-FIND("-",A418)-1)))),"Distance + direction + city","Named-region"),"Named-region")</f>
        <v>Distance + direction + city</v>
      </c>
      <c r="V418" s="3" t="str">
        <f aca="false">LOWER(M418)</f>
        <v>mww</v>
      </c>
      <c r="W418" s="3" t="n">
        <f aca="false">COUNTIFS($A$2:$A$1001,A418,$C$2:$C$1001,C418)</f>
        <v>1</v>
      </c>
      <c r="X418" s="3" t="str">
        <f aca="false">IF(W418&gt;1,"Duplicate","Unique")</f>
        <v>Unique</v>
      </c>
      <c r="Y418" s="3" t="str">
        <f aca="false">IF(B418&lt;6.5,"&lt;6.5",IF(B418&lt;7,"6.5–6.9",IF(B418&lt;7.5,"7.0–7.4",IF(B418&lt;8,"7.5–7.9","8.0+"))))</f>
        <v>6.5–6.9</v>
      </c>
      <c r="Z418" s="3" t="n">
        <f aca="false">IF(T418="","",YEAR(T418))</f>
        <v>2013</v>
      </c>
    </row>
    <row r="419" customFormat="false" ht="13.8" hidden="false" customHeight="false" outlineLevel="0" collapsed="false">
      <c r="A419" s="3" t="s">
        <v>1148</v>
      </c>
      <c r="B419" s="3" t="n">
        <v>7</v>
      </c>
      <c r="C419" s="3" t="s">
        <v>1149</v>
      </c>
      <c r="D419" s="3" t="n">
        <v>5</v>
      </c>
      <c r="E419" s="3" t="n">
        <v>6</v>
      </c>
      <c r="F419" s="3" t="s">
        <v>21</v>
      </c>
      <c r="G419" s="3" t="n">
        <v>0</v>
      </c>
      <c r="H419" s="3" t="n">
        <v>758</v>
      </c>
      <c r="I419" s="3" t="s">
        <v>22</v>
      </c>
      <c r="J419" s="3" t="n">
        <v>0</v>
      </c>
      <c r="K419" s="3" t="n">
        <v>0.624</v>
      </c>
      <c r="L419" s="3" t="n">
        <v>53</v>
      </c>
      <c r="M419" s="3" t="s">
        <v>23</v>
      </c>
      <c r="N419" s="3" t="n">
        <v>29</v>
      </c>
      <c r="O419" s="3" t="n">
        <v>51.537</v>
      </c>
      <c r="P419" s="3" t="n">
        <v>-175.23</v>
      </c>
      <c r="Q419" s="3" t="s">
        <v>1142</v>
      </c>
      <c r="R419" s="3"/>
      <c r="S419" s="3"/>
      <c r="T419" s="5" t="n">
        <f aca="false">IF(C419="","",DATE(VALUE(MID(C419,7,4)),VALUE(MID(C419,4,2)),VALUE(MID(C419,1,2)))+TIME(VALUE(MID(C419,12,2)),VALUE(MID(C419,15,2)),0))</f>
        <v>41516.6840277778</v>
      </c>
      <c r="U419" s="3" t="str">
        <f aca="false">IFERROR(IF(ISNUMBER(VALUE(TRIM(MID(A419,FIND("-",A419)+1,FIND("km",A419)-FIND("-",A419)-1)))),"Distance + direction + city","Named-region"),"Named-region")</f>
        <v>Distance + direction + city</v>
      </c>
      <c r="V419" s="3" t="str">
        <f aca="false">LOWER(M419)</f>
        <v>mww</v>
      </c>
      <c r="W419" s="3" t="n">
        <f aca="false">COUNTIFS($A$2:$A$1001,A419,$C$2:$C$1001,C419)</f>
        <v>1</v>
      </c>
      <c r="X419" s="3" t="str">
        <f aca="false">IF(W419&gt;1,"Duplicate","Unique")</f>
        <v>Unique</v>
      </c>
      <c r="Y419" s="3" t="str">
        <f aca="false">IF(B419&lt;6.5,"&lt;6.5",IF(B419&lt;7,"6.5–6.9",IF(B419&lt;7.5,"7.0–7.4",IF(B419&lt;8,"7.5–7.9","8.0+"))))</f>
        <v>7.0–7.4</v>
      </c>
      <c r="Z419" s="3" t="n">
        <f aca="false">IF(T419="","",YEAR(T419))</f>
        <v>2013</v>
      </c>
    </row>
    <row r="420" customFormat="false" ht="13.8" hidden="false" customHeight="false" outlineLevel="0" collapsed="false">
      <c r="A420" s="3" t="s">
        <v>1150</v>
      </c>
      <c r="B420" s="3" t="n">
        <v>6.5</v>
      </c>
      <c r="C420" s="3" t="s">
        <v>1151</v>
      </c>
      <c r="D420" s="3" t="n">
        <v>9</v>
      </c>
      <c r="E420" s="3" t="n">
        <v>7</v>
      </c>
      <c r="F420" s="3" t="s">
        <v>28</v>
      </c>
      <c r="G420" s="3" t="n">
        <v>1</v>
      </c>
      <c r="H420" s="3" t="n">
        <v>690</v>
      </c>
      <c r="I420" s="3" t="s">
        <v>22</v>
      </c>
      <c r="J420" s="3" t="n">
        <v>0</v>
      </c>
      <c r="K420" s="3" t="n">
        <v>0</v>
      </c>
      <c r="L420" s="3" t="n">
        <v>0</v>
      </c>
      <c r="M420" s="3" t="s">
        <v>23</v>
      </c>
      <c r="N420" s="3" t="n">
        <v>8.2</v>
      </c>
      <c r="O420" s="3" t="n">
        <v>-41.734</v>
      </c>
      <c r="P420" s="3" t="n">
        <v>174.152</v>
      </c>
      <c r="Q420" s="3" t="s">
        <v>777</v>
      </c>
      <c r="R420" s="3"/>
      <c r="S420" s="3" t="s">
        <v>774</v>
      </c>
      <c r="T420" s="5" t="n">
        <f aca="false">IF(C420="","",DATE(VALUE(MID(C420,7,4)),VALUE(MID(C420,4,2)),VALUE(MID(C420,1,2)))+TIME(VALUE(MID(C420,12,2)),VALUE(MID(C420,15,2)),0))</f>
        <v>41502.1048611111</v>
      </c>
      <c r="U420" s="3" t="str">
        <f aca="false">IFERROR(IF(ISNUMBER(VALUE(TRIM(MID(A420,FIND("-",A420)+1,FIND("km",A420)-FIND("-",A420)-1)))),"Distance + direction + city","Named-region"),"Named-region")</f>
        <v>Distance + direction + city</v>
      </c>
      <c r="V420" s="3" t="str">
        <f aca="false">LOWER(M420)</f>
        <v>mww</v>
      </c>
      <c r="W420" s="3" t="n">
        <f aca="false">COUNTIFS($A$2:$A$1001,A420,$C$2:$C$1001,C420)</f>
        <v>1</v>
      </c>
      <c r="X420" s="3" t="str">
        <f aca="false">IF(W420&gt;1,"Duplicate","Unique")</f>
        <v>Unique</v>
      </c>
      <c r="Y420" s="3" t="str">
        <f aca="false">IF(B420&lt;6.5,"&lt;6.5",IF(B420&lt;7,"6.5–6.9",IF(B420&lt;7.5,"7.0–7.4",IF(B420&lt;8,"7.5–7.9","8.0+"))))</f>
        <v>6.5–6.9</v>
      </c>
      <c r="Z420" s="3" t="n">
        <f aca="false">IF(T420="","",YEAR(T420))</f>
        <v>2013</v>
      </c>
    </row>
    <row r="421" customFormat="false" ht="13.8" hidden="false" customHeight="false" outlineLevel="0" collapsed="false">
      <c r="A421" s="3" t="s">
        <v>1152</v>
      </c>
      <c r="B421" s="3" t="n">
        <v>6.7</v>
      </c>
      <c r="C421" s="3" t="s">
        <v>1153</v>
      </c>
      <c r="D421" s="3" t="n">
        <v>4</v>
      </c>
      <c r="E421" s="3" t="n">
        <v>5</v>
      </c>
      <c r="F421" s="3" t="s">
        <v>21</v>
      </c>
      <c r="G421" s="3" t="n">
        <v>1</v>
      </c>
      <c r="H421" s="3" t="n">
        <v>715</v>
      </c>
      <c r="I421" s="3" t="s">
        <v>22</v>
      </c>
      <c r="J421" s="3" t="n">
        <v>0</v>
      </c>
      <c r="K421" s="3" t="n">
        <v>3.741</v>
      </c>
      <c r="L421" s="3" t="n">
        <v>22</v>
      </c>
      <c r="M421" s="3" t="s">
        <v>23</v>
      </c>
      <c r="N421" s="3" t="n">
        <v>12</v>
      </c>
      <c r="O421" s="3" t="n">
        <v>5.7732</v>
      </c>
      <c r="P421" s="3" t="n">
        <v>-78.1999</v>
      </c>
      <c r="Q421" s="3" t="s">
        <v>1154</v>
      </c>
      <c r="R421" s="3"/>
      <c r="S421" s="3"/>
      <c r="T421" s="5" t="n">
        <f aca="false">IF(C421="","",DATE(VALUE(MID(C421,7,4)),VALUE(MID(C421,4,2)),VALUE(MID(C421,1,2)))+TIME(VALUE(MID(C421,12,2)),VALUE(MID(C421,15,2)),0))</f>
        <v>41499.6548611111</v>
      </c>
      <c r="U421" s="3" t="str">
        <f aca="false">IFERROR(IF(ISNUMBER(VALUE(TRIM(MID(A421,FIND("-",A421)+1,FIND("km",A421)-FIND("-",A421)-1)))),"Distance + direction + city","Named-region"),"Named-region")</f>
        <v>Distance + direction + city</v>
      </c>
      <c r="V421" s="3" t="str">
        <f aca="false">LOWER(M421)</f>
        <v>mww</v>
      </c>
      <c r="W421" s="3" t="n">
        <f aca="false">COUNTIFS($A$2:$A$1001,A421,$C$2:$C$1001,C421)</f>
        <v>1</v>
      </c>
      <c r="X421" s="3" t="str">
        <f aca="false">IF(W421&gt;1,"Duplicate","Unique")</f>
        <v>Unique</v>
      </c>
      <c r="Y421" s="3" t="str">
        <f aca="false">IF(B421&lt;6.5,"&lt;6.5",IF(B421&lt;7,"6.5–6.9",IF(B421&lt;7.5,"7.0–7.4",IF(B421&lt;8,"7.5–7.9","8.0+"))))</f>
        <v>6.5–6.9</v>
      </c>
      <c r="Z421" s="3" t="n">
        <f aca="false">IF(T421="","",YEAR(T421))</f>
        <v>2013</v>
      </c>
    </row>
    <row r="422" customFormat="false" ht="13.8" hidden="false" customHeight="false" outlineLevel="0" collapsed="false">
      <c r="A422" s="3" t="s">
        <v>1155</v>
      </c>
      <c r="B422" s="3" t="n">
        <v>6.5</v>
      </c>
      <c r="C422" s="3" t="s">
        <v>1156</v>
      </c>
      <c r="D422" s="3" t="n">
        <v>6</v>
      </c>
      <c r="E422" s="3" t="n">
        <v>7</v>
      </c>
      <c r="F422" s="3" t="s">
        <v>28</v>
      </c>
      <c r="G422" s="3" t="n">
        <v>1</v>
      </c>
      <c r="H422" s="3" t="n">
        <v>693</v>
      </c>
      <c r="I422" s="3" t="s">
        <v>22</v>
      </c>
      <c r="J422" s="3" t="n">
        <v>229</v>
      </c>
      <c r="K422" s="3" t="n">
        <v>0</v>
      </c>
      <c r="L422" s="3" t="n">
        <v>20</v>
      </c>
      <c r="M422" s="3" t="s">
        <v>23</v>
      </c>
      <c r="N422" s="3" t="n">
        <v>17</v>
      </c>
      <c r="O422" s="3" t="n">
        <v>-41.704</v>
      </c>
      <c r="P422" s="3" t="n">
        <v>174.337</v>
      </c>
      <c r="Q422" s="3" t="s">
        <v>777</v>
      </c>
      <c r="R422" s="3"/>
      <c r="S422" s="3" t="s">
        <v>774</v>
      </c>
      <c r="T422" s="5" t="n">
        <f aca="false">IF(C422="","",DATE(VALUE(MID(C422,7,4)),VALUE(MID(C422,4,2)),VALUE(MID(C422,1,2)))+TIME(VALUE(MID(C422,12,2)),VALUE(MID(C422,15,2)),0))</f>
        <v>41476.2145833333</v>
      </c>
      <c r="U422" s="3" t="str">
        <f aca="false">IFERROR(IF(ISNUMBER(VALUE(TRIM(MID(A422,FIND("-",A422)+1,FIND("km",A422)-FIND("-",A422)-1)))),"Distance + direction + city","Named-region"),"Named-region")</f>
        <v>Distance + direction + city</v>
      </c>
      <c r="V422" s="3" t="str">
        <f aca="false">LOWER(M422)</f>
        <v>mww</v>
      </c>
      <c r="W422" s="3" t="n">
        <f aca="false">COUNTIFS($A$2:$A$1001,A422,$C$2:$C$1001,C422)</f>
        <v>1</v>
      </c>
      <c r="X422" s="3" t="str">
        <f aca="false">IF(W422&gt;1,"Duplicate","Unique")</f>
        <v>Unique</v>
      </c>
      <c r="Y422" s="3" t="str">
        <f aca="false">IF(B422&lt;6.5,"&lt;6.5",IF(B422&lt;7,"6.5–6.9",IF(B422&lt;7.5,"7.0–7.4",IF(B422&lt;8,"7.5–7.9","8.0+"))))</f>
        <v>6.5–6.9</v>
      </c>
      <c r="Z422" s="3" t="n">
        <f aca="false">IF(T422="","",YEAR(T422))</f>
        <v>2013</v>
      </c>
    </row>
    <row r="423" customFormat="false" ht="13.8" hidden="false" customHeight="false" outlineLevel="0" collapsed="false">
      <c r="A423" s="3" t="s">
        <v>1157</v>
      </c>
      <c r="B423" s="3" t="n">
        <v>7.3</v>
      </c>
      <c r="C423" s="3" t="s">
        <v>1158</v>
      </c>
      <c r="D423" s="3" t="n">
        <v>0</v>
      </c>
      <c r="E423" s="3" t="n">
        <v>6</v>
      </c>
      <c r="F423" s="3" t="s">
        <v>21</v>
      </c>
      <c r="G423" s="3" t="n">
        <v>1</v>
      </c>
      <c r="H423" s="3" t="n">
        <v>820</v>
      </c>
      <c r="I423" s="3" t="s">
        <v>22</v>
      </c>
      <c r="J423" s="3" t="n">
        <v>398</v>
      </c>
      <c r="K423" s="3" t="n">
        <v>0</v>
      </c>
      <c r="L423" s="3" t="n">
        <v>43</v>
      </c>
      <c r="M423" s="3" t="s">
        <v>23</v>
      </c>
      <c r="N423" s="3" t="n">
        <v>11</v>
      </c>
      <c r="O423" s="3" t="n">
        <v>-60.857</v>
      </c>
      <c r="P423" s="3" t="n">
        <v>-25.07</v>
      </c>
      <c r="Q423" s="3" t="s">
        <v>275</v>
      </c>
      <c r="R423" s="3"/>
      <c r="S423" s="3" t="s">
        <v>464</v>
      </c>
      <c r="T423" s="5" t="n">
        <f aca="false">IF(C423="","",DATE(VALUE(MID(C423,7,4)),VALUE(MID(C423,4,2)),VALUE(MID(C423,1,2)))+TIME(VALUE(MID(C423,12,2)),VALUE(MID(C423,15,2)),0))</f>
        <v>41470.5854166667</v>
      </c>
      <c r="U423" s="3" t="str">
        <f aca="false">IFERROR(IF(ISNUMBER(VALUE(TRIM(MID(A423,FIND("-",A423)+1,FIND("km",A423)-FIND("-",A423)-1)))),"Distance + direction + city","Named-region"),"Named-region")</f>
        <v>Named-region</v>
      </c>
      <c r="V423" s="3" t="str">
        <f aca="false">LOWER(M423)</f>
        <v>mww</v>
      </c>
      <c r="W423" s="3" t="n">
        <f aca="false">COUNTIFS($A$2:$A$1001,A423,$C$2:$C$1001,C423)</f>
        <v>1</v>
      </c>
      <c r="X423" s="3" t="str">
        <f aca="false">IF(W423&gt;1,"Duplicate","Unique")</f>
        <v>Unique</v>
      </c>
      <c r="Y423" s="3" t="str">
        <f aca="false">IF(B423&lt;6.5,"&lt;6.5",IF(B423&lt;7,"6.5–6.9",IF(B423&lt;7.5,"7.0–7.4",IF(B423&lt;8,"7.5–7.9","8.0+"))))</f>
        <v>7.0–7.4</v>
      </c>
      <c r="Z423" s="3" t="n">
        <f aca="false">IF(T423="","",YEAR(T423))</f>
        <v>2013</v>
      </c>
    </row>
    <row r="424" customFormat="false" ht="13.8" hidden="false" customHeight="false" outlineLevel="0" collapsed="false">
      <c r="A424" s="3" t="s">
        <v>1159</v>
      </c>
      <c r="B424" s="3" t="n">
        <v>6.6</v>
      </c>
      <c r="C424" s="6" t="s">
        <v>1160</v>
      </c>
      <c r="D424" s="3" t="n">
        <v>4</v>
      </c>
      <c r="E424" s="3" t="n">
        <v>6</v>
      </c>
      <c r="F424" s="3" t="s">
        <v>21</v>
      </c>
      <c r="G424" s="3" t="n">
        <v>0</v>
      </c>
      <c r="H424" s="3" t="n">
        <v>674</v>
      </c>
      <c r="I424" s="3" t="s">
        <v>22</v>
      </c>
      <c r="J424" s="3" t="n">
        <v>139</v>
      </c>
      <c r="K424" s="3" t="n">
        <v>0</v>
      </c>
      <c r="L424" s="3" t="n">
        <v>14</v>
      </c>
      <c r="M424" s="3" t="s">
        <v>23</v>
      </c>
      <c r="N424" s="3" t="n">
        <v>56</v>
      </c>
      <c r="O424" s="3" t="n">
        <v>-6.029</v>
      </c>
      <c r="P424" s="3" t="n">
        <v>149.706</v>
      </c>
      <c r="Q424" s="3" t="s">
        <v>789</v>
      </c>
      <c r="R424" s="3"/>
      <c r="S424" s="3" t="s">
        <v>85</v>
      </c>
      <c r="T424" s="5" t="n">
        <f aca="false">IF(C424="","",DATE(VALUE(MID(C424,7,4)),VALUE(MID(C424,4,2)),VALUE(MID(C424,1,2)))+TIME(VALUE(MID(C424,12,2)),VALUE(MID(C424,15,2)),0))</f>
        <v>41462.8541666667</v>
      </c>
      <c r="U424" s="3" t="str">
        <f aca="false">IFERROR(IF(ISNUMBER(VALUE(TRIM(MID(A424,FIND("-",A424)+1,FIND("km",A424)-FIND("-",A424)-1)))),"Distance + direction + city","Named-region"),"Named-region")</f>
        <v>Distance + direction + city</v>
      </c>
      <c r="V424" s="3" t="str">
        <f aca="false">LOWER(M424)</f>
        <v>mww</v>
      </c>
      <c r="W424" s="3" t="n">
        <f aca="false">COUNTIFS($A$2:$A$1001,A424,$C$2:$C$1001,C424)</f>
        <v>1</v>
      </c>
      <c r="X424" s="3" t="str">
        <f aca="false">IF(W424&gt;1,"Duplicate","Unique")</f>
        <v>Unique</v>
      </c>
      <c r="Y424" s="3" t="str">
        <f aca="false">IF(B424&lt;6.5,"&lt;6.5",IF(B424&lt;7,"6.5–6.9",IF(B424&lt;7.5,"7.0–7.4",IF(B424&lt;8,"7.5–7.9","8.0+"))))</f>
        <v>6.5–6.9</v>
      </c>
      <c r="Z424" s="3" t="n">
        <f aca="false">IF(T424="","",YEAR(T424))</f>
        <v>2013</v>
      </c>
    </row>
    <row r="425" customFormat="false" ht="13.8" hidden="false" customHeight="false" outlineLevel="0" collapsed="false">
      <c r="A425" s="3" t="s">
        <v>1161</v>
      </c>
      <c r="B425" s="3" t="n">
        <v>7.3</v>
      </c>
      <c r="C425" s="6" t="s">
        <v>1162</v>
      </c>
      <c r="D425" s="3" t="n">
        <v>0</v>
      </c>
      <c r="E425" s="3" t="n">
        <v>4</v>
      </c>
      <c r="F425" s="3" t="s">
        <v>21</v>
      </c>
      <c r="G425" s="3" t="n">
        <v>1</v>
      </c>
      <c r="H425" s="3" t="n">
        <v>820</v>
      </c>
      <c r="I425" s="3" t="s">
        <v>22</v>
      </c>
      <c r="J425" s="3" t="n">
        <v>117</v>
      </c>
      <c r="K425" s="3" t="n">
        <v>0</v>
      </c>
      <c r="L425" s="3" t="n">
        <v>24</v>
      </c>
      <c r="M425" s="3" t="s">
        <v>23</v>
      </c>
      <c r="N425" s="3" t="n">
        <v>385.5</v>
      </c>
      <c r="O425" s="3" t="n">
        <v>-3.917</v>
      </c>
      <c r="P425" s="3" t="n">
        <v>153.927</v>
      </c>
      <c r="Q425" s="3" t="s">
        <v>625</v>
      </c>
      <c r="R425" s="3"/>
      <c r="S425" s="3" t="s">
        <v>85</v>
      </c>
      <c r="T425" s="5" t="n">
        <f aca="false">IF(C425="","",DATE(VALUE(MID(C425,7,4)),VALUE(MID(C425,4,2)),VALUE(MID(C425,1,2)))+TIME(VALUE(MID(C425,12,2)),VALUE(MID(C425,15,2)),0))</f>
        <v>41462.7743055556</v>
      </c>
      <c r="U425" s="3" t="str">
        <f aca="false">IFERROR(IF(ISNUMBER(VALUE(TRIM(MID(A425,FIND("-",A425)+1,FIND("km",A425)-FIND("-",A425)-1)))),"Distance + direction + city","Named-region"),"Named-region")</f>
        <v>Distance + direction + city</v>
      </c>
      <c r="V425" s="3" t="str">
        <f aca="false">LOWER(M425)</f>
        <v>mww</v>
      </c>
      <c r="W425" s="3" t="n">
        <f aca="false">COUNTIFS($A$2:$A$1001,A425,$C$2:$C$1001,C425)</f>
        <v>1</v>
      </c>
      <c r="X425" s="3" t="str">
        <f aca="false">IF(W425&gt;1,"Duplicate","Unique")</f>
        <v>Unique</v>
      </c>
      <c r="Y425" s="3" t="str">
        <f aca="false">IF(B425&lt;6.5,"&lt;6.5",IF(B425&lt;7,"6.5–6.9",IF(B425&lt;7.5,"7.0–7.4",IF(B425&lt;8,"7.5–7.9","8.0+"))))</f>
        <v>7.0–7.4</v>
      </c>
      <c r="Z425" s="3" t="n">
        <f aca="false">IF(T425="","",YEAR(T425))</f>
        <v>2013</v>
      </c>
    </row>
    <row r="426" customFormat="false" ht="13.8" hidden="false" customHeight="false" outlineLevel="0" collapsed="false">
      <c r="A426" s="3" t="s">
        <v>1163</v>
      </c>
      <c r="B426" s="3" t="n">
        <v>6.6</v>
      </c>
      <c r="C426" s="3" t="s">
        <v>1164</v>
      </c>
      <c r="D426" s="3" t="n">
        <v>0</v>
      </c>
      <c r="E426" s="3" t="n">
        <v>7</v>
      </c>
      <c r="F426" s="3" t="s">
        <v>21</v>
      </c>
      <c r="G426" s="3" t="n">
        <v>1</v>
      </c>
      <c r="H426" s="3" t="n">
        <v>670</v>
      </c>
      <c r="I426" s="3" t="s">
        <v>22</v>
      </c>
      <c r="J426" s="3" t="n">
        <v>111</v>
      </c>
      <c r="K426" s="3" t="n">
        <v>0</v>
      </c>
      <c r="L426" s="3" t="n">
        <v>16</v>
      </c>
      <c r="M426" s="3" t="s">
        <v>23</v>
      </c>
      <c r="N426" s="3" t="n">
        <v>10</v>
      </c>
      <c r="O426" s="3" t="n">
        <v>10.701</v>
      </c>
      <c r="P426" s="3" t="n">
        <v>-42.594</v>
      </c>
      <c r="Q426" s="3" t="s">
        <v>1165</v>
      </c>
      <c r="R426" s="3"/>
      <c r="S426" s="3"/>
      <c r="T426" s="5" t="n">
        <f aca="false">IF(C426="","",DATE(VALUE(MID(C426,7,4)),VALUE(MID(C426,4,2)),VALUE(MID(C426,1,2)))+TIME(VALUE(MID(C426,12,2)),VALUE(MID(C426,15,2)),0))</f>
        <v>41449.9194444444</v>
      </c>
      <c r="U426" s="3" t="str">
        <f aca="false">IFERROR(IF(ISNUMBER(VALUE(TRIM(MID(A426,FIND("-",A426)+1,FIND("km",A426)-FIND("-",A426)-1)))),"Distance + direction + city","Named-region"),"Named-region")</f>
        <v>Named-region</v>
      </c>
      <c r="V426" s="3" t="str">
        <f aca="false">LOWER(M426)</f>
        <v>mww</v>
      </c>
      <c r="W426" s="3" t="n">
        <f aca="false">COUNTIFS($A$2:$A$1001,A426,$C$2:$C$1001,C426)</f>
        <v>1</v>
      </c>
      <c r="X426" s="3" t="str">
        <f aca="false">IF(W426&gt;1,"Duplicate","Unique")</f>
        <v>Unique</v>
      </c>
      <c r="Y426" s="3" t="str">
        <f aca="false">IF(B426&lt;6.5,"&lt;6.5",IF(B426&lt;7,"6.5–6.9",IF(B426&lt;7.5,"7.0–7.4",IF(B426&lt;8,"7.5–7.9","8.0+"))))</f>
        <v>6.5–6.9</v>
      </c>
      <c r="Z426" s="3" t="n">
        <f aca="false">IF(T426="","",YEAR(T426))</f>
        <v>2013</v>
      </c>
    </row>
    <row r="427" customFormat="false" ht="13.8" hidden="false" customHeight="false" outlineLevel="0" collapsed="false">
      <c r="A427" s="3" t="s">
        <v>1166</v>
      </c>
      <c r="B427" s="3" t="n">
        <v>6.5</v>
      </c>
      <c r="C427" s="3" t="s">
        <v>1167</v>
      </c>
      <c r="D427" s="3" t="n">
        <v>5</v>
      </c>
      <c r="E427" s="3" t="n">
        <v>6</v>
      </c>
      <c r="F427" s="3" t="s">
        <v>21</v>
      </c>
      <c r="G427" s="3" t="n">
        <v>1</v>
      </c>
      <c r="H427" s="3" t="n">
        <v>679</v>
      </c>
      <c r="I427" s="3" t="s">
        <v>22</v>
      </c>
      <c r="J427" s="3" t="n">
        <v>698</v>
      </c>
      <c r="K427" s="3" t="n">
        <v>0</v>
      </c>
      <c r="L427" s="3" t="n">
        <v>27</v>
      </c>
      <c r="M427" s="3" t="s">
        <v>23</v>
      </c>
      <c r="N427" s="3" t="n">
        <v>30</v>
      </c>
      <c r="O427" s="3" t="n">
        <v>11.763</v>
      </c>
      <c r="P427" s="3" t="n">
        <v>-86.926</v>
      </c>
      <c r="Q427" s="3" t="s">
        <v>206</v>
      </c>
      <c r="R427" s="3"/>
      <c r="S427" s="3"/>
      <c r="T427" s="5" t="n">
        <f aca="false">IF(C427="","",DATE(VALUE(MID(C427,7,4)),VALUE(MID(C427,4,2)),VALUE(MID(C427,1,2)))+TIME(VALUE(MID(C427,12,2)),VALUE(MID(C427,15,2)),0))</f>
        <v>41440.7319444444</v>
      </c>
      <c r="U427" s="3" t="str">
        <f aca="false">IFERROR(IF(ISNUMBER(VALUE(TRIM(MID(A427,FIND("-",A427)+1,FIND("km",A427)-FIND("-",A427)-1)))),"Distance + direction + city","Named-region"),"Named-region")</f>
        <v>Distance + direction + city</v>
      </c>
      <c r="V427" s="3" t="str">
        <f aca="false">LOWER(M427)</f>
        <v>mww</v>
      </c>
      <c r="W427" s="3" t="n">
        <f aca="false">COUNTIFS($A$2:$A$1001,A427,$C$2:$C$1001,C427)</f>
        <v>1</v>
      </c>
      <c r="X427" s="3" t="str">
        <f aca="false">IF(W427&gt;1,"Duplicate","Unique")</f>
        <v>Unique</v>
      </c>
      <c r="Y427" s="3" t="str">
        <f aca="false">IF(B427&lt;6.5,"&lt;6.5",IF(B427&lt;7,"6.5–6.9",IF(B427&lt;7.5,"7.0–7.4",IF(B427&lt;8,"7.5–7.9","8.0+"))))</f>
        <v>6.5–6.9</v>
      </c>
      <c r="Z427" s="3" t="n">
        <f aca="false">IF(T427="","",YEAR(T427))</f>
        <v>2013</v>
      </c>
    </row>
    <row r="428" customFormat="false" ht="13.8" hidden="false" customHeight="false" outlineLevel="0" collapsed="false">
      <c r="A428" s="3" t="s">
        <v>1168</v>
      </c>
      <c r="B428" s="3" t="n">
        <v>6.7</v>
      </c>
      <c r="C428" s="3" t="s">
        <v>1169</v>
      </c>
      <c r="D428" s="3" t="n">
        <v>5</v>
      </c>
      <c r="E428" s="3" t="n">
        <v>4</v>
      </c>
      <c r="F428" s="3" t="s">
        <v>21</v>
      </c>
      <c r="G428" s="3" t="n">
        <v>0</v>
      </c>
      <c r="H428" s="3" t="n">
        <v>710</v>
      </c>
      <c r="I428" s="3" t="s">
        <v>22</v>
      </c>
      <c r="J428" s="3" t="n">
        <v>515</v>
      </c>
      <c r="K428" s="3" t="n">
        <v>0</v>
      </c>
      <c r="L428" s="3" t="n">
        <v>24</v>
      </c>
      <c r="M428" s="3" t="s">
        <v>23</v>
      </c>
      <c r="N428" s="3" t="n">
        <v>9</v>
      </c>
      <c r="O428" s="3" t="n">
        <v>-10.004</v>
      </c>
      <c r="P428" s="3" t="n">
        <v>107.236</v>
      </c>
      <c r="Q428" s="3" t="s">
        <v>1170</v>
      </c>
      <c r="R428" s="3"/>
      <c r="S428" s="3"/>
      <c r="T428" s="5" t="n">
        <f aca="false">IF(C428="","",DATE(VALUE(MID(C428,7,4)),VALUE(MID(C428,4,2)),VALUE(MID(C428,1,2)))+TIME(VALUE(MID(C428,12,2)),VALUE(MID(C428,15,2)),0))</f>
        <v>41438.6993055556</v>
      </c>
      <c r="U428" s="3" t="str">
        <f aca="false">IFERROR(IF(ISNUMBER(VALUE(TRIM(MID(A428,FIND("-",A428)+1,FIND("km",A428)-FIND("-",A428)-1)))),"Distance + direction + city","Named-region"),"Named-region")</f>
        <v>Named-region</v>
      </c>
      <c r="V428" s="3" t="str">
        <f aca="false">LOWER(M428)</f>
        <v>mww</v>
      </c>
      <c r="W428" s="3" t="n">
        <f aca="false">COUNTIFS($A$2:$A$1001,A428,$C$2:$C$1001,C428)</f>
        <v>1</v>
      </c>
      <c r="X428" s="3" t="str">
        <f aca="false">IF(W428&gt;1,"Duplicate","Unique")</f>
        <v>Unique</v>
      </c>
      <c r="Y428" s="3" t="str">
        <f aca="false">IF(B428&lt;6.5,"&lt;6.5",IF(B428&lt;7,"6.5–6.9",IF(B428&lt;7.5,"7.0–7.4",IF(B428&lt;8,"7.5–7.9","8.0+"))))</f>
        <v>6.5–6.9</v>
      </c>
      <c r="Z428" s="3" t="n">
        <f aca="false">IF(T428="","",YEAR(T428))</f>
        <v>2013</v>
      </c>
    </row>
    <row r="429" customFormat="false" ht="13.8" hidden="false" customHeight="false" outlineLevel="0" collapsed="false">
      <c r="A429" s="3" t="s">
        <v>1127</v>
      </c>
      <c r="B429" s="3" t="n">
        <v>6.7</v>
      </c>
      <c r="C429" s="3" t="s">
        <v>1171</v>
      </c>
      <c r="D429" s="3" t="n">
        <v>0</v>
      </c>
      <c r="E429" s="3" t="n">
        <v>3</v>
      </c>
      <c r="F429" s="3" t="s">
        <v>21</v>
      </c>
      <c r="G429" s="3" t="n">
        <v>1</v>
      </c>
      <c r="H429" s="3" t="n">
        <v>691</v>
      </c>
      <c r="I429" s="3" t="s">
        <v>22</v>
      </c>
      <c r="J429" s="3" t="n">
        <v>217</v>
      </c>
      <c r="K429" s="3" t="n">
        <v>0</v>
      </c>
      <c r="L429" s="3" t="n">
        <v>25.2</v>
      </c>
      <c r="M429" s="3" t="s">
        <v>154</v>
      </c>
      <c r="N429" s="3" t="n">
        <v>624</v>
      </c>
      <c r="O429" s="3" t="n">
        <v>52.235</v>
      </c>
      <c r="P429" s="3" t="n">
        <v>151.444</v>
      </c>
      <c r="Q429" s="3" t="s">
        <v>1129</v>
      </c>
      <c r="R429" s="3"/>
      <c r="S429" s="3"/>
      <c r="T429" s="5" t="n">
        <f aca="false">IF(C429="","",DATE(VALUE(MID(C429,7,4)),VALUE(MID(C429,4,2)),VALUE(MID(C429,1,2)))+TIME(VALUE(MID(C429,12,2)),VALUE(MID(C429,15,2)),0))</f>
        <v>41418.6222222222</v>
      </c>
      <c r="U429" s="3" t="str">
        <f aca="false">IFERROR(IF(ISNUMBER(VALUE(TRIM(MID(A429,FIND("-",A429)+1,FIND("km",A429)-FIND("-",A429)-1)))),"Distance + direction + city","Named-region"),"Named-region")</f>
        <v>Named-region</v>
      </c>
      <c r="V429" s="3" t="str">
        <f aca="false">LOWER(M429)</f>
        <v>mwb</v>
      </c>
      <c r="W429" s="3" t="n">
        <f aca="false">COUNTIFS($A$2:$A$1001,A429,$C$2:$C$1001,C429)</f>
        <v>1</v>
      </c>
      <c r="X429" s="3" t="str">
        <f aca="false">IF(W429&gt;1,"Duplicate","Unique")</f>
        <v>Unique</v>
      </c>
      <c r="Y429" s="3" t="str">
        <f aca="false">IF(B429&lt;6.5,"&lt;6.5",IF(B429&lt;7,"6.5–6.9",IF(B429&lt;7.5,"7.0–7.4",IF(B429&lt;8,"7.5–7.9","8.0+"))))</f>
        <v>6.5–6.9</v>
      </c>
      <c r="Z429" s="3" t="n">
        <f aca="false">IF(T429="","",YEAR(T429))</f>
        <v>2013</v>
      </c>
    </row>
    <row r="430" customFormat="false" ht="13.8" hidden="false" customHeight="false" outlineLevel="0" collapsed="false">
      <c r="A430" s="3" t="s">
        <v>1172</v>
      </c>
      <c r="B430" s="3" t="n">
        <v>8.3</v>
      </c>
      <c r="C430" s="3" t="s">
        <v>1173</v>
      </c>
      <c r="D430" s="3" t="n">
        <v>5</v>
      </c>
      <c r="E430" s="3" t="n">
        <v>5</v>
      </c>
      <c r="F430" s="3" t="s">
        <v>21</v>
      </c>
      <c r="G430" s="3" t="n">
        <v>1</v>
      </c>
      <c r="H430" s="3" t="n">
        <v>1115</v>
      </c>
      <c r="I430" s="3" t="s">
        <v>22</v>
      </c>
      <c r="J430" s="3" t="n">
        <v>385</v>
      </c>
      <c r="K430" s="3" t="n">
        <v>0</v>
      </c>
      <c r="L430" s="3" t="n">
        <v>10</v>
      </c>
      <c r="M430" s="3" t="s">
        <v>23</v>
      </c>
      <c r="N430" s="3" t="n">
        <v>598.1</v>
      </c>
      <c r="O430" s="3" t="n">
        <v>54.892</v>
      </c>
      <c r="P430" s="3" t="n">
        <v>153.221</v>
      </c>
      <c r="Q430" s="3" t="s">
        <v>1129</v>
      </c>
      <c r="R430" s="3"/>
      <c r="S430" s="3"/>
      <c r="T430" s="5" t="n">
        <f aca="false">IF(C430="","",DATE(VALUE(MID(C430,7,4)),VALUE(MID(C430,4,2)),VALUE(MID(C430,1,2)))+TIME(VALUE(MID(C430,12,2)),VALUE(MID(C430,15,2)),0))</f>
        <v>41418.2388888889</v>
      </c>
      <c r="U430" s="3" t="str">
        <f aca="false">IFERROR(IF(ISNUMBER(VALUE(TRIM(MID(A430,FIND("-",A430)+1,FIND("km",A430)-FIND("-",A430)-1)))),"Distance + direction + city","Named-region"),"Named-region")</f>
        <v>Named-region</v>
      </c>
      <c r="V430" s="3" t="str">
        <f aca="false">LOWER(M430)</f>
        <v>mww</v>
      </c>
      <c r="W430" s="3" t="n">
        <f aca="false">COUNTIFS($A$2:$A$1001,A430,$C$2:$C$1001,C430)</f>
        <v>1</v>
      </c>
      <c r="X430" s="3" t="str">
        <f aca="false">IF(W430&gt;1,"Duplicate","Unique")</f>
        <v>Unique</v>
      </c>
      <c r="Y430" s="3" t="str">
        <f aca="false">IF(B430&lt;6.5,"&lt;6.5",IF(B430&lt;7,"6.5–6.9",IF(B430&lt;7.5,"7.0–7.4",IF(B430&lt;8,"7.5–7.9","8.0+"))))</f>
        <v>8.0+</v>
      </c>
      <c r="Z430" s="3" t="n">
        <f aca="false">IF(T430="","",YEAR(T430))</f>
        <v>2013</v>
      </c>
    </row>
    <row r="431" customFormat="false" ht="13.8" hidden="false" customHeight="false" outlineLevel="0" collapsed="false">
      <c r="A431" s="3" t="s">
        <v>1174</v>
      </c>
      <c r="B431" s="3" t="n">
        <v>7.4</v>
      </c>
      <c r="C431" s="3" t="s">
        <v>1175</v>
      </c>
      <c r="D431" s="3" t="n">
        <v>0</v>
      </c>
      <c r="E431" s="3" t="n">
        <v>6</v>
      </c>
      <c r="F431" s="3" t="s">
        <v>21</v>
      </c>
      <c r="G431" s="3" t="n">
        <v>1</v>
      </c>
      <c r="H431" s="3" t="n">
        <v>842</v>
      </c>
      <c r="I431" s="3" t="s">
        <v>22</v>
      </c>
      <c r="J431" s="3" t="n">
        <v>626</v>
      </c>
      <c r="K431" s="3" t="n">
        <v>0</v>
      </c>
      <c r="L431" s="3" t="n">
        <v>16</v>
      </c>
      <c r="M431" s="3" t="s">
        <v>23</v>
      </c>
      <c r="N431" s="3" t="n">
        <v>173.7</v>
      </c>
      <c r="O431" s="3" t="n">
        <v>-23.009</v>
      </c>
      <c r="P431" s="3" t="n">
        <v>-177.232</v>
      </c>
      <c r="Q431" s="3" t="s">
        <v>1176</v>
      </c>
      <c r="R431" s="3"/>
      <c r="S431" s="3"/>
      <c r="T431" s="5" t="n">
        <f aca="false">IF(C431="","",DATE(VALUE(MID(C431,7,4)),VALUE(MID(C431,4,2)),VALUE(MID(C431,1,2)))+TIME(VALUE(MID(C431,12,2)),VALUE(MID(C431,15,2)),0))</f>
        <v>41417.7215277778</v>
      </c>
      <c r="U431" s="3" t="str">
        <f aca="false">IFERROR(IF(ISNUMBER(VALUE(TRIM(MID(A431,FIND("-",A431)+1,FIND("km",A431)-FIND("-",A431)-1)))),"Distance + direction + city","Named-region"),"Named-region")</f>
        <v>Distance + direction + city</v>
      </c>
      <c r="V431" s="3" t="str">
        <f aca="false">LOWER(M431)</f>
        <v>mww</v>
      </c>
      <c r="W431" s="3" t="n">
        <f aca="false">COUNTIFS($A$2:$A$1001,A431,$C$2:$C$1001,C431)</f>
        <v>1</v>
      </c>
      <c r="X431" s="3" t="str">
        <f aca="false">IF(W431&gt;1,"Duplicate","Unique")</f>
        <v>Unique</v>
      </c>
      <c r="Y431" s="3" t="str">
        <f aca="false">IF(B431&lt;6.5,"&lt;6.5",IF(B431&lt;7,"6.5–6.9",IF(B431&lt;7.5,"7.0–7.4",IF(B431&lt;8,"7.5–7.9","8.0+"))))</f>
        <v>7.0–7.4</v>
      </c>
      <c r="Z431" s="3" t="n">
        <f aca="false">IF(T431="","",YEAR(T431))</f>
        <v>2013</v>
      </c>
    </row>
    <row r="432" customFormat="false" ht="13.8" hidden="false" customHeight="false" outlineLevel="0" collapsed="false">
      <c r="A432" s="3" t="s">
        <v>1177</v>
      </c>
      <c r="B432" s="3" t="n">
        <v>6.8</v>
      </c>
      <c r="C432" s="3" t="s">
        <v>1178</v>
      </c>
      <c r="D432" s="3" t="n">
        <v>0</v>
      </c>
      <c r="E432" s="3" t="n">
        <v>3</v>
      </c>
      <c r="F432" s="3" t="s">
        <v>21</v>
      </c>
      <c r="G432" s="3" t="n">
        <v>0</v>
      </c>
      <c r="H432" s="3" t="n">
        <v>711</v>
      </c>
      <c r="I432" s="3" t="s">
        <v>22</v>
      </c>
      <c r="J432" s="3" t="n">
        <v>131</v>
      </c>
      <c r="K432" s="3" t="n">
        <v>0</v>
      </c>
      <c r="L432" s="3" t="n">
        <v>18</v>
      </c>
      <c r="M432" s="3" t="s">
        <v>23</v>
      </c>
      <c r="N432" s="3" t="n">
        <v>602.2</v>
      </c>
      <c r="O432" s="3" t="n">
        <v>18.728</v>
      </c>
      <c r="P432" s="3" t="n">
        <v>145.288</v>
      </c>
      <c r="Q432" s="3" t="s">
        <v>806</v>
      </c>
      <c r="R432" s="3"/>
      <c r="S432" s="3"/>
      <c r="T432" s="5" t="n">
        <f aca="false">IF(C432="","",DATE(VALUE(MID(C432,7,4)),VALUE(MID(C432,4,2)),VALUE(MID(C432,1,2)))+TIME(VALUE(MID(C432,12,2)),VALUE(MID(C432,15,2)),0))</f>
        <v>41408.0222222222</v>
      </c>
      <c r="U432" s="3" t="str">
        <f aca="false">IFERROR(IF(ISNUMBER(VALUE(TRIM(MID(A432,FIND("-",A432)+1,FIND("km",A432)-FIND("-",A432)-1)))),"Distance + direction + city","Named-region"),"Named-region")</f>
        <v>Named-region</v>
      </c>
      <c r="V432" s="3" t="str">
        <f aca="false">LOWER(M432)</f>
        <v>mww</v>
      </c>
      <c r="W432" s="3" t="n">
        <f aca="false">COUNTIFS($A$2:$A$1001,A432,$C$2:$C$1001,C432)</f>
        <v>1</v>
      </c>
      <c r="X432" s="3" t="str">
        <f aca="false">IF(W432&gt;1,"Duplicate","Unique")</f>
        <v>Unique</v>
      </c>
      <c r="Y432" s="3" t="str">
        <f aca="false">IF(B432&lt;6.5,"&lt;6.5",IF(B432&lt;7,"6.5–6.9",IF(B432&lt;7.5,"7.0–7.4",IF(B432&lt;8,"7.5–7.9","8.0+"))))</f>
        <v>6.5–6.9</v>
      </c>
      <c r="Z432" s="3" t="n">
        <f aca="false">IF(T432="","",YEAR(T432))</f>
        <v>2013</v>
      </c>
    </row>
    <row r="433" customFormat="false" ht="13.8" hidden="false" customHeight="false" outlineLevel="0" collapsed="false">
      <c r="A433" s="3" t="s">
        <v>1179</v>
      </c>
      <c r="B433" s="3" t="n">
        <v>6.5</v>
      </c>
      <c r="C433" s="3" t="s">
        <v>1180</v>
      </c>
      <c r="D433" s="3" t="n">
        <v>0</v>
      </c>
      <c r="E433" s="3" t="n">
        <v>6</v>
      </c>
      <c r="F433" s="3" t="s">
        <v>21</v>
      </c>
      <c r="G433" s="3" t="n">
        <v>1</v>
      </c>
      <c r="H433" s="3" t="n">
        <v>650</v>
      </c>
      <c r="I433" s="3" t="s">
        <v>22</v>
      </c>
      <c r="J433" s="3" t="n">
        <v>264</v>
      </c>
      <c r="K433" s="3" t="n">
        <v>0</v>
      </c>
      <c r="L433" s="3" t="n">
        <v>16.6</v>
      </c>
      <c r="M433" s="3" t="s">
        <v>23</v>
      </c>
      <c r="N433" s="3" t="n">
        <v>10</v>
      </c>
      <c r="O433" s="3" t="n">
        <v>-3.898</v>
      </c>
      <c r="P433" s="3" t="n">
        <v>152.127</v>
      </c>
      <c r="Q433" s="3" t="s">
        <v>797</v>
      </c>
      <c r="R433" s="3"/>
      <c r="S433" s="3" t="s">
        <v>85</v>
      </c>
      <c r="T433" s="5" t="n">
        <f aca="false">IF(C433="","",DATE(VALUE(MID(C433,7,4)),VALUE(MID(C433,4,2)),VALUE(MID(C433,1,2)))+TIME(VALUE(MID(C433,12,2)),VALUE(MID(C433,15,2)),0))</f>
        <v>41387.9680555556</v>
      </c>
      <c r="U433" s="3" t="str">
        <f aca="false">IFERROR(IF(ISNUMBER(VALUE(TRIM(MID(A433,FIND("-",A433)+1,FIND("km",A433)-FIND("-",A433)-1)))),"Distance + direction + city","Named-region"),"Named-region")</f>
        <v>Distance + direction + city</v>
      </c>
      <c r="V433" s="3" t="str">
        <f aca="false">LOWER(M433)</f>
        <v>mww</v>
      </c>
      <c r="W433" s="3" t="n">
        <f aca="false">COUNTIFS($A$2:$A$1001,A433,$C$2:$C$1001,C433)</f>
        <v>1</v>
      </c>
      <c r="X433" s="3" t="str">
        <f aca="false">IF(W433&gt;1,"Duplicate","Unique")</f>
        <v>Unique</v>
      </c>
      <c r="Y433" s="3" t="str">
        <f aca="false">IF(B433&lt;6.5,"&lt;6.5",IF(B433&lt;7,"6.5–6.9",IF(B433&lt;7.5,"7.0–7.4",IF(B433&lt;8,"7.5–7.9","8.0+"))))</f>
        <v>6.5–6.9</v>
      </c>
      <c r="Z433" s="3" t="n">
        <f aca="false">IF(T433="","",YEAR(T433))</f>
        <v>2013</v>
      </c>
    </row>
    <row r="434" customFormat="false" ht="13.8" hidden="false" customHeight="false" outlineLevel="0" collapsed="false">
      <c r="A434" s="3" t="s">
        <v>1181</v>
      </c>
      <c r="B434" s="3" t="n">
        <v>6.6</v>
      </c>
      <c r="C434" s="3" t="s">
        <v>1182</v>
      </c>
      <c r="D434" s="3" t="n">
        <v>8</v>
      </c>
      <c r="E434" s="3" t="n">
        <v>8</v>
      </c>
      <c r="F434" s="3" t="s">
        <v>121</v>
      </c>
      <c r="G434" s="3" t="n">
        <v>0</v>
      </c>
      <c r="H434" s="3" t="n">
        <v>2083</v>
      </c>
      <c r="I434" s="3" t="s">
        <v>22</v>
      </c>
      <c r="J434" s="3" t="n">
        <v>548</v>
      </c>
      <c r="K434" s="3" t="n">
        <v>0</v>
      </c>
      <c r="L434" s="3" t="n">
        <v>12.6</v>
      </c>
      <c r="M434" s="3" t="s">
        <v>23</v>
      </c>
      <c r="N434" s="3" t="n">
        <v>14</v>
      </c>
      <c r="O434" s="3" t="n">
        <v>30.308</v>
      </c>
      <c r="P434" s="3" t="n">
        <v>102.888</v>
      </c>
      <c r="Q434" s="3" t="s">
        <v>1183</v>
      </c>
      <c r="R434" s="3" t="s">
        <v>80</v>
      </c>
      <c r="S434" s="3" t="s">
        <v>184</v>
      </c>
      <c r="T434" s="5" t="n">
        <f aca="false">IF(C434="","",DATE(VALUE(MID(C434,7,4)),VALUE(MID(C434,4,2)),VALUE(MID(C434,1,2)))+TIME(VALUE(MID(C434,12,2)),VALUE(MID(C434,15,2)),0))</f>
        <v>41384.0013888889</v>
      </c>
      <c r="U434" s="3" t="str">
        <f aca="false">IFERROR(IF(ISNUMBER(VALUE(TRIM(MID(A434,FIND("-",A434)+1,FIND("km",A434)-FIND("-",A434)-1)))),"Distance + direction + city","Named-region"),"Named-region")</f>
        <v>Distance + direction + city</v>
      </c>
      <c r="V434" s="3" t="str">
        <f aca="false">LOWER(M434)</f>
        <v>mww</v>
      </c>
      <c r="W434" s="3" t="n">
        <f aca="false">COUNTIFS($A$2:$A$1001,A434,$C$2:$C$1001,C434)</f>
        <v>1</v>
      </c>
      <c r="X434" s="3" t="str">
        <f aca="false">IF(W434&gt;1,"Duplicate","Unique")</f>
        <v>Unique</v>
      </c>
      <c r="Y434" s="3" t="str">
        <f aca="false">IF(B434&lt;6.5,"&lt;6.5",IF(B434&lt;7,"6.5–6.9",IF(B434&lt;7.5,"7.0–7.4",IF(B434&lt;8,"7.5–7.9","8.0+"))))</f>
        <v>6.5–6.9</v>
      </c>
      <c r="Z434" s="3" t="n">
        <f aca="false">IF(T434="","",YEAR(T434))</f>
        <v>2013</v>
      </c>
    </row>
    <row r="435" customFormat="false" ht="13.8" hidden="false" customHeight="false" outlineLevel="0" collapsed="false">
      <c r="A435" s="3" t="s">
        <v>1184</v>
      </c>
      <c r="B435" s="3" t="n">
        <v>7.2</v>
      </c>
      <c r="C435" s="3" t="s">
        <v>1185</v>
      </c>
      <c r="D435" s="3" t="n">
        <v>5</v>
      </c>
      <c r="E435" s="3" t="n">
        <v>7</v>
      </c>
      <c r="F435" s="3" t="s">
        <v>21</v>
      </c>
      <c r="G435" s="3" t="n">
        <v>1</v>
      </c>
      <c r="H435" s="3" t="n">
        <v>804</v>
      </c>
      <c r="I435" s="3" t="s">
        <v>22</v>
      </c>
      <c r="J435" s="3" t="n">
        <v>770</v>
      </c>
      <c r="K435" s="3" t="n">
        <v>0</v>
      </c>
      <c r="L435" s="3" t="n">
        <v>10.1</v>
      </c>
      <c r="M435" s="3" t="s">
        <v>23</v>
      </c>
      <c r="N435" s="3" t="n">
        <v>110</v>
      </c>
      <c r="O435" s="3" t="n">
        <v>46.221</v>
      </c>
      <c r="P435" s="3" t="n">
        <v>150.788</v>
      </c>
      <c r="Q435" s="3" t="s">
        <v>427</v>
      </c>
      <c r="R435" s="3" t="s">
        <v>80</v>
      </c>
      <c r="S435" s="3" t="s">
        <v>428</v>
      </c>
      <c r="T435" s="5" t="n">
        <f aca="false">IF(C435="","",DATE(VALUE(MID(C435,7,4)),VALUE(MID(C435,4,2)),VALUE(MID(C435,1,2)))+TIME(VALUE(MID(C435,12,2)),VALUE(MID(C435,15,2)),0))</f>
        <v>41383.1284722222</v>
      </c>
      <c r="U435" s="3" t="str">
        <f aca="false">IFERROR(IF(ISNUMBER(VALUE(TRIM(MID(A435,FIND("-",A435)+1,FIND("km",A435)-FIND("-",A435)-1)))),"Distance + direction + city","Named-region"),"Named-region")</f>
        <v>Distance + direction + city</v>
      </c>
      <c r="V435" s="3" t="str">
        <f aca="false">LOWER(M435)</f>
        <v>mww</v>
      </c>
      <c r="W435" s="3" t="n">
        <f aca="false">COUNTIFS($A$2:$A$1001,A435,$C$2:$C$1001,C435)</f>
        <v>1</v>
      </c>
      <c r="X435" s="3" t="str">
        <f aca="false">IF(W435&gt;1,"Duplicate","Unique")</f>
        <v>Unique</v>
      </c>
      <c r="Y435" s="3" t="str">
        <f aca="false">IF(B435&lt;6.5,"&lt;6.5",IF(B435&lt;7,"6.5–6.9",IF(B435&lt;7.5,"7.0–7.4",IF(B435&lt;8,"7.5–7.9","8.0+"))))</f>
        <v>7.0–7.4</v>
      </c>
      <c r="Z435" s="3" t="n">
        <f aca="false">IF(T435="","",YEAR(T435))</f>
        <v>2013</v>
      </c>
    </row>
    <row r="436" customFormat="false" ht="13.8" hidden="false" customHeight="false" outlineLevel="0" collapsed="false">
      <c r="A436" s="3" t="s">
        <v>1186</v>
      </c>
      <c r="B436" s="3" t="n">
        <v>6.6</v>
      </c>
      <c r="C436" s="3" t="s">
        <v>1187</v>
      </c>
      <c r="D436" s="3" t="n">
        <v>7</v>
      </c>
      <c r="E436" s="3" t="n">
        <v>7</v>
      </c>
      <c r="F436" s="3" t="s">
        <v>21</v>
      </c>
      <c r="G436" s="3" t="n">
        <v>1</v>
      </c>
      <c r="H436" s="3" t="n">
        <v>672</v>
      </c>
      <c r="I436" s="3" t="s">
        <v>22</v>
      </c>
      <c r="J436" s="3" t="n">
        <v>445</v>
      </c>
      <c r="K436" s="3" t="n">
        <v>0</v>
      </c>
      <c r="L436" s="3" t="n">
        <v>11</v>
      </c>
      <c r="M436" s="3" t="s">
        <v>23</v>
      </c>
      <c r="N436" s="3" t="n">
        <v>13</v>
      </c>
      <c r="O436" s="3" t="n">
        <v>-3.214</v>
      </c>
      <c r="P436" s="3" t="n">
        <v>142.542</v>
      </c>
      <c r="Q436" s="3" t="s">
        <v>1188</v>
      </c>
      <c r="R436" s="3"/>
      <c r="S436" s="3" t="s">
        <v>85</v>
      </c>
      <c r="T436" s="5" t="n">
        <f aca="false">IF(C436="","",DATE(VALUE(MID(C436,7,4)),VALUE(MID(C436,4,2)),VALUE(MID(C436,1,2)))+TIME(VALUE(MID(C436,12,2)),VALUE(MID(C436,15,2)),0))</f>
        <v>41380.9548611111</v>
      </c>
      <c r="U436" s="3" t="str">
        <f aca="false">IFERROR(IF(ISNUMBER(VALUE(TRIM(MID(A436,FIND("-",A436)+1,FIND("km",A436)-FIND("-",A436)-1)))),"Distance + direction + city","Named-region"),"Named-region")</f>
        <v>Distance + direction + city</v>
      </c>
      <c r="V436" s="3" t="str">
        <f aca="false">LOWER(M436)</f>
        <v>mww</v>
      </c>
      <c r="W436" s="3" t="n">
        <f aca="false">COUNTIFS($A$2:$A$1001,A436,$C$2:$C$1001,C436)</f>
        <v>1</v>
      </c>
      <c r="X436" s="3" t="str">
        <f aca="false">IF(W436&gt;1,"Duplicate","Unique")</f>
        <v>Unique</v>
      </c>
      <c r="Y436" s="3" t="str">
        <f aca="false">IF(B436&lt;6.5,"&lt;6.5",IF(B436&lt;7,"6.5–6.9",IF(B436&lt;7.5,"7.0–7.4",IF(B436&lt;8,"7.5–7.9","8.0+"))))</f>
        <v>6.5–6.9</v>
      </c>
      <c r="Z436" s="3" t="n">
        <f aca="false">IF(T436="","",YEAR(T436))</f>
        <v>2013</v>
      </c>
    </row>
    <row r="437" customFormat="false" ht="13.8" hidden="false" customHeight="false" outlineLevel="0" collapsed="false">
      <c r="A437" s="3" t="s">
        <v>1189</v>
      </c>
      <c r="B437" s="3" t="n">
        <v>7.7</v>
      </c>
      <c r="C437" s="3" t="s">
        <v>1190</v>
      </c>
      <c r="D437" s="3" t="n">
        <v>8</v>
      </c>
      <c r="E437" s="3" t="n">
        <v>8</v>
      </c>
      <c r="F437" s="3" t="s">
        <v>28</v>
      </c>
      <c r="G437" s="3" t="n">
        <v>0</v>
      </c>
      <c r="H437" s="3" t="n">
        <v>1421</v>
      </c>
      <c r="I437" s="3" t="s">
        <v>22</v>
      </c>
      <c r="J437" s="3" t="n">
        <v>506</v>
      </c>
      <c r="K437" s="3" t="n">
        <v>0</v>
      </c>
      <c r="L437" s="3" t="n">
        <v>26.6</v>
      </c>
      <c r="M437" s="3" t="s">
        <v>23</v>
      </c>
      <c r="N437" s="3" t="n">
        <v>80</v>
      </c>
      <c r="O437" s="3" t="n">
        <v>28.033</v>
      </c>
      <c r="P437" s="3" t="n">
        <v>61.996</v>
      </c>
      <c r="Q437" s="3" t="s">
        <v>1191</v>
      </c>
      <c r="R437" s="3" t="s">
        <v>80</v>
      </c>
      <c r="S437" s="3" t="s">
        <v>660</v>
      </c>
      <c r="T437" s="5" t="n">
        <f aca="false">IF(C437="","",DATE(VALUE(MID(C437,7,4)),VALUE(MID(C437,4,2)),VALUE(MID(C437,1,2)))+TIME(VALUE(MID(C437,12,2)),VALUE(MID(C437,15,2)),0))</f>
        <v>41380.4472222222</v>
      </c>
      <c r="U437" s="3" t="str">
        <f aca="false">IFERROR(IF(ISNUMBER(VALUE(TRIM(MID(A437,FIND("-",A437)+1,FIND("km",A437)-FIND("-",A437)-1)))),"Distance + direction + city","Named-region"),"Named-region")</f>
        <v>Distance + direction + city</v>
      </c>
      <c r="V437" s="3" t="str">
        <f aca="false">LOWER(M437)</f>
        <v>mww</v>
      </c>
      <c r="W437" s="3" t="n">
        <f aca="false">COUNTIFS($A$2:$A$1001,A437,$C$2:$C$1001,C437)</f>
        <v>1</v>
      </c>
      <c r="X437" s="3" t="str">
        <f aca="false">IF(W437&gt;1,"Duplicate","Unique")</f>
        <v>Unique</v>
      </c>
      <c r="Y437" s="3" t="str">
        <f aca="false">IF(B437&lt;6.5,"&lt;6.5",IF(B437&lt;7,"6.5–6.9",IF(B437&lt;7.5,"7.0–7.4",IF(B437&lt;8,"7.5–7.9","8.0+"))))</f>
        <v>7.5–7.9</v>
      </c>
      <c r="Z437" s="3" t="n">
        <f aca="false">IF(T437="","",YEAR(T437))</f>
        <v>2013</v>
      </c>
    </row>
    <row r="438" customFormat="false" ht="13.8" hidden="false" customHeight="false" outlineLevel="0" collapsed="false">
      <c r="A438" s="3" t="s">
        <v>1192</v>
      </c>
      <c r="B438" s="3" t="n">
        <v>6.6</v>
      </c>
      <c r="C438" s="3" t="s">
        <v>1193</v>
      </c>
      <c r="D438" s="3" t="n">
        <v>0</v>
      </c>
      <c r="E438" s="3" t="n">
        <v>5</v>
      </c>
      <c r="F438" s="3" t="s">
        <v>21</v>
      </c>
      <c r="G438" s="3" t="n">
        <v>1</v>
      </c>
      <c r="H438" s="3" t="n">
        <v>670</v>
      </c>
      <c r="I438" s="3" t="s">
        <v>22</v>
      </c>
      <c r="J438" s="3" t="n">
        <v>491</v>
      </c>
      <c r="K438" s="3" t="n">
        <v>0</v>
      </c>
      <c r="L438" s="3" t="n">
        <v>11.5</v>
      </c>
      <c r="M438" s="3" t="s">
        <v>23</v>
      </c>
      <c r="N438" s="3" t="n">
        <v>31</v>
      </c>
      <c r="O438" s="3" t="n">
        <v>-6.475</v>
      </c>
      <c r="P438" s="3" t="n">
        <v>154.607</v>
      </c>
      <c r="Q438" s="3" t="s">
        <v>736</v>
      </c>
      <c r="R438" s="3"/>
      <c r="S438" s="3"/>
      <c r="T438" s="5" t="n">
        <f aca="false">IF(C438="","",DATE(VALUE(MID(C438,7,4)),VALUE(MID(C438,4,2)),VALUE(MID(C438,1,2)))+TIME(VALUE(MID(C438,12,2)),VALUE(MID(C438,15,2)),0))</f>
        <v>41378.0638888889</v>
      </c>
      <c r="U438" s="3" t="str">
        <f aca="false">IFERROR(IF(ISNUMBER(VALUE(TRIM(MID(A438,FIND("-",A438)+1,FIND("km",A438)-FIND("-",A438)-1)))),"Distance + direction + city","Named-region"),"Named-region")</f>
        <v>Distance + direction + city</v>
      </c>
      <c r="V438" s="3" t="str">
        <f aca="false">LOWER(M438)</f>
        <v>mww</v>
      </c>
      <c r="W438" s="3" t="n">
        <f aca="false">COUNTIFS($A$2:$A$1001,A438,$C$2:$C$1001,C438)</f>
        <v>1</v>
      </c>
      <c r="X438" s="3" t="str">
        <f aca="false">IF(W438&gt;1,"Duplicate","Unique")</f>
        <v>Unique</v>
      </c>
      <c r="Y438" s="3" t="str">
        <f aca="false">IF(B438&lt;6.5,"&lt;6.5",IF(B438&lt;7,"6.5–6.9",IF(B438&lt;7.5,"7.0–7.4",IF(B438&lt;8,"7.5–7.9","8.0+"))))</f>
        <v>6.5–6.9</v>
      </c>
      <c r="Z438" s="3" t="n">
        <f aca="false">IF(T438="","",YEAR(T438))</f>
        <v>2013</v>
      </c>
    </row>
    <row r="439" customFormat="false" ht="13.8" hidden="false" customHeight="false" outlineLevel="0" collapsed="false">
      <c r="A439" s="3" t="s">
        <v>1194</v>
      </c>
      <c r="B439" s="3" t="n">
        <v>7</v>
      </c>
      <c r="C439" s="6" t="s">
        <v>1195</v>
      </c>
      <c r="D439" s="3" t="n">
        <v>3</v>
      </c>
      <c r="E439" s="3" t="n">
        <v>7</v>
      </c>
      <c r="F439" s="3" t="s">
        <v>21</v>
      </c>
      <c r="G439" s="3" t="n">
        <v>1</v>
      </c>
      <c r="H439" s="3" t="n">
        <v>755</v>
      </c>
      <c r="I439" s="3" t="s">
        <v>22</v>
      </c>
      <c r="J439" s="3" t="n">
        <v>640</v>
      </c>
      <c r="K439" s="3" t="n">
        <v>0</v>
      </c>
      <c r="L439" s="3" t="n">
        <v>11.4</v>
      </c>
      <c r="M439" s="3" t="s">
        <v>23</v>
      </c>
      <c r="N439" s="3" t="n">
        <v>66</v>
      </c>
      <c r="O439" s="3" t="n">
        <v>-3.517</v>
      </c>
      <c r="P439" s="3" t="n">
        <v>138.476</v>
      </c>
      <c r="Q439" s="3" t="s">
        <v>926</v>
      </c>
      <c r="R439" s="3"/>
      <c r="S439" s="3" t="s">
        <v>68</v>
      </c>
      <c r="T439" s="5" t="n">
        <f aca="false">IF(C439="","",DATE(VALUE(MID(C439,7,4)),VALUE(MID(C439,4,2)),VALUE(MID(C439,1,2)))+TIME(VALUE(MID(C439,12,2)),VALUE(MID(C439,15,2)),0))</f>
        <v>41370.1958333333</v>
      </c>
      <c r="U439" s="3" t="str">
        <f aca="false">IFERROR(IF(ISNUMBER(VALUE(TRIM(MID(A439,FIND("-",A439)+1,FIND("km",A439)-FIND("-",A439)-1)))),"Distance + direction + city","Named-region"),"Named-region")</f>
        <v>Distance + direction + city</v>
      </c>
      <c r="V439" s="3" t="str">
        <f aca="false">LOWER(M439)</f>
        <v>mww</v>
      </c>
      <c r="W439" s="3" t="n">
        <f aca="false">COUNTIFS($A$2:$A$1001,A439,$C$2:$C$1001,C439)</f>
        <v>1</v>
      </c>
      <c r="X439" s="3" t="str">
        <f aca="false">IF(W439&gt;1,"Duplicate","Unique")</f>
        <v>Unique</v>
      </c>
      <c r="Y439" s="3" t="str">
        <f aca="false">IF(B439&lt;6.5,"&lt;6.5",IF(B439&lt;7,"6.5–6.9",IF(B439&lt;7.5,"7.0–7.4",IF(B439&lt;8,"7.5–7.9","8.0+"))))</f>
        <v>7.0–7.4</v>
      </c>
      <c r="Z439" s="3" t="n">
        <f aca="false">IF(T439="","",YEAR(T439))</f>
        <v>2013</v>
      </c>
    </row>
    <row r="440" customFormat="false" ht="13.8" hidden="false" customHeight="false" outlineLevel="0" collapsed="false">
      <c r="A440" s="3" t="s">
        <v>1196</v>
      </c>
      <c r="B440" s="3" t="n">
        <v>6.5</v>
      </c>
      <c r="C440" s="6" t="s">
        <v>1197</v>
      </c>
      <c r="D440" s="3" t="n">
        <v>0</v>
      </c>
      <c r="E440" s="3" t="n">
        <v>6</v>
      </c>
      <c r="F440" s="3" t="s">
        <v>21</v>
      </c>
      <c r="G440" s="3" t="n">
        <v>1</v>
      </c>
      <c r="H440" s="3" t="n">
        <v>650</v>
      </c>
      <c r="I440" s="3" t="s">
        <v>22</v>
      </c>
      <c r="J440" s="3" t="n">
        <v>317</v>
      </c>
      <c r="K440" s="3" t="n">
        <v>0</v>
      </c>
      <c r="L440" s="3" t="n">
        <v>14.2</v>
      </c>
      <c r="M440" s="3" t="s">
        <v>23</v>
      </c>
      <c r="N440" s="3" t="n">
        <v>28</v>
      </c>
      <c r="O440" s="3" t="n">
        <v>-6.598</v>
      </c>
      <c r="P440" s="3" t="n">
        <v>148.174</v>
      </c>
      <c r="Q440" s="3" t="s">
        <v>1011</v>
      </c>
      <c r="R440" s="3"/>
      <c r="S440" s="3" t="s">
        <v>85</v>
      </c>
      <c r="T440" s="5" t="n">
        <f aca="false">IF(C440="","",DATE(VALUE(MID(C440,7,4)),VALUE(MID(C440,4,2)),VALUE(MID(C440,1,2)))+TIME(VALUE(MID(C440,12,2)),VALUE(MID(C440,15,2)),0))</f>
        <v>41343.9520833333</v>
      </c>
      <c r="U440" s="3" t="str">
        <f aca="false">IFERROR(IF(ISNUMBER(VALUE(TRIM(MID(A440,FIND("-",A440)+1,FIND("km",A440)-FIND("-",A440)-1)))),"Distance + direction + city","Named-region"),"Named-region")</f>
        <v>Distance + direction + city</v>
      </c>
      <c r="V440" s="3" t="str">
        <f aca="false">LOWER(M440)</f>
        <v>mww</v>
      </c>
      <c r="W440" s="3" t="n">
        <f aca="false">COUNTIFS($A$2:$A$1001,A440,$C$2:$C$1001,C440)</f>
        <v>1</v>
      </c>
      <c r="X440" s="3" t="str">
        <f aca="false">IF(W440&gt;1,"Duplicate","Unique")</f>
        <v>Unique</v>
      </c>
      <c r="Y440" s="3" t="str">
        <f aca="false">IF(B440&lt;6.5,"&lt;6.5",IF(B440&lt;7,"6.5–6.9",IF(B440&lt;7.5,"7.0–7.4",IF(B440&lt;8,"7.5–7.9","8.0+"))))</f>
        <v>6.5–6.9</v>
      </c>
      <c r="Z440" s="3" t="n">
        <f aca="false">IF(T440="","",YEAR(T440))</f>
        <v>2013</v>
      </c>
    </row>
    <row r="441" customFormat="false" ht="13.8" hidden="false" customHeight="false" outlineLevel="0" collapsed="false">
      <c r="A441" s="3" t="s">
        <v>1198</v>
      </c>
      <c r="B441" s="3" t="n">
        <v>6.5</v>
      </c>
      <c r="C441" s="6" t="s">
        <v>1199</v>
      </c>
      <c r="D441" s="3" t="n">
        <v>3</v>
      </c>
      <c r="E441" s="3" t="n">
        <v>6</v>
      </c>
      <c r="F441" s="3" t="s">
        <v>21</v>
      </c>
      <c r="G441" s="3" t="n">
        <v>0</v>
      </c>
      <c r="H441" s="3" t="n">
        <v>651</v>
      </c>
      <c r="I441" s="3" t="s">
        <v>22</v>
      </c>
      <c r="J441" s="3" t="n">
        <v>480</v>
      </c>
      <c r="K441" s="3" t="n">
        <v>0</v>
      </c>
      <c r="L441" s="3" t="n">
        <v>20.7</v>
      </c>
      <c r="M441" s="3" t="s">
        <v>23</v>
      </c>
      <c r="N441" s="3" t="n">
        <v>29</v>
      </c>
      <c r="O441" s="3" t="n">
        <v>50.958</v>
      </c>
      <c r="P441" s="3" t="n">
        <v>157.408</v>
      </c>
      <c r="Q441" s="3" t="s">
        <v>565</v>
      </c>
      <c r="R441" s="3" t="s">
        <v>80</v>
      </c>
      <c r="S441" s="3"/>
      <c r="T441" s="5" t="n">
        <f aca="false">IF(C441="","",DATE(VALUE(MID(C441,7,4)),VALUE(MID(C441,4,2)),VALUE(MID(C441,1,2)))+TIME(VALUE(MID(C441,12,2)),VALUE(MID(C441,15,2)),0))</f>
        <v>41334.5555555556</v>
      </c>
      <c r="U441" s="3" t="str">
        <f aca="false">IFERROR(IF(ISNUMBER(VALUE(TRIM(MID(A441,FIND("-",A441)+1,FIND("km",A441)-FIND("-",A441)-1)))),"Distance + direction + city","Named-region"),"Named-region")</f>
        <v>Distance + direction + city</v>
      </c>
      <c r="V441" s="3" t="str">
        <f aca="false">LOWER(M441)</f>
        <v>mww</v>
      </c>
      <c r="W441" s="3" t="n">
        <f aca="false">COUNTIFS($A$2:$A$1001,A441,$C$2:$C$1001,C441)</f>
        <v>1</v>
      </c>
      <c r="X441" s="3" t="str">
        <f aca="false">IF(W441&gt;1,"Duplicate","Unique")</f>
        <v>Unique</v>
      </c>
      <c r="Y441" s="3" t="str">
        <f aca="false">IF(B441&lt;6.5,"&lt;6.5",IF(B441&lt;7,"6.5–6.9",IF(B441&lt;7.5,"7.0–7.4",IF(B441&lt;8,"7.5–7.9","8.0+"))))</f>
        <v>6.5–6.9</v>
      </c>
      <c r="Z441" s="3" t="n">
        <f aca="false">IF(T441="","",YEAR(T441))</f>
        <v>2013</v>
      </c>
    </row>
    <row r="442" customFormat="false" ht="13.8" hidden="false" customHeight="false" outlineLevel="0" collapsed="false">
      <c r="A442" s="3" t="s">
        <v>1200</v>
      </c>
      <c r="B442" s="3" t="n">
        <v>6.9</v>
      </c>
      <c r="C442" s="3" t="s">
        <v>1201</v>
      </c>
      <c r="D442" s="3" t="n">
        <v>5</v>
      </c>
      <c r="E442" s="3" t="n">
        <v>6</v>
      </c>
      <c r="F442" s="3" t="s">
        <v>21</v>
      </c>
      <c r="G442" s="3" t="n">
        <v>1</v>
      </c>
      <c r="H442" s="3" t="n">
        <v>736</v>
      </c>
      <c r="I442" s="3" t="s">
        <v>22</v>
      </c>
      <c r="J442" s="3" t="n">
        <v>531</v>
      </c>
      <c r="K442" s="3" t="n">
        <v>0</v>
      </c>
      <c r="L442" s="3" t="n">
        <v>20.7</v>
      </c>
      <c r="M442" s="3" t="s">
        <v>23</v>
      </c>
      <c r="N442" s="3" t="n">
        <v>41</v>
      </c>
      <c r="O442" s="3" t="n">
        <v>50.954</v>
      </c>
      <c r="P442" s="3" t="n">
        <v>157.283</v>
      </c>
      <c r="Q442" s="3" t="s">
        <v>565</v>
      </c>
      <c r="R442" s="3" t="s">
        <v>80</v>
      </c>
      <c r="S442" s="3"/>
      <c r="T442" s="5" t="n">
        <f aca="false">IF(C442="","",DATE(VALUE(MID(C442,7,4)),VALUE(MID(C442,4,2)),VALUE(MID(C442,1,2)))+TIME(VALUE(MID(C442,12,2)),VALUE(MID(C442,15,2)),0))</f>
        <v>41333.5868055556</v>
      </c>
      <c r="U442" s="3" t="str">
        <f aca="false">IFERROR(IF(ISNUMBER(VALUE(TRIM(MID(A442,FIND("-",A442)+1,FIND("km",A442)-FIND("-",A442)-1)))),"Distance + direction + city","Named-region"),"Named-region")</f>
        <v>Distance + direction + city</v>
      </c>
      <c r="V442" s="3" t="str">
        <f aca="false">LOWER(M442)</f>
        <v>mww</v>
      </c>
      <c r="W442" s="3" t="n">
        <f aca="false">COUNTIFS($A$2:$A$1001,A442,$C$2:$C$1001,C442)</f>
        <v>1</v>
      </c>
      <c r="X442" s="3" t="str">
        <f aca="false">IF(W442&gt;1,"Duplicate","Unique")</f>
        <v>Unique</v>
      </c>
      <c r="Y442" s="3" t="str">
        <f aca="false">IF(B442&lt;6.5,"&lt;6.5",IF(B442&lt;7,"6.5–6.9",IF(B442&lt;7.5,"7.0–7.4",IF(B442&lt;8,"7.5–7.9","8.0+"))))</f>
        <v>6.5–6.9</v>
      </c>
      <c r="Z442" s="3" t="n">
        <f aca="false">IF(T442="","",YEAR(T442))</f>
        <v>2013</v>
      </c>
    </row>
    <row r="443" customFormat="false" ht="13.8" hidden="false" customHeight="false" outlineLevel="0" collapsed="false">
      <c r="A443" s="3" t="s">
        <v>1202</v>
      </c>
      <c r="B443" s="3" t="n">
        <v>6.6</v>
      </c>
      <c r="C443" s="3" t="s">
        <v>1203</v>
      </c>
      <c r="D443" s="3" t="n">
        <v>0</v>
      </c>
      <c r="E443" s="3" t="n">
        <v>7</v>
      </c>
      <c r="F443" s="3" t="s">
        <v>21</v>
      </c>
      <c r="G443" s="3" t="n">
        <v>1</v>
      </c>
      <c r="H443" s="3" t="n">
        <v>670</v>
      </c>
      <c r="I443" s="3" t="s">
        <v>22</v>
      </c>
      <c r="J443" s="3" t="n">
        <v>697</v>
      </c>
      <c r="K443" s="3" t="n">
        <v>0</v>
      </c>
      <c r="L443" s="3" t="n">
        <v>15.3</v>
      </c>
      <c r="M443" s="3" t="s">
        <v>23</v>
      </c>
      <c r="N443" s="3" t="n">
        <v>11</v>
      </c>
      <c r="O443" s="3" t="n">
        <v>67.631</v>
      </c>
      <c r="P443" s="3" t="n">
        <v>142.508</v>
      </c>
      <c r="Q443" s="3" t="s">
        <v>1204</v>
      </c>
      <c r="R443" s="3" t="s">
        <v>80</v>
      </c>
      <c r="S443" s="3" t="s">
        <v>428</v>
      </c>
      <c r="T443" s="5" t="n">
        <f aca="false">IF(C443="","",DATE(VALUE(MID(C443,7,4)),VALUE(MID(C443,4,2)),VALUE(MID(C443,1,2)))+TIME(VALUE(MID(C443,12,2)),VALUE(MID(C443,15,2)),0))</f>
        <v>41319.5506944444</v>
      </c>
      <c r="U443" s="3" t="str">
        <f aca="false">IFERROR(IF(ISNUMBER(VALUE(TRIM(MID(A443,FIND("-",A443)+1,FIND("km",A443)-FIND("-",A443)-1)))),"Distance + direction + city","Named-region"),"Named-region")</f>
        <v>Distance + direction + city</v>
      </c>
      <c r="V443" s="3" t="str">
        <f aca="false">LOWER(M443)</f>
        <v>mww</v>
      </c>
      <c r="W443" s="3" t="n">
        <f aca="false">COUNTIFS($A$2:$A$1001,A443,$C$2:$C$1001,C443)</f>
        <v>1</v>
      </c>
      <c r="X443" s="3" t="str">
        <f aca="false">IF(W443&gt;1,"Duplicate","Unique")</f>
        <v>Unique</v>
      </c>
      <c r="Y443" s="3" t="str">
        <f aca="false">IF(B443&lt;6.5,"&lt;6.5",IF(B443&lt;7,"6.5–6.9",IF(B443&lt;7.5,"7.0–7.4",IF(B443&lt;8,"7.5–7.9","8.0+"))))</f>
        <v>6.5–6.9</v>
      </c>
      <c r="Z443" s="3" t="n">
        <f aca="false">IF(T443="","",YEAR(T443))</f>
        <v>2013</v>
      </c>
    </row>
    <row r="444" customFormat="false" ht="13.8" hidden="false" customHeight="false" outlineLevel="0" collapsed="false">
      <c r="A444" s="3" t="s">
        <v>1205</v>
      </c>
      <c r="B444" s="3" t="n">
        <v>6.6</v>
      </c>
      <c r="C444" s="6" t="s">
        <v>1206</v>
      </c>
      <c r="D444" s="3" t="n">
        <v>0</v>
      </c>
      <c r="E444" s="3" t="n">
        <v>6</v>
      </c>
      <c r="F444" s="3" t="s">
        <v>21</v>
      </c>
      <c r="G444" s="3" t="n">
        <v>1</v>
      </c>
      <c r="H444" s="3" t="n">
        <v>670</v>
      </c>
      <c r="I444" s="3" t="s">
        <v>22</v>
      </c>
      <c r="J444" s="3" t="n">
        <v>421</v>
      </c>
      <c r="K444" s="3" t="n">
        <v>0</v>
      </c>
      <c r="L444" s="3" t="n">
        <v>16.6</v>
      </c>
      <c r="M444" s="3" t="s">
        <v>23</v>
      </c>
      <c r="N444" s="3" t="n">
        <v>18</v>
      </c>
      <c r="O444" s="3" t="n">
        <v>-10.994</v>
      </c>
      <c r="P444" s="3" t="n">
        <v>165.741</v>
      </c>
      <c r="Q444" s="3" t="s">
        <v>412</v>
      </c>
      <c r="R444" s="3"/>
      <c r="S444" s="3" t="s">
        <v>140</v>
      </c>
      <c r="T444" s="5" t="n">
        <f aca="false">IF(C444="","",DATE(VALUE(MID(C444,7,4)),VALUE(MID(C444,4,2)),VALUE(MID(C444,1,2)))+TIME(VALUE(MID(C444,12,2)),VALUE(MID(C444,15,2)),0))</f>
        <v>41314.8763888889</v>
      </c>
      <c r="U444" s="3" t="str">
        <f aca="false">IFERROR(IF(ISNUMBER(VALUE(TRIM(MID(A444,FIND("-",A444)+1,FIND("km",A444)-FIND("-",A444)-1)))),"Distance + direction + city","Named-region"),"Named-region")</f>
        <v>Distance + direction + city</v>
      </c>
      <c r="V444" s="3" t="str">
        <f aca="false">LOWER(M444)</f>
        <v>mww</v>
      </c>
      <c r="W444" s="3" t="n">
        <f aca="false">COUNTIFS($A$2:$A$1001,A444,$C$2:$C$1001,C444)</f>
        <v>1</v>
      </c>
      <c r="X444" s="3" t="str">
        <f aca="false">IF(W444&gt;1,"Duplicate","Unique")</f>
        <v>Unique</v>
      </c>
      <c r="Y444" s="3" t="str">
        <f aca="false">IF(B444&lt;6.5,"&lt;6.5",IF(B444&lt;7,"6.5–6.9",IF(B444&lt;7.5,"7.0–7.4",IF(B444&lt;8,"7.5–7.9","8.0+"))))</f>
        <v>6.5–6.9</v>
      </c>
      <c r="Z444" s="3" t="n">
        <f aca="false">IF(T444="","",YEAR(T444))</f>
        <v>2013</v>
      </c>
    </row>
    <row r="445" customFormat="false" ht="13.8" hidden="false" customHeight="false" outlineLevel="0" collapsed="false">
      <c r="A445" s="3" t="s">
        <v>1207</v>
      </c>
      <c r="B445" s="3" t="n">
        <v>6.9</v>
      </c>
      <c r="C445" s="6" t="s">
        <v>1208</v>
      </c>
      <c r="D445" s="3" t="n">
        <v>5</v>
      </c>
      <c r="E445" s="3" t="n">
        <v>5</v>
      </c>
      <c r="F445" s="3" t="s">
        <v>21</v>
      </c>
      <c r="G445" s="3" t="n">
        <v>1</v>
      </c>
      <c r="H445" s="3" t="n">
        <v>904</v>
      </c>
      <c r="I445" s="3" t="s">
        <v>22</v>
      </c>
      <c r="J445" s="3" t="n">
        <v>562</v>
      </c>
      <c r="K445" s="3" t="n">
        <v>0</v>
      </c>
      <c r="L445" s="3" t="n">
        <v>23.7</v>
      </c>
      <c r="M445" s="3" t="s">
        <v>23</v>
      </c>
      <c r="N445" s="3" t="n">
        <v>145</v>
      </c>
      <c r="O445" s="3" t="n">
        <v>1.135</v>
      </c>
      <c r="P445" s="3" t="n">
        <v>-77.393</v>
      </c>
      <c r="Q445" s="3" t="s">
        <v>1209</v>
      </c>
      <c r="R445" s="3" t="s">
        <v>33</v>
      </c>
      <c r="S445" s="3" t="s">
        <v>54</v>
      </c>
      <c r="T445" s="5" t="n">
        <f aca="false">IF(C445="","",DATE(VALUE(MID(C445,7,4)),VALUE(MID(C445,4,2)),VALUE(MID(C445,1,2)))+TIME(VALUE(MID(C445,12,2)),VALUE(MID(C445,15,2)),0))</f>
        <v>41314.5944444445</v>
      </c>
      <c r="U445" s="3" t="str">
        <f aca="false">IFERROR(IF(ISNUMBER(VALUE(TRIM(MID(A445,FIND("-",A445)+1,FIND("km",A445)-FIND("-",A445)-1)))),"Distance + direction + city","Named-region"),"Named-region")</f>
        <v>Distance + direction + city</v>
      </c>
      <c r="V445" s="3" t="str">
        <f aca="false">LOWER(M445)</f>
        <v>mww</v>
      </c>
      <c r="W445" s="3" t="n">
        <f aca="false">COUNTIFS($A$2:$A$1001,A445,$C$2:$C$1001,C445)</f>
        <v>1</v>
      </c>
      <c r="X445" s="3" t="str">
        <f aca="false">IF(W445&gt;1,"Duplicate","Unique")</f>
        <v>Unique</v>
      </c>
      <c r="Y445" s="3" t="str">
        <f aca="false">IF(B445&lt;6.5,"&lt;6.5",IF(B445&lt;7,"6.5–6.9",IF(B445&lt;7.5,"7.0–7.4",IF(B445&lt;8,"7.5–7.9","8.0+"))))</f>
        <v>6.5–6.9</v>
      </c>
      <c r="Z445" s="3" t="n">
        <f aca="false">IF(T445="","",YEAR(T445))</f>
        <v>2013</v>
      </c>
    </row>
    <row r="446" customFormat="false" ht="13.8" hidden="false" customHeight="false" outlineLevel="0" collapsed="false">
      <c r="A446" s="3" t="s">
        <v>1210</v>
      </c>
      <c r="B446" s="3" t="n">
        <v>7.1</v>
      </c>
      <c r="C446" s="6" t="s">
        <v>1211</v>
      </c>
      <c r="D446" s="3" t="n">
        <v>9</v>
      </c>
      <c r="E446" s="3" t="n">
        <v>6</v>
      </c>
      <c r="F446" s="3" t="s">
        <v>21</v>
      </c>
      <c r="G446" s="3" t="n">
        <v>1</v>
      </c>
      <c r="H446" s="3" t="n">
        <v>780</v>
      </c>
      <c r="I446" s="3" t="s">
        <v>22</v>
      </c>
      <c r="J446" s="3" t="n">
        <v>334</v>
      </c>
      <c r="K446" s="3" t="n">
        <v>0</v>
      </c>
      <c r="L446" s="3" t="n">
        <v>16.5</v>
      </c>
      <c r="M446" s="3" t="s">
        <v>23</v>
      </c>
      <c r="N446" s="3" t="n">
        <v>21</v>
      </c>
      <c r="O446" s="3" t="n">
        <v>-10.928</v>
      </c>
      <c r="P446" s="3" t="n">
        <v>166.018</v>
      </c>
      <c r="Q446" s="3" t="s">
        <v>412</v>
      </c>
      <c r="R446" s="3"/>
      <c r="S446" s="3" t="s">
        <v>140</v>
      </c>
      <c r="T446" s="5" t="n">
        <f aca="false">IF(C446="","",DATE(VALUE(MID(C446,7,4)),VALUE(MID(C446,4,2)),VALUE(MID(C446,1,2)))+TIME(VALUE(MID(C446,12,2)),VALUE(MID(C446,15,2)),0))</f>
        <v>41313.6430555556</v>
      </c>
      <c r="U446" s="3" t="str">
        <f aca="false">IFERROR(IF(ISNUMBER(VALUE(TRIM(MID(A446,FIND("-",A446)+1,FIND("km",A446)-FIND("-",A446)-1)))),"Distance + direction + city","Named-region"),"Named-region")</f>
        <v>Distance + direction + city</v>
      </c>
      <c r="V446" s="3" t="str">
        <f aca="false">LOWER(M446)</f>
        <v>mww</v>
      </c>
      <c r="W446" s="3" t="n">
        <f aca="false">COUNTIFS($A$2:$A$1001,A446,$C$2:$C$1001,C446)</f>
        <v>1</v>
      </c>
      <c r="X446" s="3" t="str">
        <f aca="false">IF(W446&gt;1,"Duplicate","Unique")</f>
        <v>Unique</v>
      </c>
      <c r="Y446" s="3" t="str">
        <f aca="false">IF(B446&lt;6.5,"&lt;6.5",IF(B446&lt;7,"6.5–6.9",IF(B446&lt;7.5,"7.0–7.4",IF(B446&lt;8,"7.5–7.9","8.0+"))))</f>
        <v>7.0–7.4</v>
      </c>
      <c r="Z446" s="3" t="n">
        <f aca="false">IF(T446="","",YEAR(T446))</f>
        <v>2013</v>
      </c>
    </row>
    <row r="447" customFormat="false" ht="13.8" hidden="false" customHeight="false" outlineLevel="0" collapsed="false">
      <c r="A447" s="3" t="s">
        <v>1212</v>
      </c>
      <c r="B447" s="3" t="n">
        <v>6.8</v>
      </c>
      <c r="C447" s="6" t="s">
        <v>1213</v>
      </c>
      <c r="D447" s="3" t="n">
        <v>0</v>
      </c>
      <c r="E447" s="3" t="n">
        <v>7</v>
      </c>
      <c r="F447" s="3" t="s">
        <v>21</v>
      </c>
      <c r="G447" s="3" t="n">
        <v>1</v>
      </c>
      <c r="H447" s="3" t="n">
        <v>711</v>
      </c>
      <c r="I447" s="3" t="s">
        <v>22</v>
      </c>
      <c r="J447" s="3" t="n">
        <v>400</v>
      </c>
      <c r="K447" s="3" t="n">
        <v>0</v>
      </c>
      <c r="L447" s="3" t="n">
        <v>17.5</v>
      </c>
      <c r="M447" s="3" t="s">
        <v>23</v>
      </c>
      <c r="N447" s="3" t="n">
        <v>12</v>
      </c>
      <c r="O447" s="3" t="n">
        <v>-10.838</v>
      </c>
      <c r="P447" s="3" t="n">
        <v>165.969</v>
      </c>
      <c r="Q447" s="3" t="s">
        <v>412</v>
      </c>
      <c r="R447" s="3"/>
      <c r="S447" s="3" t="s">
        <v>140</v>
      </c>
      <c r="T447" s="5" t="n">
        <f aca="false">IF(C447="","",DATE(VALUE(MID(C447,7,4)),VALUE(MID(C447,4,2)),VALUE(MID(C447,1,2)))+TIME(VALUE(MID(C447,12,2)),VALUE(MID(C447,15,2)),0))</f>
        <v>41313.4666666667</v>
      </c>
      <c r="U447" s="3" t="str">
        <f aca="false">IFERROR(IF(ISNUMBER(VALUE(TRIM(MID(A447,FIND("-",A447)+1,FIND("km",A447)-FIND("-",A447)-1)))),"Distance + direction + city","Named-region"),"Named-region")</f>
        <v>Distance + direction + city</v>
      </c>
      <c r="V447" s="3" t="str">
        <f aca="false">LOWER(M447)</f>
        <v>mww</v>
      </c>
      <c r="W447" s="3" t="n">
        <f aca="false">COUNTIFS($A$2:$A$1001,A447,$C$2:$C$1001,C447)</f>
        <v>1</v>
      </c>
      <c r="X447" s="3" t="str">
        <f aca="false">IF(W447&gt;1,"Duplicate","Unique")</f>
        <v>Unique</v>
      </c>
      <c r="Y447" s="3" t="str">
        <f aca="false">IF(B447&lt;6.5,"&lt;6.5",IF(B447&lt;7,"6.5–6.9",IF(B447&lt;7.5,"7.0–7.4",IF(B447&lt;8,"7.5–7.9","8.0+"))))</f>
        <v>6.5–6.9</v>
      </c>
      <c r="Z447" s="3" t="n">
        <f aca="false">IF(T447="","",YEAR(T447))</f>
        <v>2013</v>
      </c>
    </row>
    <row r="448" customFormat="false" ht="13.8" hidden="false" customHeight="false" outlineLevel="0" collapsed="false">
      <c r="A448" s="3" t="s">
        <v>1214</v>
      </c>
      <c r="B448" s="3" t="n">
        <v>6.7</v>
      </c>
      <c r="C448" s="6" t="s">
        <v>1215</v>
      </c>
      <c r="D448" s="3" t="n">
        <v>0</v>
      </c>
      <c r="E448" s="3" t="n">
        <v>6</v>
      </c>
      <c r="F448" s="3" t="s">
        <v>21</v>
      </c>
      <c r="G448" s="3" t="n">
        <v>1</v>
      </c>
      <c r="H448" s="3" t="n">
        <v>691</v>
      </c>
      <c r="I448" s="3" t="s">
        <v>22</v>
      </c>
      <c r="J448" s="3" t="n">
        <v>387</v>
      </c>
      <c r="K448" s="3" t="n">
        <v>0</v>
      </c>
      <c r="L448" s="3" t="n">
        <v>26.5</v>
      </c>
      <c r="M448" s="3" t="s">
        <v>23</v>
      </c>
      <c r="N448" s="3" t="n">
        <v>11</v>
      </c>
      <c r="O448" s="3" t="n">
        <v>-10.997</v>
      </c>
      <c r="P448" s="3" t="n">
        <v>165.655</v>
      </c>
      <c r="Q448" s="3" t="s">
        <v>412</v>
      </c>
      <c r="R448" s="3"/>
      <c r="S448" s="3" t="s">
        <v>140</v>
      </c>
      <c r="T448" s="5" t="n">
        <f aca="false">IF(C448="","",DATE(VALUE(MID(C448,7,4)),VALUE(MID(C448,4,2)),VALUE(MID(C448,1,2)))+TIME(VALUE(MID(C448,12,2)),VALUE(MID(C448,15,2)),0))</f>
        <v>41312.7909722222</v>
      </c>
      <c r="U448" s="3" t="str">
        <f aca="false">IFERROR(IF(ISNUMBER(VALUE(TRIM(MID(A448,FIND("-",A448)+1,FIND("km",A448)-FIND("-",A448)-1)))),"Distance + direction + city","Named-region"),"Named-region")</f>
        <v>Distance + direction + city</v>
      </c>
      <c r="V448" s="3" t="str">
        <f aca="false">LOWER(M448)</f>
        <v>mww</v>
      </c>
      <c r="W448" s="3" t="n">
        <f aca="false">COUNTIFS($A$2:$A$1001,A448,$C$2:$C$1001,C448)</f>
        <v>1</v>
      </c>
      <c r="X448" s="3" t="str">
        <f aca="false">IF(W448&gt;1,"Duplicate","Unique")</f>
        <v>Unique</v>
      </c>
      <c r="Y448" s="3" t="str">
        <f aca="false">IF(B448&lt;6.5,"&lt;6.5",IF(B448&lt;7,"6.5–6.9",IF(B448&lt;7.5,"7.0–7.4",IF(B448&lt;8,"7.5–7.9","8.0+"))))</f>
        <v>6.5–6.9</v>
      </c>
      <c r="Z448" s="3" t="n">
        <f aca="false">IF(T448="","",YEAR(T448))</f>
        <v>2013</v>
      </c>
    </row>
    <row r="449" customFormat="false" ht="13.8" hidden="false" customHeight="false" outlineLevel="0" collapsed="false">
      <c r="A449" s="3" t="s">
        <v>1216</v>
      </c>
      <c r="B449" s="3" t="n">
        <v>7</v>
      </c>
      <c r="C449" s="6" t="s">
        <v>1217</v>
      </c>
      <c r="D449" s="3" t="n">
        <v>0</v>
      </c>
      <c r="E449" s="3" t="n">
        <v>6</v>
      </c>
      <c r="F449" s="3" t="s">
        <v>21</v>
      </c>
      <c r="G449" s="3" t="n">
        <v>0</v>
      </c>
      <c r="H449" s="3" t="n">
        <v>754</v>
      </c>
      <c r="I449" s="3" t="s">
        <v>22</v>
      </c>
      <c r="J449" s="3" t="n">
        <v>445</v>
      </c>
      <c r="K449" s="3" t="n">
        <v>0</v>
      </c>
      <c r="L449" s="3" t="n">
        <v>17.5</v>
      </c>
      <c r="M449" s="3" t="s">
        <v>23</v>
      </c>
      <c r="N449" s="3" t="n">
        <v>8.8</v>
      </c>
      <c r="O449" s="3" t="n">
        <v>-10.499</v>
      </c>
      <c r="P449" s="3" t="n">
        <v>165.588</v>
      </c>
      <c r="Q449" s="3" t="s">
        <v>412</v>
      </c>
      <c r="R449" s="3"/>
      <c r="S449" s="3" t="s">
        <v>140</v>
      </c>
      <c r="T449" s="5" t="n">
        <f aca="false">IF(C449="","",DATE(VALUE(MID(C449,7,4)),VALUE(MID(C449,4,2)),VALUE(MID(C449,1,2)))+TIME(VALUE(MID(C449,12,2)),VALUE(MID(C449,15,2)),0))</f>
        <v>41311.0791666667</v>
      </c>
      <c r="U449" s="3" t="str">
        <f aca="false">IFERROR(IF(ISNUMBER(VALUE(TRIM(MID(A449,FIND("-",A449)+1,FIND("km",A449)-FIND("-",A449)-1)))),"Distance + direction + city","Named-region"),"Named-region")</f>
        <v>Distance + direction + city</v>
      </c>
      <c r="V449" s="3" t="str">
        <f aca="false">LOWER(M449)</f>
        <v>mww</v>
      </c>
      <c r="W449" s="3" t="n">
        <f aca="false">COUNTIFS($A$2:$A$1001,A449,$C$2:$C$1001,C449)</f>
        <v>1</v>
      </c>
      <c r="X449" s="3" t="str">
        <f aca="false">IF(W449&gt;1,"Duplicate","Unique")</f>
        <v>Unique</v>
      </c>
      <c r="Y449" s="3" t="str">
        <f aca="false">IF(B449&lt;6.5,"&lt;6.5",IF(B449&lt;7,"6.5–6.9",IF(B449&lt;7.5,"7.0–7.4",IF(B449&lt;8,"7.5–7.9","8.0+"))))</f>
        <v>7.0–7.4</v>
      </c>
      <c r="Z449" s="3" t="n">
        <f aca="false">IF(T449="","",YEAR(T449))</f>
        <v>2013</v>
      </c>
    </row>
    <row r="450" customFormat="false" ht="13.8" hidden="false" customHeight="false" outlineLevel="0" collapsed="false">
      <c r="A450" s="3" t="s">
        <v>1218</v>
      </c>
      <c r="B450" s="3" t="n">
        <v>7.1</v>
      </c>
      <c r="C450" s="6" t="s">
        <v>1219</v>
      </c>
      <c r="D450" s="3" t="n">
        <v>0</v>
      </c>
      <c r="E450" s="3" t="n">
        <v>5</v>
      </c>
      <c r="F450" s="3" t="s">
        <v>21</v>
      </c>
      <c r="G450" s="3" t="n">
        <v>0</v>
      </c>
      <c r="H450" s="3" t="n">
        <v>776</v>
      </c>
      <c r="I450" s="3" t="s">
        <v>22</v>
      </c>
      <c r="J450" s="3" t="n">
        <v>550</v>
      </c>
      <c r="K450" s="3" t="n">
        <v>0</v>
      </c>
      <c r="L450" s="3" t="n">
        <v>18.4</v>
      </c>
      <c r="M450" s="3" t="s">
        <v>23</v>
      </c>
      <c r="N450" s="3" t="n">
        <v>10</v>
      </c>
      <c r="O450" s="3" t="n">
        <v>-11.183</v>
      </c>
      <c r="P450" s="3" t="n">
        <v>164.882</v>
      </c>
      <c r="Q450" s="3" t="s">
        <v>412</v>
      </c>
      <c r="R450" s="3"/>
      <c r="S450" s="3"/>
      <c r="T450" s="5" t="n">
        <f aca="false">IF(C450="","",DATE(VALUE(MID(C450,7,4)),VALUE(MID(C450,4,2)),VALUE(MID(C450,1,2)))+TIME(VALUE(MID(C450,12,2)),VALUE(MID(C450,15,2)),0))</f>
        <v>41311.0576388889</v>
      </c>
      <c r="U450" s="3" t="str">
        <f aca="false">IFERROR(IF(ISNUMBER(VALUE(TRIM(MID(A450,FIND("-",A450)+1,FIND("km",A450)-FIND("-",A450)-1)))),"Distance + direction + city","Named-region"),"Named-region")</f>
        <v>Distance + direction + city</v>
      </c>
      <c r="V450" s="3" t="str">
        <f aca="false">LOWER(M450)</f>
        <v>mww</v>
      </c>
      <c r="W450" s="3" t="n">
        <f aca="false">COUNTIFS($A$2:$A$1001,A450,$C$2:$C$1001,C450)</f>
        <v>1</v>
      </c>
      <c r="X450" s="3" t="str">
        <f aca="false">IF(W450&gt;1,"Duplicate","Unique")</f>
        <v>Unique</v>
      </c>
      <c r="Y450" s="3" t="str">
        <f aca="false">IF(B450&lt;6.5,"&lt;6.5",IF(B450&lt;7,"6.5–6.9",IF(B450&lt;7.5,"7.0–7.4",IF(B450&lt;8,"7.5–7.9","8.0+"))))</f>
        <v>7.0–7.4</v>
      </c>
      <c r="Z450" s="3" t="n">
        <f aca="false">IF(T450="","",YEAR(T450))</f>
        <v>2013</v>
      </c>
    </row>
    <row r="451" customFormat="false" ht="13.8" hidden="false" customHeight="false" outlineLevel="0" collapsed="false">
      <c r="A451" s="3" t="s">
        <v>1220</v>
      </c>
      <c r="B451" s="3" t="n">
        <v>8</v>
      </c>
      <c r="C451" s="6" t="s">
        <v>1221</v>
      </c>
      <c r="D451" s="3" t="n">
        <v>8</v>
      </c>
      <c r="E451" s="3" t="n">
        <v>7</v>
      </c>
      <c r="F451" s="3" t="s">
        <v>21</v>
      </c>
      <c r="G451" s="3" t="n">
        <v>1</v>
      </c>
      <c r="H451" s="3" t="n">
        <v>993</v>
      </c>
      <c r="I451" s="3" t="s">
        <v>22</v>
      </c>
      <c r="J451" s="3" t="n">
        <v>460</v>
      </c>
      <c r="K451" s="3" t="n">
        <v>0</v>
      </c>
      <c r="L451" s="3" t="n">
        <v>20.9</v>
      </c>
      <c r="M451" s="3" t="s">
        <v>23</v>
      </c>
      <c r="N451" s="3" t="n">
        <v>24</v>
      </c>
      <c r="O451" s="3" t="n">
        <v>-10.799</v>
      </c>
      <c r="P451" s="3" t="n">
        <v>165.114</v>
      </c>
      <c r="Q451" s="3" t="s">
        <v>412</v>
      </c>
      <c r="R451" s="3"/>
      <c r="S451" s="3"/>
      <c r="T451" s="5" t="n">
        <f aca="false">IF(C451="","",DATE(VALUE(MID(C451,7,4)),VALUE(MID(C451,4,2)),VALUE(MID(C451,1,2)))+TIME(VALUE(MID(C451,12,2)),VALUE(MID(C451,15,2)),0))</f>
        <v>41311.05</v>
      </c>
      <c r="U451" s="3" t="str">
        <f aca="false">IFERROR(IF(ISNUMBER(VALUE(TRIM(MID(A451,FIND("-",A451)+1,FIND("km",A451)-FIND("-",A451)-1)))),"Distance + direction + city","Named-region"),"Named-region")</f>
        <v>Distance + direction + city</v>
      </c>
      <c r="V451" s="3" t="str">
        <f aca="false">LOWER(M451)</f>
        <v>mww</v>
      </c>
      <c r="W451" s="3" t="n">
        <f aca="false">COUNTIFS($A$2:$A$1001,A451,$C$2:$C$1001,C451)</f>
        <v>1</v>
      </c>
      <c r="X451" s="3" t="str">
        <f aca="false">IF(W451&gt;1,"Duplicate","Unique")</f>
        <v>Unique</v>
      </c>
      <c r="Y451" s="3" t="str">
        <f aca="false">IF(B451&lt;6.5,"&lt;6.5",IF(B451&lt;7,"6.5–6.9",IF(B451&lt;7.5,"7.0–7.4",IF(B451&lt;8,"7.5–7.9","8.0+"))))</f>
        <v>8.0+</v>
      </c>
      <c r="Z451" s="3" t="n">
        <f aca="false">IF(T451="","",YEAR(T451))</f>
        <v>2013</v>
      </c>
    </row>
    <row r="452" customFormat="false" ht="13.8" hidden="false" customHeight="false" outlineLevel="0" collapsed="false">
      <c r="A452" s="3" t="s">
        <v>1222</v>
      </c>
      <c r="B452" s="3" t="n">
        <v>6.9</v>
      </c>
      <c r="C452" s="6" t="s">
        <v>1223</v>
      </c>
      <c r="D452" s="3" t="n">
        <v>6</v>
      </c>
      <c r="E452" s="3" t="n">
        <v>7</v>
      </c>
      <c r="F452" s="3" t="s">
        <v>28</v>
      </c>
      <c r="G452" s="3" t="n">
        <v>0</v>
      </c>
      <c r="H452" s="3" t="n">
        <v>814</v>
      </c>
      <c r="I452" s="3" t="s">
        <v>22</v>
      </c>
      <c r="J452" s="3" t="n">
        <v>686</v>
      </c>
      <c r="K452" s="3" t="n">
        <v>0</v>
      </c>
      <c r="L452" s="3" t="n">
        <v>28</v>
      </c>
      <c r="M452" s="3" t="s">
        <v>23</v>
      </c>
      <c r="N452" s="3" t="n">
        <v>107</v>
      </c>
      <c r="O452" s="3" t="n">
        <v>42.77</v>
      </c>
      <c r="P452" s="3" t="n">
        <v>143.092</v>
      </c>
      <c r="Q452" s="3" t="s">
        <v>1224</v>
      </c>
      <c r="R452" s="3" t="s">
        <v>80</v>
      </c>
      <c r="S452" s="3" t="s">
        <v>322</v>
      </c>
      <c r="T452" s="5" t="n">
        <f aca="false">IF(C452="","",DATE(VALUE(MID(C452,7,4)),VALUE(MID(C452,4,2)),VALUE(MID(C452,1,2)))+TIME(VALUE(MID(C452,12,2)),VALUE(MID(C452,15,2)),0))</f>
        <v>41307.5951388889</v>
      </c>
      <c r="U452" s="3" t="str">
        <f aca="false">IFERROR(IF(ISNUMBER(VALUE(TRIM(MID(A452,FIND("-",A452)+1,FIND("km",A452)-FIND("-",A452)-1)))),"Distance + direction + city","Named-region"),"Named-region")</f>
        <v>Distance + direction + city</v>
      </c>
      <c r="V452" s="3" t="str">
        <f aca="false">LOWER(M452)</f>
        <v>mww</v>
      </c>
      <c r="W452" s="3" t="n">
        <f aca="false">COUNTIFS($A$2:$A$1001,A452,$C$2:$C$1001,C452)</f>
        <v>1</v>
      </c>
      <c r="X452" s="3" t="str">
        <f aca="false">IF(W452&gt;1,"Duplicate","Unique")</f>
        <v>Unique</v>
      </c>
      <c r="Y452" s="3" t="str">
        <f aca="false">IF(B452&lt;6.5,"&lt;6.5",IF(B452&lt;7,"6.5–6.9",IF(B452&lt;7.5,"7.0–7.4",IF(B452&lt;8,"7.5–7.9","8.0+"))))</f>
        <v>6.5–6.9</v>
      </c>
      <c r="Z452" s="3" t="n">
        <f aca="false">IF(T452="","",YEAR(T452))</f>
        <v>2013</v>
      </c>
    </row>
    <row r="453" customFormat="false" ht="13.8" hidden="false" customHeight="false" outlineLevel="0" collapsed="false">
      <c r="A453" s="3" t="s">
        <v>1225</v>
      </c>
      <c r="B453" s="3" t="n">
        <v>6.8</v>
      </c>
      <c r="C453" s="3" t="s">
        <v>1226</v>
      </c>
      <c r="D453" s="3" t="n">
        <v>6</v>
      </c>
      <c r="E453" s="3" t="n">
        <v>7</v>
      </c>
      <c r="F453" s="3" t="s">
        <v>21</v>
      </c>
      <c r="G453" s="3" t="n">
        <v>0</v>
      </c>
      <c r="H453" s="3" t="n">
        <v>771</v>
      </c>
      <c r="I453" s="3" t="s">
        <v>22</v>
      </c>
      <c r="J453" s="3" t="n">
        <v>596</v>
      </c>
      <c r="K453" s="3" t="n">
        <v>0</v>
      </c>
      <c r="L453" s="3" t="n">
        <v>19.3</v>
      </c>
      <c r="M453" s="3" t="s">
        <v>23</v>
      </c>
      <c r="N453" s="3" t="n">
        <v>45</v>
      </c>
      <c r="O453" s="3" t="n">
        <v>-28.094</v>
      </c>
      <c r="P453" s="3" t="n">
        <v>-70.653</v>
      </c>
      <c r="Q453" s="3" t="s">
        <v>370</v>
      </c>
      <c r="R453" s="3" t="s">
        <v>33</v>
      </c>
      <c r="S453" s="3" t="s">
        <v>373</v>
      </c>
      <c r="T453" s="5" t="n">
        <f aca="false">IF(C453="","",DATE(VALUE(MID(C453,7,4)),VALUE(MID(C453,4,2)),VALUE(MID(C453,1,2)))+TIME(VALUE(MID(C453,12,2)),VALUE(MID(C453,15,2)),0))</f>
        <v>41304.84375</v>
      </c>
      <c r="U453" s="3" t="str">
        <f aca="false">IFERROR(IF(ISNUMBER(VALUE(TRIM(MID(A453,FIND("-",A453)+1,FIND("km",A453)-FIND("-",A453)-1)))),"Distance + direction + city","Named-region"),"Named-region")</f>
        <v>Distance + direction + city</v>
      </c>
      <c r="V453" s="3" t="str">
        <f aca="false">LOWER(M453)</f>
        <v>mww</v>
      </c>
      <c r="W453" s="3" t="n">
        <f aca="false">COUNTIFS($A$2:$A$1001,A453,$C$2:$C$1001,C453)</f>
        <v>1</v>
      </c>
      <c r="X453" s="3" t="str">
        <f aca="false">IF(W453&gt;1,"Duplicate","Unique")</f>
        <v>Unique</v>
      </c>
      <c r="Y453" s="3" t="str">
        <f aca="false">IF(B453&lt;6.5,"&lt;6.5",IF(B453&lt;7,"6.5–6.9",IF(B453&lt;7.5,"7.0–7.4",IF(B453&lt;8,"7.5–7.9","8.0+"))))</f>
        <v>6.5–6.9</v>
      </c>
      <c r="Z453" s="3" t="n">
        <f aca="false">IF(T453="","",YEAR(T453))</f>
        <v>2013</v>
      </c>
    </row>
    <row r="454" customFormat="false" ht="13.8" hidden="false" customHeight="false" outlineLevel="0" collapsed="false">
      <c r="A454" s="3" t="s">
        <v>1227</v>
      </c>
      <c r="B454" s="3" t="n">
        <v>7.5</v>
      </c>
      <c r="C454" s="6" t="s">
        <v>1228</v>
      </c>
      <c r="D454" s="3" t="n">
        <v>6</v>
      </c>
      <c r="E454" s="3" t="n">
        <v>6</v>
      </c>
      <c r="F454" s="3"/>
      <c r="G454" s="3" t="n">
        <v>0</v>
      </c>
      <c r="H454" s="3" t="n">
        <v>1425</v>
      </c>
      <c r="I454" s="3" t="s">
        <v>259</v>
      </c>
      <c r="J454" s="3" t="n">
        <v>0</v>
      </c>
      <c r="K454" s="3" t="n">
        <v>0</v>
      </c>
      <c r="L454" s="3" t="n">
        <v>0</v>
      </c>
      <c r="M454" s="3" t="s">
        <v>485</v>
      </c>
      <c r="N454" s="3" t="n">
        <v>8.7</v>
      </c>
      <c r="O454" s="3" t="n">
        <v>55.228</v>
      </c>
      <c r="P454" s="3" t="n">
        <v>-134.859</v>
      </c>
      <c r="Q454" s="3" t="s">
        <v>1229</v>
      </c>
      <c r="R454" s="3"/>
      <c r="S454" s="3"/>
      <c r="T454" s="5" t="n">
        <f aca="false">IF(C454="","",DATE(VALUE(MID(C454,7,4)),VALUE(MID(C454,4,2)),VALUE(MID(C454,1,2)))+TIME(VALUE(MID(C454,12,2)),VALUE(MID(C454,15,2)),0))</f>
        <v>41279.3736111111</v>
      </c>
      <c r="U454" s="3" t="str">
        <f aca="false">IFERROR(IF(ISNUMBER(VALUE(TRIM(MID(A454,FIND("-",A454)+1,FIND("km",A454)-FIND("-",A454)-1)))),"Distance + direction + city","Named-region"),"Named-region")</f>
        <v>Distance + direction + city</v>
      </c>
      <c r="V454" s="3" t="str">
        <f aca="false">LOWER(M454)</f>
        <v>mw</v>
      </c>
      <c r="W454" s="3" t="n">
        <f aca="false">COUNTIFS($A$2:$A$1001,A454,$C$2:$C$1001,C454)</f>
        <v>1</v>
      </c>
      <c r="X454" s="3" t="str">
        <f aca="false">IF(W454&gt;1,"Duplicate","Unique")</f>
        <v>Unique</v>
      </c>
      <c r="Y454" s="3" t="str">
        <f aca="false">IF(B454&lt;6.5,"&lt;6.5",IF(B454&lt;7,"6.5–6.9",IF(B454&lt;7.5,"7.0–7.4",IF(B454&lt;8,"7.5–7.9","8.0+"))))</f>
        <v>7.5–7.9</v>
      </c>
      <c r="Z454" s="3" t="n">
        <f aca="false">IF(T454="","",YEAR(T454))</f>
        <v>2013</v>
      </c>
    </row>
    <row r="455" customFormat="false" ht="13.8" hidden="false" customHeight="false" outlineLevel="0" collapsed="false">
      <c r="A455" s="3" t="s">
        <v>1230</v>
      </c>
      <c r="B455" s="3" t="n">
        <v>6.7</v>
      </c>
      <c r="C455" s="3" t="s">
        <v>1231</v>
      </c>
      <c r="D455" s="3" t="n">
        <v>0</v>
      </c>
      <c r="E455" s="3" t="n">
        <v>4</v>
      </c>
      <c r="F455" s="3"/>
      <c r="G455" s="3" t="n">
        <v>0</v>
      </c>
      <c r="H455" s="3" t="n">
        <v>691</v>
      </c>
      <c r="I455" s="3" t="s">
        <v>22</v>
      </c>
      <c r="J455" s="3" t="n">
        <v>521</v>
      </c>
      <c r="K455" s="3" t="n">
        <v>0</v>
      </c>
      <c r="L455" s="3" t="n">
        <v>13.7</v>
      </c>
      <c r="M455" s="3" t="s">
        <v>23</v>
      </c>
      <c r="N455" s="3" t="n">
        <v>200.7</v>
      </c>
      <c r="O455" s="3" t="n">
        <v>-14.344</v>
      </c>
      <c r="P455" s="3" t="n">
        <v>167.286</v>
      </c>
      <c r="Q455" s="3" t="s">
        <v>24</v>
      </c>
      <c r="R455" s="3"/>
      <c r="S455" s="3" t="s">
        <v>25</v>
      </c>
      <c r="T455" s="5" t="n">
        <f aca="false">IF(C455="","",DATE(VALUE(MID(C455,7,4)),VALUE(MID(C455,4,2)),VALUE(MID(C455,1,2)))+TIME(VALUE(MID(C455,12,2)),VALUE(MID(C455,15,2)),0))</f>
        <v>41264.9361111111</v>
      </c>
      <c r="U455" s="3" t="str">
        <f aca="false">IFERROR(IF(ISNUMBER(VALUE(TRIM(MID(A455,FIND("-",A455)+1,FIND("km",A455)-FIND("-",A455)-1)))),"Distance + direction + city","Named-region"),"Named-region")</f>
        <v>Distance + direction + city</v>
      </c>
      <c r="V455" s="3" t="str">
        <f aca="false">LOWER(M455)</f>
        <v>mww</v>
      </c>
      <c r="W455" s="3" t="n">
        <f aca="false">COUNTIFS($A$2:$A$1001,A455,$C$2:$C$1001,C455)</f>
        <v>1</v>
      </c>
      <c r="X455" s="3" t="str">
        <f aca="false">IF(W455&gt;1,"Duplicate","Unique")</f>
        <v>Unique</v>
      </c>
      <c r="Y455" s="3" t="str">
        <f aca="false">IF(B455&lt;6.5,"&lt;6.5",IF(B455&lt;7,"6.5–6.9",IF(B455&lt;7.5,"7.0–7.4",IF(B455&lt;8,"7.5–7.9","8.0+"))))</f>
        <v>6.5–6.9</v>
      </c>
      <c r="Z455" s="3" t="n">
        <f aca="false">IF(T455="","",YEAR(T455))</f>
        <v>2012</v>
      </c>
    </row>
    <row r="456" customFormat="false" ht="13.8" hidden="false" customHeight="false" outlineLevel="0" collapsed="false">
      <c r="A456" s="3" t="s">
        <v>1232</v>
      </c>
      <c r="B456" s="3" t="n">
        <v>7.1</v>
      </c>
      <c r="C456" s="6" t="s">
        <v>1233</v>
      </c>
      <c r="D456" s="3" t="n">
        <v>5</v>
      </c>
      <c r="E456" s="3" t="n">
        <v>5</v>
      </c>
      <c r="F456" s="3"/>
      <c r="G456" s="3" t="n">
        <v>0</v>
      </c>
      <c r="H456" s="3" t="n">
        <v>843</v>
      </c>
      <c r="I456" s="3" t="s">
        <v>22</v>
      </c>
      <c r="J456" s="3" t="n">
        <v>517</v>
      </c>
      <c r="K456" s="3" t="n">
        <v>0</v>
      </c>
      <c r="L456" s="3" t="n">
        <v>8.7</v>
      </c>
      <c r="M456" s="3" t="s">
        <v>23</v>
      </c>
      <c r="N456" s="3" t="n">
        <v>155</v>
      </c>
      <c r="O456" s="3" t="n">
        <v>-6.533</v>
      </c>
      <c r="P456" s="3" t="n">
        <v>129.825</v>
      </c>
      <c r="Q456" s="3" t="s">
        <v>415</v>
      </c>
      <c r="R456" s="3"/>
      <c r="S456" s="3" t="s">
        <v>68</v>
      </c>
      <c r="T456" s="5" t="n">
        <f aca="false">IF(C456="","",DATE(VALUE(MID(C456,7,4)),VALUE(MID(C456,4,2)),VALUE(MID(C456,1,2)))+TIME(VALUE(MID(C456,12,2)),VALUE(MID(C456,15,2)),0))</f>
        <v>41253.7034722222</v>
      </c>
      <c r="U456" s="3" t="str">
        <f aca="false">IFERROR(IF(ISNUMBER(VALUE(TRIM(MID(A456,FIND("-",A456)+1,FIND("km",A456)-FIND("-",A456)-1)))),"Distance + direction + city","Named-region"),"Named-region")</f>
        <v>Named-region</v>
      </c>
      <c r="V456" s="3" t="str">
        <f aca="false">LOWER(M456)</f>
        <v>mww</v>
      </c>
      <c r="W456" s="3" t="n">
        <f aca="false">COUNTIFS($A$2:$A$1001,A456,$C$2:$C$1001,C456)</f>
        <v>1</v>
      </c>
      <c r="X456" s="3" t="str">
        <f aca="false">IF(W456&gt;1,"Duplicate","Unique")</f>
        <v>Unique</v>
      </c>
      <c r="Y456" s="3" t="str">
        <f aca="false">IF(B456&lt;6.5,"&lt;6.5",IF(B456&lt;7,"6.5–6.9",IF(B456&lt;7.5,"7.0–7.4",IF(B456&lt;8,"7.5–7.9","8.0+"))))</f>
        <v>7.0–7.4</v>
      </c>
      <c r="Z456" s="3" t="n">
        <f aca="false">IF(T456="","",YEAR(T456))</f>
        <v>2012</v>
      </c>
    </row>
    <row r="457" customFormat="false" ht="13.8" hidden="false" customHeight="false" outlineLevel="0" collapsed="false">
      <c r="A457" s="3" t="s">
        <v>1234</v>
      </c>
      <c r="B457" s="3" t="n">
        <v>7.3</v>
      </c>
      <c r="C457" s="6" t="s">
        <v>1235</v>
      </c>
      <c r="D457" s="3" t="n">
        <v>6</v>
      </c>
      <c r="E457" s="3" t="n">
        <v>5</v>
      </c>
      <c r="F457" s="3"/>
      <c r="G457" s="3" t="n">
        <v>0</v>
      </c>
      <c r="H457" s="3" t="n">
        <v>1014</v>
      </c>
      <c r="I457" s="3" t="s">
        <v>22</v>
      </c>
      <c r="J457" s="3" t="n">
        <v>918</v>
      </c>
      <c r="K457" s="3" t="n">
        <v>0</v>
      </c>
      <c r="L457" s="3" t="n">
        <v>14.8</v>
      </c>
      <c r="M457" s="3" t="s">
        <v>23</v>
      </c>
      <c r="N457" s="3" t="n">
        <v>31</v>
      </c>
      <c r="O457" s="3" t="n">
        <v>37.89</v>
      </c>
      <c r="P457" s="3" t="n">
        <v>143.949</v>
      </c>
      <c r="Q457" s="3" t="s">
        <v>953</v>
      </c>
      <c r="R457" s="3"/>
      <c r="S457" s="3"/>
      <c r="T457" s="5" t="n">
        <f aca="false">IF(C457="","",DATE(VALUE(MID(C457,7,4)),VALUE(MID(C457,4,2)),VALUE(MID(C457,1,2)))+TIME(VALUE(MID(C457,12,2)),VALUE(MID(C457,15,2)),0))</f>
        <v>41250.3458333333</v>
      </c>
      <c r="U457" s="3" t="str">
        <f aca="false">IFERROR(IF(ISNUMBER(VALUE(TRIM(MID(A457,FIND("-",A457)+1,FIND("km",A457)-FIND("-",A457)-1)))),"Distance + direction + city","Named-region"),"Named-region")</f>
        <v>Distance + direction + city</v>
      </c>
      <c r="V457" s="3" t="str">
        <f aca="false">LOWER(M457)</f>
        <v>mww</v>
      </c>
      <c r="W457" s="3" t="n">
        <f aca="false">COUNTIFS($A$2:$A$1001,A457,$C$2:$C$1001,C457)</f>
        <v>1</v>
      </c>
      <c r="X457" s="3" t="str">
        <f aca="false">IF(W457&gt;1,"Duplicate","Unique")</f>
        <v>Unique</v>
      </c>
      <c r="Y457" s="3" t="str">
        <f aca="false">IF(B457&lt;6.5,"&lt;6.5",IF(B457&lt;7,"6.5–6.9",IF(B457&lt;7.5,"7.0–7.4",IF(B457&lt;8,"7.5–7.9","8.0+"))))</f>
        <v>7.0–7.4</v>
      </c>
      <c r="Z457" s="3" t="n">
        <f aca="false">IF(T457="","",YEAR(T457))</f>
        <v>2012</v>
      </c>
    </row>
    <row r="458" customFormat="false" ht="13.8" hidden="false" customHeight="false" outlineLevel="0" collapsed="false">
      <c r="A458" s="3" t="s">
        <v>1236</v>
      </c>
      <c r="B458" s="3" t="n">
        <v>6.5</v>
      </c>
      <c r="C458" s="6" t="s">
        <v>1237</v>
      </c>
      <c r="D458" s="3" t="n">
        <v>4</v>
      </c>
      <c r="E458" s="3" t="n">
        <v>5</v>
      </c>
      <c r="F458" s="3"/>
      <c r="G458" s="3" t="n">
        <v>0</v>
      </c>
      <c r="H458" s="3" t="n">
        <v>708</v>
      </c>
      <c r="I458" s="3" t="s">
        <v>22</v>
      </c>
      <c r="J458" s="3" t="n">
        <v>598</v>
      </c>
      <c r="K458" s="3" t="n">
        <v>0</v>
      </c>
      <c r="L458" s="3" t="n">
        <v>57.3</v>
      </c>
      <c r="M458" s="3" t="s">
        <v>23</v>
      </c>
      <c r="N458" s="3" t="n">
        <v>20</v>
      </c>
      <c r="O458" s="3" t="n">
        <v>14.129</v>
      </c>
      <c r="P458" s="3" t="n">
        <v>-92.164</v>
      </c>
      <c r="Q458" s="3" t="s">
        <v>1238</v>
      </c>
      <c r="R458" s="3"/>
      <c r="S458" s="3"/>
      <c r="T458" s="5" t="n">
        <f aca="false">IF(C458="","",DATE(VALUE(MID(C458,7,4)),VALUE(MID(C458,4,2)),VALUE(MID(C458,1,2)))+TIME(VALUE(MID(C458,12,2)),VALUE(MID(C458,15,2)),0))</f>
        <v>41224.9263888889</v>
      </c>
      <c r="U458" s="3" t="str">
        <f aca="false">IFERROR(IF(ISNUMBER(VALUE(TRIM(MID(A458,FIND("-",A458)+1,FIND("km",A458)-FIND("-",A458)-1)))),"Distance + direction + city","Named-region"),"Named-region")</f>
        <v>Distance + direction + city</v>
      </c>
      <c r="V458" s="3" t="str">
        <f aca="false">LOWER(M458)</f>
        <v>mww</v>
      </c>
      <c r="W458" s="3" t="n">
        <f aca="false">COUNTIFS($A$2:$A$1001,A458,$C$2:$C$1001,C458)</f>
        <v>1</v>
      </c>
      <c r="X458" s="3" t="str">
        <f aca="false">IF(W458&gt;1,"Duplicate","Unique")</f>
        <v>Unique</v>
      </c>
      <c r="Y458" s="3" t="str">
        <f aca="false">IF(B458&lt;6.5,"&lt;6.5",IF(B458&lt;7,"6.5–6.9",IF(B458&lt;7.5,"7.0–7.4",IF(B458&lt;8,"7.5–7.9","8.0+"))))</f>
        <v>6.5–6.9</v>
      </c>
      <c r="Z458" s="3" t="n">
        <f aca="false">IF(T458="","",YEAR(T458))</f>
        <v>2012</v>
      </c>
    </row>
    <row r="459" customFormat="false" ht="13.8" hidden="false" customHeight="false" outlineLevel="0" collapsed="false">
      <c r="A459" s="3" t="s">
        <v>1239</v>
      </c>
      <c r="B459" s="3" t="n">
        <v>6.8</v>
      </c>
      <c r="C459" s="6" t="s">
        <v>1240</v>
      </c>
      <c r="D459" s="3" t="n">
        <v>7</v>
      </c>
      <c r="E459" s="3" t="n">
        <v>6</v>
      </c>
      <c r="F459" s="3"/>
      <c r="G459" s="3" t="n">
        <v>0</v>
      </c>
      <c r="H459" s="3" t="n">
        <v>795</v>
      </c>
      <c r="I459" s="3" t="s">
        <v>22</v>
      </c>
      <c r="J459" s="3" t="n">
        <v>391</v>
      </c>
      <c r="K459" s="3" t="n">
        <v>0</v>
      </c>
      <c r="L459" s="3" t="n">
        <v>13.7</v>
      </c>
      <c r="M459" s="3" t="s">
        <v>23</v>
      </c>
      <c r="N459" s="3" t="n">
        <v>13.7</v>
      </c>
      <c r="O459" s="3" t="n">
        <v>23.005</v>
      </c>
      <c r="P459" s="3" t="n">
        <v>95.885</v>
      </c>
      <c r="Q459" s="3" t="s">
        <v>1241</v>
      </c>
      <c r="R459" s="3" t="s">
        <v>80</v>
      </c>
      <c r="S459" s="3" t="s">
        <v>801</v>
      </c>
      <c r="T459" s="5" t="n">
        <f aca="false">IF(C459="","",DATE(VALUE(MID(C459,7,4)),VALUE(MID(C459,4,2)),VALUE(MID(C459,1,2)))+TIME(VALUE(MID(C459,12,2)),VALUE(MID(C459,15,2)),0))</f>
        <v>41224.05</v>
      </c>
      <c r="U459" s="3" t="str">
        <f aca="false">IFERROR(IF(ISNUMBER(VALUE(TRIM(MID(A459,FIND("-",A459)+1,FIND("km",A459)-FIND("-",A459)-1)))),"Distance + direction + city","Named-region"),"Named-region")</f>
        <v>Distance + direction + city</v>
      </c>
      <c r="V459" s="3" t="str">
        <f aca="false">LOWER(M459)</f>
        <v>mww</v>
      </c>
      <c r="W459" s="3" t="n">
        <f aca="false">COUNTIFS($A$2:$A$1001,A459,$C$2:$C$1001,C459)</f>
        <v>1</v>
      </c>
      <c r="X459" s="3" t="str">
        <f aca="false">IF(W459&gt;1,"Duplicate","Unique")</f>
        <v>Unique</v>
      </c>
      <c r="Y459" s="3" t="str">
        <f aca="false">IF(B459&lt;6.5,"&lt;6.5",IF(B459&lt;7,"6.5–6.9",IF(B459&lt;7.5,"7.0–7.4",IF(B459&lt;8,"7.5–7.9","8.0+"))))</f>
        <v>6.5–6.9</v>
      </c>
      <c r="Z459" s="3" t="n">
        <f aca="false">IF(T459="","",YEAR(T459))</f>
        <v>2012</v>
      </c>
    </row>
    <row r="460" customFormat="false" ht="13.8" hidden="false" customHeight="false" outlineLevel="0" collapsed="false">
      <c r="A460" s="3" t="s">
        <v>1242</v>
      </c>
      <c r="B460" s="3" t="n">
        <v>7.4</v>
      </c>
      <c r="C460" s="6" t="s">
        <v>1243</v>
      </c>
      <c r="D460" s="3" t="n">
        <v>8</v>
      </c>
      <c r="E460" s="3" t="n">
        <v>7</v>
      </c>
      <c r="F460" s="3" t="s">
        <v>28</v>
      </c>
      <c r="G460" s="3" t="n">
        <v>0</v>
      </c>
      <c r="H460" s="3" t="n">
        <v>1455</v>
      </c>
      <c r="I460" s="3" t="s">
        <v>22</v>
      </c>
      <c r="J460" s="3" t="n">
        <v>751</v>
      </c>
      <c r="K460" s="3" t="n">
        <v>0</v>
      </c>
      <c r="L460" s="3" t="n">
        <v>25.5</v>
      </c>
      <c r="M460" s="3" t="s">
        <v>23</v>
      </c>
      <c r="N460" s="3" t="n">
        <v>24</v>
      </c>
      <c r="O460" s="3" t="n">
        <v>13.988</v>
      </c>
      <c r="P460" s="3" t="n">
        <v>-91.895</v>
      </c>
      <c r="Q460" s="3" t="s">
        <v>1238</v>
      </c>
      <c r="R460" s="3"/>
      <c r="S460" s="3"/>
      <c r="T460" s="5" t="n">
        <f aca="false">IF(C460="","",DATE(VALUE(MID(C460,7,4)),VALUE(MID(C460,4,2)),VALUE(MID(C460,1,2)))+TIME(VALUE(MID(C460,12,2)),VALUE(MID(C460,15,2)),0))</f>
        <v>41220.6909722222</v>
      </c>
      <c r="U460" s="3" t="str">
        <f aca="false">IFERROR(IF(ISNUMBER(VALUE(TRIM(MID(A460,FIND("-",A460)+1,FIND("km",A460)-FIND("-",A460)-1)))),"Distance + direction + city","Named-region"),"Named-region")</f>
        <v>Distance + direction + city</v>
      </c>
      <c r="V460" s="3" t="str">
        <f aca="false">LOWER(M460)</f>
        <v>mww</v>
      </c>
      <c r="W460" s="3" t="n">
        <f aca="false">COUNTIFS($A$2:$A$1001,A460,$C$2:$C$1001,C460)</f>
        <v>1</v>
      </c>
      <c r="X460" s="3" t="str">
        <f aca="false">IF(W460&gt;1,"Duplicate","Unique")</f>
        <v>Unique</v>
      </c>
      <c r="Y460" s="3" t="str">
        <f aca="false">IF(B460&lt;6.5,"&lt;6.5",IF(B460&lt;7,"6.5–6.9",IF(B460&lt;7.5,"7.0–7.4",IF(B460&lt;8,"7.5–7.9","8.0+"))))</f>
        <v>7.0–7.4</v>
      </c>
      <c r="Z460" s="3" t="n">
        <f aca="false">IF(T460="","",YEAR(T460))</f>
        <v>2012</v>
      </c>
    </row>
    <row r="461" customFormat="false" ht="13.8" hidden="false" customHeight="false" outlineLevel="0" collapsed="false">
      <c r="A461" s="3" t="s">
        <v>1244</v>
      </c>
      <c r="B461" s="3" t="n">
        <v>7.8</v>
      </c>
      <c r="C461" s="3" t="s">
        <v>1245</v>
      </c>
      <c r="D461" s="3" t="n">
        <v>8</v>
      </c>
      <c r="E461" s="3" t="n">
        <v>7</v>
      </c>
      <c r="F461" s="3"/>
      <c r="G461" s="3" t="n">
        <v>0</v>
      </c>
      <c r="H461" s="3" t="n">
        <v>1726</v>
      </c>
      <c r="I461" s="3" t="s">
        <v>22</v>
      </c>
      <c r="J461" s="3" t="n">
        <v>807</v>
      </c>
      <c r="K461" s="3" t="n">
        <v>0</v>
      </c>
      <c r="L461" s="3" t="n">
        <v>42.7</v>
      </c>
      <c r="M461" s="3" t="s">
        <v>23</v>
      </c>
      <c r="N461" s="3" t="n">
        <v>14</v>
      </c>
      <c r="O461" s="3" t="n">
        <v>52.788</v>
      </c>
      <c r="P461" s="3" t="n">
        <v>-132.101</v>
      </c>
      <c r="Q461" s="3" t="s">
        <v>1246</v>
      </c>
      <c r="R461" s="3" t="s">
        <v>164</v>
      </c>
      <c r="S461" s="3" t="s">
        <v>1247</v>
      </c>
      <c r="T461" s="5" t="n">
        <f aca="false">IF(C461="","",DATE(VALUE(MID(C461,7,4)),VALUE(MID(C461,4,2)),VALUE(MID(C461,1,2)))+TIME(VALUE(MID(C461,12,2)),VALUE(MID(C461,15,2)),0))</f>
        <v>41210.1277777778</v>
      </c>
      <c r="U461" s="3" t="str">
        <f aca="false">IFERROR(IF(ISNUMBER(VALUE(TRIM(MID(A461,FIND("-",A461)+1,FIND("km",A461)-FIND("-",A461)-1)))),"Distance + direction + city","Named-region"),"Named-region")</f>
        <v>Distance + direction + city</v>
      </c>
      <c r="V461" s="3" t="str">
        <f aca="false">LOWER(M461)</f>
        <v>mww</v>
      </c>
      <c r="W461" s="3" t="n">
        <f aca="false">COUNTIFS($A$2:$A$1001,A461,$C$2:$C$1001,C461)</f>
        <v>1</v>
      </c>
      <c r="X461" s="3" t="str">
        <f aca="false">IF(W461&gt;1,"Duplicate","Unique")</f>
        <v>Unique</v>
      </c>
      <c r="Y461" s="3" t="str">
        <f aca="false">IF(B461&lt;6.5,"&lt;6.5",IF(B461&lt;7,"6.5–6.9",IF(B461&lt;7.5,"7.0–7.4",IF(B461&lt;8,"7.5–7.9","8.0+"))))</f>
        <v>7.5–7.9</v>
      </c>
      <c r="Z461" s="3" t="n">
        <f aca="false">IF(T461="","",YEAR(T461))</f>
        <v>2012</v>
      </c>
    </row>
    <row r="462" customFormat="false" ht="13.8" hidden="false" customHeight="false" outlineLevel="0" collapsed="false">
      <c r="A462" s="3" t="s">
        <v>1248</v>
      </c>
      <c r="B462" s="3" t="n">
        <v>6.5</v>
      </c>
      <c r="C462" s="3" t="s">
        <v>1249</v>
      </c>
      <c r="D462" s="3" t="n">
        <v>6</v>
      </c>
      <c r="E462" s="3" t="n">
        <v>6</v>
      </c>
      <c r="F462" s="3"/>
      <c r="G462" s="3" t="n">
        <v>0</v>
      </c>
      <c r="H462" s="3" t="n">
        <v>745</v>
      </c>
      <c r="I462" s="3" t="s">
        <v>22</v>
      </c>
      <c r="J462" s="3" t="n">
        <v>691</v>
      </c>
      <c r="K462" s="3" t="n">
        <v>0</v>
      </c>
      <c r="L462" s="3" t="n">
        <v>34.4</v>
      </c>
      <c r="M462" s="3" t="s">
        <v>23</v>
      </c>
      <c r="N462" s="3" t="n">
        <v>17</v>
      </c>
      <c r="O462" s="3" t="n">
        <v>10.086</v>
      </c>
      <c r="P462" s="3" t="n">
        <v>-85.298</v>
      </c>
      <c r="Q462" s="3" t="s">
        <v>656</v>
      </c>
      <c r="R462" s="3"/>
      <c r="S462" s="3" t="s">
        <v>656</v>
      </c>
      <c r="T462" s="5" t="n">
        <f aca="false">IF(C462="","",DATE(VALUE(MID(C462,7,4)),VALUE(MID(C462,4,2)),VALUE(MID(C462,1,2)))+TIME(VALUE(MID(C462,12,2)),VALUE(MID(C462,15,2)),0))</f>
        <v>41206.03125</v>
      </c>
      <c r="U462" s="3" t="str">
        <f aca="false">IFERROR(IF(ISNUMBER(VALUE(TRIM(MID(A462,FIND("-",A462)+1,FIND("km",A462)-FIND("-",A462)-1)))),"Distance + direction + city","Named-region"),"Named-region")</f>
        <v>Named-region</v>
      </c>
      <c r="V462" s="3" t="str">
        <f aca="false">LOWER(M462)</f>
        <v>mww</v>
      </c>
      <c r="W462" s="3" t="n">
        <f aca="false">COUNTIFS($A$2:$A$1001,A462,$C$2:$C$1001,C462)</f>
        <v>1</v>
      </c>
      <c r="X462" s="3" t="str">
        <f aca="false">IF(W462&gt;1,"Duplicate","Unique")</f>
        <v>Unique</v>
      </c>
      <c r="Y462" s="3" t="str">
        <f aca="false">IF(B462&lt;6.5,"&lt;6.5",IF(B462&lt;7,"6.5–6.9",IF(B462&lt;7.5,"7.0–7.4",IF(B462&lt;8,"7.5–7.9","8.0+"))))</f>
        <v>6.5–6.9</v>
      </c>
      <c r="Z462" s="3" t="n">
        <f aca="false">IF(T462="","",YEAR(T462))</f>
        <v>2012</v>
      </c>
    </row>
    <row r="463" customFormat="false" ht="13.8" hidden="false" customHeight="false" outlineLevel="0" collapsed="false">
      <c r="A463" s="3" t="s">
        <v>1250</v>
      </c>
      <c r="B463" s="3" t="n">
        <v>6.6</v>
      </c>
      <c r="C463" s="6" t="s">
        <v>1251</v>
      </c>
      <c r="D463" s="3" t="n">
        <v>3</v>
      </c>
      <c r="E463" s="3" t="n">
        <v>5</v>
      </c>
      <c r="F463" s="3"/>
      <c r="G463" s="3" t="n">
        <v>0</v>
      </c>
      <c r="H463" s="3" t="n">
        <v>675</v>
      </c>
      <c r="I463" s="3" t="s">
        <v>22</v>
      </c>
      <c r="J463" s="3" t="n">
        <v>291</v>
      </c>
      <c r="K463" s="3" t="n">
        <v>0</v>
      </c>
      <c r="L463" s="3" t="n">
        <v>17.7</v>
      </c>
      <c r="M463" s="3" t="s">
        <v>23</v>
      </c>
      <c r="N463" s="3" t="n">
        <v>13</v>
      </c>
      <c r="O463" s="3" t="n">
        <v>-4.892</v>
      </c>
      <c r="P463" s="3" t="n">
        <v>134.03</v>
      </c>
      <c r="Q463" s="3" t="s">
        <v>1252</v>
      </c>
      <c r="R463" s="3"/>
      <c r="S463" s="3" t="s">
        <v>68</v>
      </c>
      <c r="T463" s="5" t="n">
        <f aca="false">IF(C463="","",DATE(VALUE(MID(C463,7,4)),VALUE(MID(C463,4,2)),VALUE(MID(C463,1,2)))+TIME(VALUE(MID(C463,12,2)),VALUE(MID(C463,15,2)),0))</f>
        <v>41194.0215277778</v>
      </c>
      <c r="U463" s="3" t="str">
        <f aca="false">IFERROR(IF(ISNUMBER(VALUE(TRIM(MID(A463,FIND("-",A463)+1,FIND("km",A463)-FIND("-",A463)-1)))),"Distance + direction + city","Named-region"),"Named-region")</f>
        <v>Distance + direction + city</v>
      </c>
      <c r="V463" s="3" t="str">
        <f aca="false">LOWER(M463)</f>
        <v>mww</v>
      </c>
      <c r="W463" s="3" t="n">
        <f aca="false">COUNTIFS($A$2:$A$1001,A463,$C$2:$C$1001,C463)</f>
        <v>1</v>
      </c>
      <c r="X463" s="3" t="str">
        <f aca="false">IF(W463&gt;1,"Duplicate","Unique")</f>
        <v>Unique</v>
      </c>
      <c r="Y463" s="3" t="str">
        <f aca="false">IF(B463&lt;6.5,"&lt;6.5",IF(B463&lt;7,"6.5–6.9",IF(B463&lt;7.5,"7.0–7.4",IF(B463&lt;8,"7.5–7.9","8.0+"))))</f>
        <v>6.5–6.9</v>
      </c>
      <c r="Z463" s="3" t="n">
        <f aca="false">IF(T463="","",YEAR(T463))</f>
        <v>2012</v>
      </c>
    </row>
    <row r="464" customFormat="false" ht="13.8" hidden="false" customHeight="false" outlineLevel="0" collapsed="false">
      <c r="A464" s="3" t="s">
        <v>1253</v>
      </c>
      <c r="B464" s="3" t="n">
        <v>7.3</v>
      </c>
      <c r="C464" s="3" t="s">
        <v>1254</v>
      </c>
      <c r="D464" s="3" t="n">
        <v>7</v>
      </c>
      <c r="E464" s="3" t="n">
        <v>6</v>
      </c>
      <c r="F464" s="3"/>
      <c r="G464" s="3" t="n">
        <v>0</v>
      </c>
      <c r="H464" s="3" t="n">
        <v>1221</v>
      </c>
      <c r="I464" s="3" t="s">
        <v>22</v>
      </c>
      <c r="J464" s="3" t="n">
        <v>934</v>
      </c>
      <c r="K464" s="3" t="n">
        <v>0</v>
      </c>
      <c r="L464" s="3" t="n">
        <v>15.5</v>
      </c>
      <c r="M464" s="3" t="s">
        <v>23</v>
      </c>
      <c r="N464" s="3" t="n">
        <v>170</v>
      </c>
      <c r="O464" s="3" t="n">
        <v>1.929</v>
      </c>
      <c r="P464" s="3" t="n">
        <v>-76.362</v>
      </c>
      <c r="Q464" s="3" t="s">
        <v>1255</v>
      </c>
      <c r="R464" s="3" t="s">
        <v>33</v>
      </c>
      <c r="S464" s="3" t="s">
        <v>54</v>
      </c>
      <c r="T464" s="5" t="n">
        <f aca="false">IF(C464="","",DATE(VALUE(MID(C464,7,4)),VALUE(MID(C464,4,2)),VALUE(MID(C464,1,2)))+TIME(VALUE(MID(C464,12,2)),VALUE(MID(C464,15,2)),0))</f>
        <v>41182.6881944445</v>
      </c>
      <c r="U464" s="3" t="str">
        <f aca="false">IFERROR(IF(ISNUMBER(VALUE(TRIM(MID(A464,FIND("-",A464)+1,FIND("km",A464)-FIND("-",A464)-1)))),"Distance + direction + city","Named-region"),"Named-region")</f>
        <v>Distance + direction + city</v>
      </c>
      <c r="V464" s="3" t="str">
        <f aca="false">LOWER(M464)</f>
        <v>mww</v>
      </c>
      <c r="W464" s="3" t="n">
        <f aca="false">COUNTIFS($A$2:$A$1001,A464,$C$2:$C$1001,C464)</f>
        <v>1</v>
      </c>
      <c r="X464" s="3" t="str">
        <f aca="false">IF(W464&gt;1,"Duplicate","Unique")</f>
        <v>Unique</v>
      </c>
      <c r="Y464" s="3" t="str">
        <f aca="false">IF(B464&lt;6.5,"&lt;6.5",IF(B464&lt;7,"6.5–6.9",IF(B464&lt;7.5,"7.0–7.4",IF(B464&lt;8,"7.5–7.9","8.0+"))))</f>
        <v>7.0–7.4</v>
      </c>
      <c r="Z464" s="3" t="n">
        <f aca="false">IF(T464="","",YEAR(T464))</f>
        <v>2012</v>
      </c>
    </row>
    <row r="465" customFormat="false" ht="13.8" hidden="false" customHeight="false" outlineLevel="0" collapsed="false">
      <c r="A465" s="3" t="s">
        <v>1256</v>
      </c>
      <c r="B465" s="3" t="n">
        <v>7.6</v>
      </c>
      <c r="C465" s="6" t="s">
        <v>1257</v>
      </c>
      <c r="D465" s="3" t="n">
        <v>8</v>
      </c>
      <c r="E465" s="3" t="n">
        <v>7</v>
      </c>
      <c r="F465" s="3"/>
      <c r="G465" s="3" t="n">
        <v>0</v>
      </c>
      <c r="H465" s="3" t="n">
        <v>1555</v>
      </c>
      <c r="I465" s="3" t="s">
        <v>22</v>
      </c>
      <c r="J465" s="3" t="n">
        <v>703</v>
      </c>
      <c r="K465" s="3" t="n">
        <v>0</v>
      </c>
      <c r="L465" s="3" t="n">
        <v>34.3</v>
      </c>
      <c r="M465" s="3" t="s">
        <v>23</v>
      </c>
      <c r="N465" s="3" t="n">
        <v>35</v>
      </c>
      <c r="O465" s="3" t="n">
        <v>10.085</v>
      </c>
      <c r="P465" s="3" t="n">
        <v>-85.315</v>
      </c>
      <c r="Q465" s="3" t="s">
        <v>1258</v>
      </c>
      <c r="R465" s="3"/>
      <c r="S465" s="3" t="s">
        <v>656</v>
      </c>
      <c r="T465" s="5" t="n">
        <f aca="false">IF(C465="","",DATE(VALUE(MID(C465,7,4)),VALUE(MID(C465,4,2)),VALUE(MID(C465,1,2)))+TIME(VALUE(MID(C465,12,2)),VALUE(MID(C465,15,2)),0))</f>
        <v>41157.6125</v>
      </c>
      <c r="U465" s="3" t="str">
        <f aca="false">IFERROR(IF(ISNUMBER(VALUE(TRIM(MID(A465,FIND("-",A465)+1,FIND("km",A465)-FIND("-",A465)-1)))),"Distance + direction + city","Named-region"),"Named-region")</f>
        <v>Distance + direction + city</v>
      </c>
      <c r="V465" s="3" t="str">
        <f aca="false">LOWER(M465)</f>
        <v>mww</v>
      </c>
      <c r="W465" s="3" t="n">
        <f aca="false">COUNTIFS($A$2:$A$1001,A465,$C$2:$C$1001,C465)</f>
        <v>1</v>
      </c>
      <c r="X465" s="3" t="str">
        <f aca="false">IF(W465&gt;1,"Duplicate","Unique")</f>
        <v>Unique</v>
      </c>
      <c r="Y465" s="3" t="str">
        <f aca="false">IF(B465&lt;6.5,"&lt;6.5",IF(B465&lt;7,"6.5–6.9",IF(B465&lt;7.5,"7.0–7.4",IF(B465&lt;8,"7.5–7.9","8.0+"))))</f>
        <v>7.5–7.9</v>
      </c>
      <c r="Z465" s="3" t="n">
        <f aca="false">IF(T465="","",YEAR(T465))</f>
        <v>2012</v>
      </c>
    </row>
    <row r="466" customFormat="false" ht="13.8" hidden="false" customHeight="false" outlineLevel="0" collapsed="false">
      <c r="A466" s="3" t="s">
        <v>1259</v>
      </c>
      <c r="B466" s="3" t="n">
        <v>7.6</v>
      </c>
      <c r="C466" s="3" t="s">
        <v>1260</v>
      </c>
      <c r="D466" s="3" t="n">
        <v>8</v>
      </c>
      <c r="E466" s="3" t="n">
        <v>5</v>
      </c>
      <c r="F466" s="3"/>
      <c r="G466" s="3" t="n">
        <v>0</v>
      </c>
      <c r="H466" s="3" t="n">
        <v>1115</v>
      </c>
      <c r="I466" s="3" t="s">
        <v>22</v>
      </c>
      <c r="J466" s="3" t="n">
        <v>682</v>
      </c>
      <c r="K466" s="3" t="n">
        <v>0</v>
      </c>
      <c r="L466" s="3" t="n">
        <v>10.2</v>
      </c>
      <c r="M466" s="3" t="s">
        <v>23</v>
      </c>
      <c r="N466" s="3" t="n">
        <v>28</v>
      </c>
      <c r="O466" s="3" t="n">
        <v>10.811</v>
      </c>
      <c r="P466" s="3" t="n">
        <v>126.638</v>
      </c>
      <c r="Q466" s="3" t="s">
        <v>1261</v>
      </c>
      <c r="R466" s="3"/>
      <c r="S466" s="3"/>
      <c r="T466" s="5" t="n">
        <f aca="false">IF(C466="","",DATE(VALUE(MID(C466,7,4)),VALUE(MID(C466,4,2)),VALUE(MID(C466,1,2)))+TIME(VALUE(MID(C466,12,2)),VALUE(MID(C466,15,2)),0))</f>
        <v>41152.5326388889</v>
      </c>
      <c r="U466" s="3" t="str">
        <f aca="false">IFERROR(IF(ISNUMBER(VALUE(TRIM(MID(A466,FIND("-",A466)+1,FIND("km",A466)-FIND("-",A466)-1)))),"Distance + direction + city","Named-region"),"Named-region")</f>
        <v>Distance + direction + city</v>
      </c>
      <c r="V466" s="3" t="str">
        <f aca="false">LOWER(M466)</f>
        <v>mww</v>
      </c>
      <c r="W466" s="3" t="n">
        <f aca="false">COUNTIFS($A$2:$A$1001,A466,$C$2:$C$1001,C466)</f>
        <v>1</v>
      </c>
      <c r="X466" s="3" t="str">
        <f aca="false">IF(W466&gt;1,"Duplicate","Unique")</f>
        <v>Unique</v>
      </c>
      <c r="Y466" s="3" t="str">
        <f aca="false">IF(B466&lt;6.5,"&lt;6.5",IF(B466&lt;7,"6.5–6.9",IF(B466&lt;7.5,"7.0–7.4",IF(B466&lt;8,"7.5–7.9","8.0+"))))</f>
        <v>7.5–7.9</v>
      </c>
      <c r="Z466" s="3" t="n">
        <f aca="false">IF(T466="","",YEAR(T466))</f>
        <v>2012</v>
      </c>
    </row>
    <row r="467" customFormat="false" ht="13.8" hidden="false" customHeight="false" outlineLevel="0" collapsed="false">
      <c r="A467" s="3" t="s">
        <v>1262</v>
      </c>
      <c r="B467" s="3" t="n">
        <v>7.3</v>
      </c>
      <c r="C467" s="3" t="s">
        <v>1263</v>
      </c>
      <c r="D467" s="3" t="n">
        <v>5</v>
      </c>
      <c r="E467" s="3" t="n">
        <v>5</v>
      </c>
      <c r="F467" s="3"/>
      <c r="G467" s="3" t="n">
        <v>0</v>
      </c>
      <c r="H467" s="3" t="n">
        <v>994</v>
      </c>
      <c r="I467" s="3" t="s">
        <v>22</v>
      </c>
      <c r="J467" s="3" t="n">
        <v>417</v>
      </c>
      <c r="K467" s="3" t="n">
        <v>0</v>
      </c>
      <c r="L467" s="3" t="n">
        <v>37</v>
      </c>
      <c r="M467" s="3" t="s">
        <v>23</v>
      </c>
      <c r="N467" s="3" t="n">
        <v>28</v>
      </c>
      <c r="O467" s="3" t="n">
        <v>12.139</v>
      </c>
      <c r="P467" s="3" t="n">
        <v>-88.59</v>
      </c>
      <c r="Q467" s="3" t="s">
        <v>768</v>
      </c>
      <c r="R467" s="3"/>
      <c r="S467" s="3"/>
      <c r="T467" s="5" t="n">
        <f aca="false">IF(C467="","",DATE(VALUE(MID(C467,7,4)),VALUE(MID(C467,4,2)),VALUE(MID(C467,1,2)))+TIME(VALUE(MID(C467,12,2)),VALUE(MID(C467,15,2)),0))</f>
        <v>41148.1923611111</v>
      </c>
      <c r="U467" s="3" t="str">
        <f aca="false">IFERROR(IF(ISNUMBER(VALUE(TRIM(MID(A467,FIND("-",A467)+1,FIND("km",A467)-FIND("-",A467)-1)))),"Distance + direction + city","Named-region"),"Named-region")</f>
        <v>Distance + direction + city</v>
      </c>
      <c r="V467" s="3" t="str">
        <f aca="false">LOWER(M467)</f>
        <v>mww</v>
      </c>
      <c r="W467" s="3" t="n">
        <f aca="false">COUNTIFS($A$2:$A$1001,A467,$C$2:$C$1001,C467)</f>
        <v>1</v>
      </c>
      <c r="X467" s="3" t="str">
        <f aca="false">IF(W467&gt;1,"Duplicate","Unique")</f>
        <v>Unique</v>
      </c>
      <c r="Y467" s="3" t="str">
        <f aca="false">IF(B467&lt;6.5,"&lt;6.5",IF(B467&lt;7,"6.5–6.9",IF(B467&lt;7.5,"7.0–7.4",IF(B467&lt;8,"7.5–7.9","8.0+"))))</f>
        <v>7.0–7.4</v>
      </c>
      <c r="Z467" s="3" t="n">
        <f aca="false">IF(T467="","",YEAR(T467))</f>
        <v>2012</v>
      </c>
    </row>
    <row r="468" customFormat="false" ht="13.8" hidden="false" customHeight="false" outlineLevel="0" collapsed="false">
      <c r="A468" s="3" t="s">
        <v>1264</v>
      </c>
      <c r="B468" s="3" t="n">
        <v>6.6</v>
      </c>
      <c r="C468" s="3" t="s">
        <v>1265</v>
      </c>
      <c r="D468" s="3" t="n">
        <v>4</v>
      </c>
      <c r="E468" s="3" t="n">
        <v>5</v>
      </c>
      <c r="F468" s="3"/>
      <c r="G468" s="3" t="n">
        <v>0</v>
      </c>
      <c r="H468" s="3" t="n">
        <v>678</v>
      </c>
      <c r="I468" s="3" t="s">
        <v>22</v>
      </c>
      <c r="J468" s="3" t="n">
        <v>497</v>
      </c>
      <c r="K468" s="3" t="n">
        <v>0</v>
      </c>
      <c r="L468" s="3" t="n">
        <v>14.6</v>
      </c>
      <c r="M468" s="3" t="s">
        <v>23</v>
      </c>
      <c r="N468" s="3" t="n">
        <v>91.1</v>
      </c>
      <c r="O468" s="3" t="n">
        <v>2.19</v>
      </c>
      <c r="P468" s="3" t="n">
        <v>126.837</v>
      </c>
      <c r="Q468" s="3" t="s">
        <v>128</v>
      </c>
      <c r="R468" s="3"/>
      <c r="S468" s="3" t="s">
        <v>68</v>
      </c>
      <c r="T468" s="5" t="n">
        <f aca="false">IF(C468="","",DATE(VALUE(MID(C468,7,4)),VALUE(MID(C468,4,2)),VALUE(MID(C468,1,2)))+TIME(VALUE(MID(C468,12,2)),VALUE(MID(C468,15,2)),0))</f>
        <v>41147.6284722222</v>
      </c>
      <c r="U468" s="3" t="str">
        <f aca="false">IFERROR(IF(ISNUMBER(VALUE(TRIM(MID(A468,FIND("-",A468)+1,FIND("km",A468)-FIND("-",A468)-1)))),"Distance + direction + city","Named-region"),"Named-region")</f>
        <v>Distance + direction + city</v>
      </c>
      <c r="V468" s="3" t="str">
        <f aca="false">LOWER(M468)</f>
        <v>mww</v>
      </c>
      <c r="W468" s="3" t="n">
        <f aca="false">COUNTIFS($A$2:$A$1001,A468,$C$2:$C$1001,C468)</f>
        <v>1</v>
      </c>
      <c r="X468" s="3" t="str">
        <f aca="false">IF(W468&gt;1,"Duplicate","Unique")</f>
        <v>Unique</v>
      </c>
      <c r="Y468" s="3" t="str">
        <f aca="false">IF(B468&lt;6.5,"&lt;6.5",IF(B468&lt;7,"6.5–6.9",IF(B468&lt;7.5,"7.0–7.4",IF(B468&lt;8,"7.5–7.9","8.0+"))))</f>
        <v>6.5–6.9</v>
      </c>
      <c r="Z468" s="3" t="n">
        <f aca="false">IF(T468="","",YEAR(T468))</f>
        <v>2012</v>
      </c>
    </row>
    <row r="469" customFormat="false" ht="13.8" hidden="false" customHeight="false" outlineLevel="0" collapsed="false">
      <c r="A469" s="3" t="s">
        <v>1266</v>
      </c>
      <c r="B469" s="3" t="n">
        <v>7.7</v>
      </c>
      <c r="C469" s="3" t="s">
        <v>1267</v>
      </c>
      <c r="D469" s="3" t="n">
        <v>7</v>
      </c>
      <c r="E469" s="3" t="n">
        <v>4</v>
      </c>
      <c r="F469" s="3"/>
      <c r="G469" s="3" t="n">
        <v>0</v>
      </c>
      <c r="H469" s="3" t="n">
        <v>941</v>
      </c>
      <c r="I469" s="3" t="s">
        <v>22</v>
      </c>
      <c r="J469" s="3" t="n">
        <v>862</v>
      </c>
      <c r="K469" s="3" t="n">
        <v>0</v>
      </c>
      <c r="L469" s="3" t="n">
        <v>13.8</v>
      </c>
      <c r="M469" s="3" t="s">
        <v>23</v>
      </c>
      <c r="N469" s="3" t="n">
        <v>583.2</v>
      </c>
      <c r="O469" s="3" t="n">
        <v>49.8</v>
      </c>
      <c r="P469" s="3" t="n">
        <v>145.064</v>
      </c>
      <c r="Q469" s="3" t="s">
        <v>1268</v>
      </c>
      <c r="R469" s="3"/>
      <c r="S469" s="3"/>
      <c r="T469" s="5" t="n">
        <f aca="false">IF(C469="","",DATE(VALUE(MID(C469,7,4)),VALUE(MID(C469,4,2)),VALUE(MID(C469,1,2)))+TIME(VALUE(MID(C469,12,2)),VALUE(MID(C469,15,2)),0))</f>
        <v>41135.1243055556</v>
      </c>
      <c r="U469" s="3" t="str">
        <f aca="false">IFERROR(IF(ISNUMBER(VALUE(TRIM(MID(A469,FIND("-",A469)+1,FIND("km",A469)-FIND("-",A469)-1)))),"Distance + direction + city","Named-region"),"Named-region")</f>
        <v>Distance + direction + city</v>
      </c>
      <c r="V469" s="3" t="str">
        <f aca="false">LOWER(M469)</f>
        <v>mww</v>
      </c>
      <c r="W469" s="3" t="n">
        <f aca="false">COUNTIFS($A$2:$A$1001,A469,$C$2:$C$1001,C469)</f>
        <v>1</v>
      </c>
      <c r="X469" s="3" t="str">
        <f aca="false">IF(W469&gt;1,"Duplicate","Unique")</f>
        <v>Unique</v>
      </c>
      <c r="Y469" s="3" t="str">
        <f aca="false">IF(B469&lt;6.5,"&lt;6.5",IF(B469&lt;7,"6.5–6.9",IF(B469&lt;7.5,"7.0–7.4",IF(B469&lt;8,"7.5–7.9","8.0+"))))</f>
        <v>7.5–7.9</v>
      </c>
      <c r="Z469" s="3" t="n">
        <f aca="false">IF(T469="","",YEAR(T469))</f>
        <v>2012</v>
      </c>
    </row>
    <row r="470" customFormat="false" ht="13.8" hidden="false" customHeight="false" outlineLevel="0" collapsed="false">
      <c r="A470" s="3" t="s">
        <v>1269</v>
      </c>
      <c r="B470" s="3" t="n">
        <v>6.5</v>
      </c>
      <c r="C470" s="3" t="s">
        <v>1270</v>
      </c>
      <c r="D470" s="3" t="n">
        <v>5</v>
      </c>
      <c r="E470" s="3" t="n">
        <v>6</v>
      </c>
      <c r="F470" s="3"/>
      <c r="G470" s="3" t="n">
        <v>0</v>
      </c>
      <c r="H470" s="3" t="n">
        <v>653</v>
      </c>
      <c r="I470" s="3" t="s">
        <v>22</v>
      </c>
      <c r="J470" s="3" t="n">
        <v>576</v>
      </c>
      <c r="K470" s="3" t="n">
        <v>0</v>
      </c>
      <c r="L470" s="3" t="n">
        <v>11.7</v>
      </c>
      <c r="M470" s="3" t="s">
        <v>23</v>
      </c>
      <c r="N470" s="3" t="n">
        <v>41</v>
      </c>
      <c r="O470" s="3" t="n">
        <v>-4.651</v>
      </c>
      <c r="P470" s="3" t="n">
        <v>153.173</v>
      </c>
      <c r="Q470" s="3" t="s">
        <v>625</v>
      </c>
      <c r="R470" s="3"/>
      <c r="S470" s="3" t="s">
        <v>85</v>
      </c>
      <c r="T470" s="5" t="n">
        <f aca="false">IF(C470="","",DATE(VALUE(MID(C470,7,4)),VALUE(MID(C470,4,2)),VALUE(MID(C470,1,2)))+TIME(VALUE(MID(C470,12,2)),VALUE(MID(C470,15,2)),0))</f>
        <v>41118.8354166667</v>
      </c>
      <c r="U470" s="3" t="str">
        <f aca="false">IFERROR(IF(ISNUMBER(VALUE(TRIM(MID(A470,FIND("-",A470)+1,FIND("km",A470)-FIND("-",A470)-1)))),"Distance + direction + city","Named-region"),"Named-region")</f>
        <v>Distance + direction + city</v>
      </c>
      <c r="V470" s="3" t="str">
        <f aca="false">LOWER(M470)</f>
        <v>mww</v>
      </c>
      <c r="W470" s="3" t="n">
        <f aca="false">COUNTIFS($A$2:$A$1001,A470,$C$2:$C$1001,C470)</f>
        <v>1</v>
      </c>
      <c r="X470" s="3" t="str">
        <f aca="false">IF(W470&gt;1,"Duplicate","Unique")</f>
        <v>Unique</v>
      </c>
      <c r="Y470" s="3" t="str">
        <f aca="false">IF(B470&lt;6.5,"&lt;6.5",IF(B470&lt;7,"6.5–6.9",IF(B470&lt;7.5,"7.0–7.4",IF(B470&lt;8,"7.5–7.9","8.0+"))))</f>
        <v>6.5–6.9</v>
      </c>
      <c r="Z470" s="3" t="n">
        <f aca="false">IF(T470="","",YEAR(T470))</f>
        <v>2012</v>
      </c>
    </row>
    <row r="471" customFormat="false" ht="13.8" hidden="false" customHeight="false" outlineLevel="0" collapsed="false">
      <c r="A471" s="3" t="s">
        <v>1271</v>
      </c>
      <c r="B471" s="3" t="n">
        <v>6.6</v>
      </c>
      <c r="C471" s="3" t="s">
        <v>1272</v>
      </c>
      <c r="D471" s="3" t="n">
        <v>4</v>
      </c>
      <c r="E471" s="3" t="n">
        <v>5</v>
      </c>
      <c r="F471" s="3"/>
      <c r="G471" s="3" t="n">
        <v>0</v>
      </c>
      <c r="H471" s="3" t="n">
        <v>675</v>
      </c>
      <c r="I471" s="3" t="s">
        <v>22</v>
      </c>
      <c r="J471" s="3" t="n">
        <v>529</v>
      </c>
      <c r="K471" s="3" t="n">
        <v>0</v>
      </c>
      <c r="L471" s="3" t="n">
        <v>15.7</v>
      </c>
      <c r="M471" s="3" t="s">
        <v>23</v>
      </c>
      <c r="N471" s="3" t="n">
        <v>134.7</v>
      </c>
      <c r="O471" s="3" t="n">
        <v>-18.685</v>
      </c>
      <c r="P471" s="3" t="n">
        <v>-174.705</v>
      </c>
      <c r="Q471" s="3" t="s">
        <v>149</v>
      </c>
      <c r="R471" s="3"/>
      <c r="S471" s="3" t="s">
        <v>47</v>
      </c>
      <c r="T471" s="5" t="n">
        <f aca="false">IF(C471="","",DATE(VALUE(MID(C471,7,4)),VALUE(MID(C471,4,2)),VALUE(MID(C471,1,2)))+TIME(VALUE(MID(C471,12,2)),VALUE(MID(C471,15,2)),0))</f>
        <v>41027.4222222222</v>
      </c>
      <c r="U471" s="3" t="str">
        <f aca="false">IFERROR(IF(ISNUMBER(VALUE(TRIM(MID(A471,FIND("-",A471)+1,FIND("km",A471)-FIND("-",A471)-1)))),"Distance + direction + city","Named-region"),"Named-region")</f>
        <v>Distance + direction + city</v>
      </c>
      <c r="V471" s="3" t="str">
        <f aca="false">LOWER(M471)</f>
        <v>mww</v>
      </c>
      <c r="W471" s="3" t="n">
        <f aca="false">COUNTIFS($A$2:$A$1001,A471,$C$2:$C$1001,C471)</f>
        <v>1</v>
      </c>
      <c r="X471" s="3" t="str">
        <f aca="false">IF(W471&gt;1,"Duplicate","Unique")</f>
        <v>Unique</v>
      </c>
      <c r="Y471" s="3" t="str">
        <f aca="false">IF(B471&lt;6.5,"&lt;6.5",IF(B471&lt;7,"6.5–6.9",IF(B471&lt;7.5,"7.0–7.4",IF(B471&lt;8,"7.5–7.9","8.0+"))))</f>
        <v>6.5–6.9</v>
      </c>
      <c r="Z471" s="3" t="n">
        <f aca="false">IF(T471="","",YEAR(T471))</f>
        <v>2012</v>
      </c>
    </row>
    <row r="472" customFormat="false" ht="13.8" hidden="false" customHeight="false" outlineLevel="0" collapsed="false">
      <c r="A472" s="3" t="s">
        <v>1273</v>
      </c>
      <c r="B472" s="3" t="n">
        <v>6.7</v>
      </c>
      <c r="C472" s="3" t="s">
        <v>1274</v>
      </c>
      <c r="D472" s="3" t="n">
        <v>0</v>
      </c>
      <c r="E472" s="3" t="n">
        <v>7</v>
      </c>
      <c r="F472" s="3"/>
      <c r="G472" s="3" t="n">
        <v>0</v>
      </c>
      <c r="H472" s="3" t="n">
        <v>691</v>
      </c>
      <c r="I472" s="3" t="s">
        <v>22</v>
      </c>
      <c r="J472" s="3" t="n">
        <v>370</v>
      </c>
      <c r="K472" s="3" t="n">
        <v>0</v>
      </c>
      <c r="L472" s="3" t="n">
        <v>15.4</v>
      </c>
      <c r="M472" s="3" t="s">
        <v>23</v>
      </c>
      <c r="N472" s="3" t="n">
        <v>16</v>
      </c>
      <c r="O472" s="3" t="n">
        <v>-1.617</v>
      </c>
      <c r="P472" s="3" t="n">
        <v>134.276</v>
      </c>
      <c r="Q472" s="3" t="s">
        <v>1275</v>
      </c>
      <c r="R472" s="3"/>
      <c r="S472" s="3" t="s">
        <v>68</v>
      </c>
      <c r="T472" s="5" t="n">
        <f aca="false">IF(C472="","",DATE(VALUE(MID(C472,7,4)),VALUE(MID(C472,4,2)),VALUE(MID(C472,1,2)))+TIME(VALUE(MID(C472,12,2)),VALUE(MID(C472,15,2)),0))</f>
        <v>41020.0527777778</v>
      </c>
      <c r="U472" s="3" t="str">
        <f aca="false">IFERROR(IF(ISNUMBER(VALUE(TRIM(MID(A472,FIND("-",A472)+1,FIND("km",A472)-FIND("-",A472)-1)))),"Distance + direction + city","Named-region"),"Named-region")</f>
        <v>Distance + direction + city</v>
      </c>
      <c r="V472" s="3" t="str">
        <f aca="false">LOWER(M472)</f>
        <v>mww</v>
      </c>
      <c r="W472" s="3" t="n">
        <f aca="false">COUNTIFS($A$2:$A$1001,A472,$C$2:$C$1001,C472)</f>
        <v>1</v>
      </c>
      <c r="X472" s="3" t="str">
        <f aca="false">IF(W472&gt;1,"Duplicate","Unique")</f>
        <v>Unique</v>
      </c>
      <c r="Y472" s="3" t="str">
        <f aca="false">IF(B472&lt;6.5,"&lt;6.5",IF(B472&lt;7,"6.5–6.9",IF(B472&lt;7.5,"7.0–7.4",IF(B472&lt;8,"7.5–7.9","8.0+"))))</f>
        <v>6.5–6.9</v>
      </c>
      <c r="Z472" s="3" t="n">
        <f aca="false">IF(T472="","",YEAR(T472))</f>
        <v>2012</v>
      </c>
    </row>
    <row r="473" customFormat="false" ht="13.8" hidden="false" customHeight="false" outlineLevel="0" collapsed="false">
      <c r="A473" s="3" t="s">
        <v>1276</v>
      </c>
      <c r="B473" s="3" t="n">
        <v>6.8</v>
      </c>
      <c r="C473" s="3" t="s">
        <v>1277</v>
      </c>
      <c r="D473" s="3" t="n">
        <v>6</v>
      </c>
      <c r="E473" s="3" t="n">
        <v>5</v>
      </c>
      <c r="F473" s="3"/>
      <c r="G473" s="3" t="n">
        <v>0</v>
      </c>
      <c r="H473" s="3" t="n">
        <v>732</v>
      </c>
      <c r="I473" s="3" t="s">
        <v>22</v>
      </c>
      <c r="J473" s="3" t="n">
        <v>597</v>
      </c>
      <c r="K473" s="3" t="n">
        <v>0</v>
      </c>
      <c r="L473" s="3" t="n">
        <v>12.6</v>
      </c>
      <c r="M473" s="3" t="s">
        <v>23</v>
      </c>
      <c r="N473" s="3" t="n">
        <v>198</v>
      </c>
      <c r="O473" s="3" t="n">
        <v>-5.462</v>
      </c>
      <c r="P473" s="3" t="n">
        <v>147.117</v>
      </c>
      <c r="Q473" s="3" t="s">
        <v>1278</v>
      </c>
      <c r="R473" s="3"/>
      <c r="S473" s="3" t="s">
        <v>85</v>
      </c>
      <c r="T473" s="5" t="n">
        <f aca="false">IF(C473="","",DATE(VALUE(MID(C473,7,4)),VALUE(MID(C473,4,2)),VALUE(MID(C473,1,2)))+TIME(VALUE(MID(C473,12,2)),VALUE(MID(C473,15,2)),0))</f>
        <v>41016.3006944444</v>
      </c>
      <c r="U473" s="3" t="str">
        <f aca="false">IFERROR(IF(ISNUMBER(VALUE(TRIM(MID(A473,FIND("-",A473)+1,FIND("km",A473)-FIND("-",A473)-1)))),"Distance + direction + city","Named-region"),"Named-region")</f>
        <v>Distance + direction + city</v>
      </c>
      <c r="V473" s="3" t="str">
        <f aca="false">LOWER(M473)</f>
        <v>mww</v>
      </c>
      <c r="W473" s="3" t="n">
        <f aca="false">COUNTIFS($A$2:$A$1001,A473,$C$2:$C$1001,C473)</f>
        <v>1</v>
      </c>
      <c r="X473" s="3" t="str">
        <f aca="false">IF(W473&gt;1,"Duplicate","Unique")</f>
        <v>Unique</v>
      </c>
      <c r="Y473" s="3" t="str">
        <f aca="false">IF(B473&lt;6.5,"&lt;6.5",IF(B473&lt;7,"6.5–6.9",IF(B473&lt;7.5,"7.0–7.4",IF(B473&lt;8,"7.5–7.9","8.0+"))))</f>
        <v>6.5–6.9</v>
      </c>
      <c r="Z473" s="3" t="n">
        <f aca="false">IF(T473="","",YEAR(T473))</f>
        <v>2012</v>
      </c>
    </row>
    <row r="474" customFormat="false" ht="13.8" hidden="false" customHeight="false" outlineLevel="0" collapsed="false">
      <c r="A474" s="3" t="s">
        <v>1279</v>
      </c>
      <c r="B474" s="3" t="n">
        <v>6.7</v>
      </c>
      <c r="C474" s="3" t="s">
        <v>1280</v>
      </c>
      <c r="D474" s="3" t="n">
        <v>0</v>
      </c>
      <c r="E474" s="3" t="n">
        <v>7</v>
      </c>
      <c r="F474" s="3"/>
      <c r="G474" s="3" t="n">
        <v>0</v>
      </c>
      <c r="H474" s="3" t="n">
        <v>691</v>
      </c>
      <c r="I474" s="3" t="s">
        <v>22</v>
      </c>
      <c r="J474" s="3" t="n">
        <v>518</v>
      </c>
      <c r="K474" s="3" t="n">
        <v>0</v>
      </c>
      <c r="L474" s="3" t="n">
        <v>26.9</v>
      </c>
      <c r="M474" s="3" t="s">
        <v>23</v>
      </c>
      <c r="N474" s="3" t="n">
        <v>29</v>
      </c>
      <c r="O474" s="3" t="n">
        <v>-32.625</v>
      </c>
      <c r="P474" s="3" t="n">
        <v>-71.365</v>
      </c>
      <c r="Q474" s="3" t="s">
        <v>1281</v>
      </c>
      <c r="R474" s="3" t="s">
        <v>33</v>
      </c>
      <c r="S474" s="3" t="s">
        <v>373</v>
      </c>
      <c r="T474" s="5" t="n">
        <f aca="false">IF(C474="","",DATE(VALUE(MID(C474,7,4)),VALUE(MID(C474,4,2)),VALUE(MID(C474,1,2)))+TIME(VALUE(MID(C474,12,2)),VALUE(MID(C474,15,2)),0))</f>
        <v>41016.1597222222</v>
      </c>
      <c r="U474" s="3" t="str">
        <f aca="false">IFERROR(IF(ISNUMBER(VALUE(TRIM(MID(A474,FIND("-",A474)+1,FIND("km",A474)-FIND("-",A474)-1)))),"Distance + direction + city","Named-region"),"Named-region")</f>
        <v>Distance + direction + city</v>
      </c>
      <c r="V474" s="3" t="str">
        <f aca="false">LOWER(M474)</f>
        <v>mww</v>
      </c>
      <c r="W474" s="3" t="n">
        <f aca="false">COUNTIFS($A$2:$A$1001,A474,$C$2:$C$1001,C474)</f>
        <v>1</v>
      </c>
      <c r="X474" s="3" t="str">
        <f aca="false">IF(W474&gt;1,"Duplicate","Unique")</f>
        <v>Unique</v>
      </c>
      <c r="Y474" s="3" t="str">
        <f aca="false">IF(B474&lt;6.5,"&lt;6.5",IF(B474&lt;7,"6.5–6.9",IF(B474&lt;7.5,"7.0–7.4",IF(B474&lt;8,"7.5–7.9","8.0+"))))</f>
        <v>6.5–6.9</v>
      </c>
      <c r="Z474" s="3" t="n">
        <f aca="false">IF(T474="","",YEAR(T474))</f>
        <v>2012</v>
      </c>
    </row>
    <row r="475" customFormat="false" ht="13.8" hidden="false" customHeight="false" outlineLevel="0" collapsed="false">
      <c r="A475" s="3" t="s">
        <v>1282</v>
      </c>
      <c r="B475" s="3" t="n">
        <v>7</v>
      </c>
      <c r="C475" s="6" t="s">
        <v>1283</v>
      </c>
      <c r="D475" s="3" t="n">
        <v>7</v>
      </c>
      <c r="E475" s="3" t="n">
        <v>7</v>
      </c>
      <c r="F475" s="3"/>
      <c r="G475" s="3" t="n">
        <v>0</v>
      </c>
      <c r="H475" s="3" t="n">
        <v>1000</v>
      </c>
      <c r="I475" s="3" t="s">
        <v>22</v>
      </c>
      <c r="J475" s="3" t="n">
        <v>474</v>
      </c>
      <c r="K475" s="3" t="n">
        <v>0</v>
      </c>
      <c r="L475" s="3" t="n">
        <v>95.9</v>
      </c>
      <c r="M475" s="3" t="s">
        <v>23</v>
      </c>
      <c r="N475" s="3" t="n">
        <v>13</v>
      </c>
      <c r="O475" s="3" t="n">
        <v>28.696</v>
      </c>
      <c r="P475" s="3" t="n">
        <v>-113.104</v>
      </c>
      <c r="Q475" s="3" t="s">
        <v>1284</v>
      </c>
      <c r="R475" s="3" t="s">
        <v>164</v>
      </c>
      <c r="S475" s="3" t="s">
        <v>165</v>
      </c>
      <c r="T475" s="5" t="n">
        <f aca="false">IF(C475="","",DATE(VALUE(MID(C475,7,4)),VALUE(MID(C475,4,2)),VALUE(MID(C475,1,2)))+TIME(VALUE(MID(C475,12,2)),VALUE(MID(C475,15,2)),0))</f>
        <v>41011.3020833333</v>
      </c>
      <c r="U475" s="3" t="str">
        <f aca="false">IFERROR(IF(ISNUMBER(VALUE(TRIM(MID(A475,FIND("-",A475)+1,FIND("km",A475)-FIND("-",A475)-1)))),"Distance + direction + city","Named-region"),"Named-region")</f>
        <v>Distance + direction + city</v>
      </c>
      <c r="V475" s="3" t="str">
        <f aca="false">LOWER(M475)</f>
        <v>mww</v>
      </c>
      <c r="W475" s="3" t="n">
        <f aca="false">COUNTIFS($A$2:$A$1001,A475,$C$2:$C$1001,C475)</f>
        <v>1</v>
      </c>
      <c r="X475" s="3" t="str">
        <f aca="false">IF(W475&gt;1,"Duplicate","Unique")</f>
        <v>Unique</v>
      </c>
      <c r="Y475" s="3" t="str">
        <f aca="false">IF(B475&lt;6.5,"&lt;6.5",IF(B475&lt;7,"6.5–6.9",IF(B475&lt;7.5,"7.0–7.4",IF(B475&lt;8,"7.5–7.9","8.0+"))))</f>
        <v>7.0–7.4</v>
      </c>
      <c r="Z475" s="3" t="n">
        <f aca="false">IF(T475="","",YEAR(T475))</f>
        <v>2012</v>
      </c>
    </row>
    <row r="476" customFormat="false" ht="13.8" hidden="false" customHeight="false" outlineLevel="0" collapsed="false">
      <c r="A476" s="3" t="s">
        <v>1285</v>
      </c>
      <c r="B476" s="3" t="n">
        <v>6.5</v>
      </c>
      <c r="C476" s="6" t="s">
        <v>1286</v>
      </c>
      <c r="D476" s="3" t="n">
        <v>7</v>
      </c>
      <c r="E476" s="3" t="n">
        <v>6</v>
      </c>
      <c r="F476" s="3"/>
      <c r="G476" s="3" t="n">
        <v>0</v>
      </c>
      <c r="H476" s="3" t="n">
        <v>1171</v>
      </c>
      <c r="I476" s="3" t="s">
        <v>22</v>
      </c>
      <c r="J476" s="3" t="n">
        <v>599</v>
      </c>
      <c r="K476" s="3" t="n">
        <v>0</v>
      </c>
      <c r="L476" s="3" t="n">
        <v>54.1</v>
      </c>
      <c r="M476" s="3" t="s">
        <v>154</v>
      </c>
      <c r="N476" s="3" t="n">
        <v>20</v>
      </c>
      <c r="O476" s="3" t="n">
        <v>18.229</v>
      </c>
      <c r="P476" s="3" t="n">
        <v>-102.689</v>
      </c>
      <c r="Q476" s="3" t="s">
        <v>1287</v>
      </c>
      <c r="R476" s="3" t="s">
        <v>164</v>
      </c>
      <c r="S476" s="3" t="s">
        <v>165</v>
      </c>
      <c r="T476" s="5" t="n">
        <f aca="false">IF(C476="","",DATE(VALUE(MID(C476,7,4)),VALUE(MID(C476,4,2)),VALUE(MID(C476,1,2)))+TIME(VALUE(MID(C476,12,2)),VALUE(MID(C476,15,2)),0))</f>
        <v>41010.9548611111</v>
      </c>
      <c r="U476" s="3" t="str">
        <f aca="false">IFERROR(IF(ISNUMBER(VALUE(TRIM(MID(A476,FIND("-",A476)+1,FIND("km",A476)-FIND("-",A476)-1)))),"Distance + direction + city","Named-region"),"Named-region")</f>
        <v>Distance + direction + city</v>
      </c>
      <c r="V476" s="3" t="str">
        <f aca="false">LOWER(M476)</f>
        <v>mwb</v>
      </c>
      <c r="W476" s="3" t="n">
        <f aca="false">COUNTIFS($A$2:$A$1001,A476,$C$2:$C$1001,C476)</f>
        <v>1</v>
      </c>
      <c r="X476" s="3" t="str">
        <f aca="false">IF(W476&gt;1,"Duplicate","Unique")</f>
        <v>Unique</v>
      </c>
      <c r="Y476" s="3" t="str">
        <f aca="false">IF(B476&lt;6.5,"&lt;6.5",IF(B476&lt;7,"6.5–6.9",IF(B476&lt;7.5,"7.0–7.4",IF(B476&lt;8,"7.5–7.9","8.0+"))))</f>
        <v>6.5–6.9</v>
      </c>
      <c r="Z476" s="3" t="n">
        <f aca="false">IF(T476="","",YEAR(T476))</f>
        <v>2012</v>
      </c>
    </row>
    <row r="477" customFormat="false" ht="13.8" hidden="false" customHeight="false" outlineLevel="0" collapsed="false">
      <c r="A477" s="3" t="s">
        <v>1288</v>
      </c>
      <c r="B477" s="3" t="n">
        <v>8.2</v>
      </c>
      <c r="C477" s="6" t="s">
        <v>1289</v>
      </c>
      <c r="D477" s="3" t="n">
        <v>9</v>
      </c>
      <c r="E477" s="3" t="n">
        <v>6</v>
      </c>
      <c r="F477" s="3" t="s">
        <v>21</v>
      </c>
      <c r="G477" s="3" t="n">
        <v>0</v>
      </c>
      <c r="H477" s="3" t="n">
        <v>1213</v>
      </c>
      <c r="I477" s="3" t="s">
        <v>22</v>
      </c>
      <c r="J477" s="3" t="n">
        <v>341</v>
      </c>
      <c r="K477" s="3" t="n">
        <v>0</v>
      </c>
      <c r="L477" s="3" t="n">
        <v>14.9</v>
      </c>
      <c r="M477" s="3" t="s">
        <v>127</v>
      </c>
      <c r="N477" s="3" t="n">
        <v>25.1</v>
      </c>
      <c r="O477" s="3" t="n">
        <v>0.802</v>
      </c>
      <c r="P477" s="3" t="n">
        <v>92.463</v>
      </c>
      <c r="Q477" s="3" t="s">
        <v>1290</v>
      </c>
      <c r="R477" s="3"/>
      <c r="S477" s="3"/>
      <c r="T477" s="5" t="n">
        <f aca="false">IF(C477="","",DATE(VALUE(MID(C477,7,4)),VALUE(MID(C477,4,2)),VALUE(MID(C477,1,2)))+TIME(VALUE(MID(C477,12,2)),VALUE(MID(C477,15,2)),0))</f>
        <v>41010.4465277778</v>
      </c>
      <c r="U477" s="3" t="str">
        <f aca="false">IFERROR(IF(ISNUMBER(VALUE(TRIM(MID(A477,FIND("-",A477)+1,FIND("km",A477)-FIND("-",A477)-1)))),"Distance + direction + city","Named-region"),"Named-region")</f>
        <v>Named-region</v>
      </c>
      <c r="V477" s="3" t="str">
        <f aca="false">LOWER(M477)</f>
        <v>mwc</v>
      </c>
      <c r="W477" s="3" t="n">
        <f aca="false">COUNTIFS($A$2:$A$1001,A477,$C$2:$C$1001,C477)</f>
        <v>1</v>
      </c>
      <c r="X477" s="3" t="str">
        <f aca="false">IF(W477&gt;1,"Duplicate","Unique")</f>
        <v>Unique</v>
      </c>
      <c r="Y477" s="3" t="str">
        <f aca="false">IF(B477&lt;6.5,"&lt;6.5",IF(B477&lt;7,"6.5–6.9",IF(B477&lt;7.5,"7.0–7.4",IF(B477&lt;8,"7.5–7.9","8.0+"))))</f>
        <v>8.0+</v>
      </c>
      <c r="Z477" s="3" t="n">
        <f aca="false">IF(T477="","",YEAR(T477))</f>
        <v>2012</v>
      </c>
    </row>
    <row r="478" customFormat="false" ht="13.8" hidden="false" customHeight="false" outlineLevel="0" collapsed="false">
      <c r="A478" s="3" t="s">
        <v>1291</v>
      </c>
      <c r="B478" s="3" t="n">
        <v>8.6</v>
      </c>
      <c r="C478" s="6" t="s">
        <v>1292</v>
      </c>
      <c r="D478" s="3" t="n">
        <v>9</v>
      </c>
      <c r="E478" s="3" t="n">
        <v>7</v>
      </c>
      <c r="F478" s="3" t="s">
        <v>28</v>
      </c>
      <c r="G478" s="3" t="n">
        <v>0</v>
      </c>
      <c r="H478" s="3" t="n">
        <v>2048</v>
      </c>
      <c r="I478" s="3" t="s">
        <v>1293</v>
      </c>
      <c r="J478" s="3" t="n">
        <v>499</v>
      </c>
      <c r="K478" s="3" t="n">
        <v>0</v>
      </c>
      <c r="L478" s="3" t="n">
        <v>16.6</v>
      </c>
      <c r="M478" s="3" t="s">
        <v>485</v>
      </c>
      <c r="N478" s="3" t="n">
        <v>20</v>
      </c>
      <c r="O478" s="3" t="n">
        <v>2.327</v>
      </c>
      <c r="P478" s="3" t="n">
        <v>93.063</v>
      </c>
      <c r="Q478" s="3" t="s">
        <v>1290</v>
      </c>
      <c r="R478" s="3"/>
      <c r="S478" s="3"/>
      <c r="T478" s="5" t="n">
        <f aca="false">IF(C478="","",DATE(VALUE(MID(C478,7,4)),VALUE(MID(C478,4,2)),VALUE(MID(C478,1,2)))+TIME(VALUE(MID(C478,12,2)),VALUE(MID(C478,15,2)),0))</f>
        <v>41010.3597222222</v>
      </c>
      <c r="U478" s="3" t="str">
        <f aca="false">IFERROR(IF(ISNUMBER(VALUE(TRIM(MID(A478,FIND("-",A478)+1,FIND("km",A478)-FIND("-",A478)-1)))),"Distance + direction + city","Named-region"),"Named-region")</f>
        <v>Named-region</v>
      </c>
      <c r="V478" s="3" t="str">
        <f aca="false">LOWER(M478)</f>
        <v>mw</v>
      </c>
      <c r="W478" s="3" t="n">
        <f aca="false">COUNTIFS($A$2:$A$1001,A478,$C$2:$C$1001,C478)</f>
        <v>1</v>
      </c>
      <c r="X478" s="3" t="str">
        <f aca="false">IF(W478&gt;1,"Duplicate","Unique")</f>
        <v>Unique</v>
      </c>
      <c r="Y478" s="3" t="str">
        <f aca="false">IF(B478&lt;6.5,"&lt;6.5",IF(B478&lt;7,"6.5–6.9",IF(B478&lt;7.5,"7.0–7.4",IF(B478&lt;8,"7.5–7.9","8.0+"))))</f>
        <v>8.0+</v>
      </c>
      <c r="Z478" s="3" t="n">
        <f aca="false">IF(T478="","",YEAR(T478))</f>
        <v>2012</v>
      </c>
    </row>
    <row r="479" customFormat="false" ht="13.8" hidden="false" customHeight="false" outlineLevel="0" collapsed="false">
      <c r="A479" s="3" t="s">
        <v>1294</v>
      </c>
      <c r="B479" s="3" t="n">
        <v>7.1</v>
      </c>
      <c r="C479" s="3" t="s">
        <v>1295</v>
      </c>
      <c r="D479" s="3" t="n">
        <v>7</v>
      </c>
      <c r="E479" s="3" t="n">
        <v>7</v>
      </c>
      <c r="F479" s="3"/>
      <c r="G479" s="3" t="n">
        <v>0</v>
      </c>
      <c r="H479" s="3" t="n">
        <v>1496</v>
      </c>
      <c r="I479" s="3" t="s">
        <v>22</v>
      </c>
      <c r="J479" s="3" t="n">
        <v>553</v>
      </c>
      <c r="K479" s="3" t="n">
        <v>0</v>
      </c>
      <c r="L479" s="3" t="n">
        <v>15.2</v>
      </c>
      <c r="M479" s="3" t="s">
        <v>23</v>
      </c>
      <c r="N479" s="3" t="n">
        <v>40.7</v>
      </c>
      <c r="O479" s="3" t="n">
        <v>-35.2</v>
      </c>
      <c r="P479" s="3" t="n">
        <v>-72.217</v>
      </c>
      <c r="Q479" s="3" t="s">
        <v>455</v>
      </c>
      <c r="R479" s="3" t="s">
        <v>33</v>
      </c>
      <c r="S479" s="3" t="s">
        <v>373</v>
      </c>
      <c r="T479" s="5" t="n">
        <f aca="false">IF(C479="","",DATE(VALUE(MID(C479,7,4)),VALUE(MID(C479,4,2)),VALUE(MID(C479,1,2)))+TIME(VALUE(MID(C479,12,2)),VALUE(MID(C479,15,2)),0))</f>
        <v>40993.9423611111</v>
      </c>
      <c r="U479" s="3" t="str">
        <f aca="false">IFERROR(IF(ISNUMBER(VALUE(TRIM(MID(A479,FIND("-",A479)+1,FIND("km",A479)-FIND("-",A479)-1)))),"Distance + direction + city","Named-region"),"Named-region")</f>
        <v>Distance + direction + city</v>
      </c>
      <c r="V479" s="3" t="str">
        <f aca="false">LOWER(M479)</f>
        <v>mww</v>
      </c>
      <c r="W479" s="3" t="n">
        <f aca="false">COUNTIFS($A$2:$A$1001,A479,$C$2:$C$1001,C479)</f>
        <v>1</v>
      </c>
      <c r="X479" s="3" t="str">
        <f aca="false">IF(W479&gt;1,"Duplicate","Unique")</f>
        <v>Unique</v>
      </c>
      <c r="Y479" s="3" t="str">
        <f aca="false">IF(B479&lt;6.5,"&lt;6.5",IF(B479&lt;7,"6.5–6.9",IF(B479&lt;7.5,"7.0–7.4",IF(B479&lt;8,"7.5–7.9","8.0+"))))</f>
        <v>7.0–7.4</v>
      </c>
      <c r="Z479" s="3" t="n">
        <f aca="false">IF(T479="","",YEAR(T479))</f>
        <v>2012</v>
      </c>
    </row>
    <row r="480" customFormat="false" ht="13.8" hidden="false" customHeight="false" outlineLevel="0" collapsed="false">
      <c r="A480" s="3" t="s">
        <v>1296</v>
      </c>
      <c r="B480" s="3" t="n">
        <v>6.6</v>
      </c>
      <c r="C480" s="3" t="s">
        <v>1297</v>
      </c>
      <c r="D480" s="3" t="n">
        <v>6</v>
      </c>
      <c r="E480" s="3" t="n">
        <v>6</v>
      </c>
      <c r="F480" s="3"/>
      <c r="G480" s="3" t="n">
        <v>0</v>
      </c>
      <c r="H480" s="3" t="n">
        <v>709</v>
      </c>
      <c r="I480" s="3" t="s">
        <v>22</v>
      </c>
      <c r="J480" s="3" t="n">
        <v>640</v>
      </c>
      <c r="K480" s="3" t="n">
        <v>0</v>
      </c>
      <c r="L480" s="3" t="n">
        <v>10.1</v>
      </c>
      <c r="M480" s="3" t="s">
        <v>23</v>
      </c>
      <c r="N480" s="3" t="n">
        <v>118</v>
      </c>
      <c r="O480" s="3" t="n">
        <v>-6.242</v>
      </c>
      <c r="P480" s="3" t="n">
        <v>145.955</v>
      </c>
      <c r="Q480" s="3" t="s">
        <v>180</v>
      </c>
      <c r="R480" s="3"/>
      <c r="S480" s="3" t="s">
        <v>85</v>
      </c>
      <c r="T480" s="5" t="n">
        <f aca="false">IF(C480="","",DATE(VALUE(MID(C480,7,4)),VALUE(MID(C480,4,2)),VALUE(MID(C480,1,2)))+TIME(VALUE(MID(C480,12,2)),VALUE(MID(C480,15,2)),0))</f>
        <v>40989.9270833333</v>
      </c>
      <c r="U480" s="3" t="str">
        <f aca="false">IFERROR(IF(ISNUMBER(VALUE(TRIM(MID(A480,FIND("-",A480)+1,FIND("km",A480)-FIND("-",A480)-1)))),"Distance + direction + city","Named-region"),"Named-region")</f>
        <v>Distance + direction + city</v>
      </c>
      <c r="V480" s="3" t="str">
        <f aca="false">LOWER(M480)</f>
        <v>mww</v>
      </c>
      <c r="W480" s="3" t="n">
        <f aca="false">COUNTIFS($A$2:$A$1001,A480,$C$2:$C$1001,C480)</f>
        <v>1</v>
      </c>
      <c r="X480" s="3" t="str">
        <f aca="false">IF(W480&gt;1,"Duplicate","Unique")</f>
        <v>Unique</v>
      </c>
      <c r="Y480" s="3" t="str">
        <f aca="false">IF(B480&lt;6.5,"&lt;6.5",IF(B480&lt;7,"6.5–6.9",IF(B480&lt;7.5,"7.0–7.4",IF(B480&lt;8,"7.5–7.9","8.0+"))))</f>
        <v>6.5–6.9</v>
      </c>
      <c r="Z480" s="3" t="n">
        <f aca="false">IF(T480="","",YEAR(T480))</f>
        <v>2012</v>
      </c>
    </row>
    <row r="481" customFormat="false" ht="13.8" hidden="false" customHeight="false" outlineLevel="0" collapsed="false">
      <c r="A481" s="3" t="s">
        <v>1298</v>
      </c>
      <c r="B481" s="3" t="n">
        <v>7.4</v>
      </c>
      <c r="C481" s="3" t="s">
        <v>1299</v>
      </c>
      <c r="D481" s="3" t="n">
        <v>9</v>
      </c>
      <c r="E481" s="3" t="n">
        <v>8</v>
      </c>
      <c r="F481" s="3"/>
      <c r="G481" s="3" t="n">
        <v>0</v>
      </c>
      <c r="H481" s="3" t="n">
        <v>1752</v>
      </c>
      <c r="I481" s="3" t="s">
        <v>22</v>
      </c>
      <c r="J481" s="3" t="n">
        <v>672</v>
      </c>
      <c r="K481" s="3" t="n">
        <v>0</v>
      </c>
      <c r="L481" s="3" t="n">
        <v>37.9</v>
      </c>
      <c r="M481" s="3" t="s">
        <v>23</v>
      </c>
      <c r="N481" s="3" t="n">
        <v>20</v>
      </c>
      <c r="O481" s="3" t="n">
        <v>16.493</v>
      </c>
      <c r="P481" s="3" t="n">
        <v>-98.231</v>
      </c>
      <c r="Q481" s="3" t="s">
        <v>1300</v>
      </c>
      <c r="R481" s="3" t="s">
        <v>164</v>
      </c>
      <c r="S481" s="3" t="s">
        <v>165</v>
      </c>
      <c r="T481" s="5" t="n">
        <f aca="false">IF(C481="","",DATE(VALUE(MID(C481,7,4)),VALUE(MID(C481,4,2)),VALUE(MID(C481,1,2)))+TIME(VALUE(MID(C481,12,2)),VALUE(MID(C481,15,2)),0))</f>
        <v>40988.7513888889</v>
      </c>
      <c r="U481" s="3" t="str">
        <f aca="false">IFERROR(IF(ISNUMBER(VALUE(TRIM(MID(A481,FIND("-",A481)+1,FIND("km",A481)-FIND("-",A481)-1)))),"Distance + direction + city","Named-region"),"Named-region")</f>
        <v>Distance + direction + city</v>
      </c>
      <c r="V481" s="3" t="str">
        <f aca="false">LOWER(M481)</f>
        <v>mww</v>
      </c>
      <c r="W481" s="3" t="n">
        <f aca="false">COUNTIFS($A$2:$A$1001,A481,$C$2:$C$1001,C481)</f>
        <v>1</v>
      </c>
      <c r="X481" s="3" t="str">
        <f aca="false">IF(W481&gt;1,"Duplicate","Unique")</f>
        <v>Unique</v>
      </c>
      <c r="Y481" s="3" t="str">
        <f aca="false">IF(B481&lt;6.5,"&lt;6.5",IF(B481&lt;7,"6.5–6.9",IF(B481&lt;7.5,"7.0–7.4",IF(B481&lt;8,"7.5–7.9","8.0+"))))</f>
        <v>7.0–7.4</v>
      </c>
      <c r="Z481" s="3" t="n">
        <f aca="false">IF(T481="","",YEAR(T481))</f>
        <v>2012</v>
      </c>
    </row>
    <row r="482" customFormat="false" ht="13.8" hidden="false" customHeight="false" outlineLevel="0" collapsed="false">
      <c r="A482" s="3" t="s">
        <v>1301</v>
      </c>
      <c r="B482" s="3" t="n">
        <v>6.7</v>
      </c>
      <c r="C482" s="3" t="s">
        <v>1302</v>
      </c>
      <c r="D482" s="3" t="n">
        <v>7</v>
      </c>
      <c r="E482" s="3" t="n">
        <v>7</v>
      </c>
      <c r="F482" s="3"/>
      <c r="G482" s="3" t="n">
        <v>0</v>
      </c>
      <c r="H482" s="3" t="n">
        <v>833</v>
      </c>
      <c r="I482" s="3" t="s">
        <v>22</v>
      </c>
      <c r="J482" s="3" t="n">
        <v>596</v>
      </c>
      <c r="K482" s="3" t="n">
        <v>0</v>
      </c>
      <c r="L482" s="3" t="n">
        <v>13.4</v>
      </c>
      <c r="M482" s="3" t="s">
        <v>23</v>
      </c>
      <c r="N482" s="3" t="n">
        <v>12</v>
      </c>
      <c r="O482" s="3" t="n">
        <v>51.708</v>
      </c>
      <c r="P482" s="3" t="n">
        <v>95.991</v>
      </c>
      <c r="Q482" s="3" t="s">
        <v>1303</v>
      </c>
      <c r="R482" s="3" t="s">
        <v>80</v>
      </c>
      <c r="S482" s="3" t="s">
        <v>428</v>
      </c>
      <c r="T482" s="5" t="n">
        <f aca="false">IF(C482="","",DATE(VALUE(MID(C482,7,4)),VALUE(MID(C482,4,2)),VALUE(MID(C482,1,2)))+TIME(VALUE(MID(C482,12,2)),VALUE(MID(C482,15,2)),0))</f>
        <v>40965.2618055556</v>
      </c>
      <c r="U482" s="3" t="str">
        <f aca="false">IFERROR(IF(ISNUMBER(VALUE(TRIM(MID(A482,FIND("-",A482)+1,FIND("km",A482)-FIND("-",A482)-1)))),"Distance + direction + city","Named-region"),"Named-region")</f>
        <v>Distance + direction + city</v>
      </c>
      <c r="V482" s="3" t="str">
        <f aca="false">LOWER(M482)</f>
        <v>mww</v>
      </c>
      <c r="W482" s="3" t="n">
        <f aca="false">COUNTIFS($A$2:$A$1001,A482,$C$2:$C$1001,C482)</f>
        <v>1</v>
      </c>
      <c r="X482" s="3" t="str">
        <f aca="false">IF(W482&gt;1,"Duplicate","Unique")</f>
        <v>Unique</v>
      </c>
      <c r="Y482" s="3" t="str">
        <f aca="false">IF(B482&lt;6.5,"&lt;6.5",IF(B482&lt;7,"6.5–6.9",IF(B482&lt;7.5,"7.0–7.4",IF(B482&lt;8,"7.5–7.9","8.0+"))))</f>
        <v>6.5–6.9</v>
      </c>
      <c r="Z482" s="3" t="n">
        <f aca="false">IF(T482="","",YEAR(T482))</f>
        <v>2012</v>
      </c>
    </row>
    <row r="483" customFormat="false" ht="13.8" hidden="false" customHeight="false" outlineLevel="0" collapsed="false">
      <c r="A483" s="3" t="s">
        <v>1304</v>
      </c>
      <c r="B483" s="3" t="n">
        <v>6.7</v>
      </c>
      <c r="C483" s="6" t="s">
        <v>1305</v>
      </c>
      <c r="D483" s="3" t="n">
        <v>9</v>
      </c>
      <c r="E483" s="3" t="n">
        <v>7</v>
      </c>
      <c r="F483" s="3"/>
      <c r="G483" s="3" t="n">
        <v>0</v>
      </c>
      <c r="H483" s="3" t="n">
        <v>1551</v>
      </c>
      <c r="I483" s="3" t="s">
        <v>22</v>
      </c>
      <c r="J483" s="3" t="n">
        <v>572</v>
      </c>
      <c r="K483" s="3" t="n">
        <v>0</v>
      </c>
      <c r="L483" s="3" t="n">
        <v>11.1</v>
      </c>
      <c r="M483" s="3" t="s">
        <v>23</v>
      </c>
      <c r="N483" s="3" t="n">
        <v>11</v>
      </c>
      <c r="O483" s="3" t="n">
        <v>9.999</v>
      </c>
      <c r="P483" s="3" t="n">
        <v>123.206</v>
      </c>
      <c r="Q483" s="3" t="s">
        <v>1306</v>
      </c>
      <c r="R483" s="3"/>
      <c r="S483" s="3" t="s">
        <v>191</v>
      </c>
      <c r="T483" s="5" t="n">
        <f aca="false">IF(C483="","",DATE(VALUE(MID(C483,7,4)),VALUE(MID(C483,4,2)),VALUE(MID(C483,1,2)))+TIME(VALUE(MID(C483,12,2)),VALUE(MID(C483,15,2)),0))</f>
        <v>40945.1590277778</v>
      </c>
      <c r="U483" s="3" t="str">
        <f aca="false">IFERROR(IF(ISNUMBER(VALUE(TRIM(MID(A483,FIND("-",A483)+1,FIND("km",A483)-FIND("-",A483)-1)))),"Distance + direction + city","Named-region"),"Named-region")</f>
        <v>Distance + direction + city</v>
      </c>
      <c r="V483" s="3" t="str">
        <f aca="false">LOWER(M483)</f>
        <v>mww</v>
      </c>
      <c r="W483" s="3" t="n">
        <f aca="false">COUNTIFS($A$2:$A$1001,A483,$C$2:$C$1001,C483)</f>
        <v>1</v>
      </c>
      <c r="X483" s="3" t="str">
        <f aca="false">IF(W483&gt;1,"Duplicate","Unique")</f>
        <v>Unique</v>
      </c>
      <c r="Y483" s="3" t="str">
        <f aca="false">IF(B483&lt;6.5,"&lt;6.5",IF(B483&lt;7,"6.5–6.9",IF(B483&lt;7.5,"7.0–7.4",IF(B483&lt;8,"7.5–7.9","8.0+"))))</f>
        <v>6.5–6.9</v>
      </c>
      <c r="Z483" s="3" t="n">
        <f aca="false">IF(T483="","",YEAR(T483))</f>
        <v>2012</v>
      </c>
    </row>
    <row r="484" customFormat="false" ht="13.8" hidden="false" customHeight="false" outlineLevel="0" collapsed="false">
      <c r="A484" s="3" t="s">
        <v>1307</v>
      </c>
      <c r="B484" s="3" t="n">
        <v>7.1</v>
      </c>
      <c r="C484" s="6" t="s">
        <v>1308</v>
      </c>
      <c r="D484" s="3" t="n">
        <v>5</v>
      </c>
      <c r="E484" s="3" t="n">
        <v>5</v>
      </c>
      <c r="F484" s="3"/>
      <c r="G484" s="3" t="n">
        <v>0</v>
      </c>
      <c r="H484" s="3" t="n">
        <v>793</v>
      </c>
      <c r="I484" s="3" t="s">
        <v>22</v>
      </c>
      <c r="J484" s="3" t="n">
        <v>573</v>
      </c>
      <c r="K484" s="3" t="n">
        <v>0</v>
      </c>
      <c r="L484" s="3" t="n">
        <v>12</v>
      </c>
      <c r="M484" s="3" t="s">
        <v>23</v>
      </c>
      <c r="N484" s="3" t="n">
        <v>23</v>
      </c>
      <c r="O484" s="3" t="n">
        <v>-17.827</v>
      </c>
      <c r="P484" s="3" t="n">
        <v>167.133</v>
      </c>
      <c r="Q484" s="3" t="s">
        <v>989</v>
      </c>
      <c r="R484" s="3"/>
      <c r="S484" s="3"/>
      <c r="T484" s="5" t="n">
        <f aca="false">IF(C484="","",DATE(VALUE(MID(C484,7,4)),VALUE(MID(C484,4,2)),VALUE(MID(C484,1,2)))+TIME(VALUE(MID(C484,12,2)),VALUE(MID(C484,15,2)),0))</f>
        <v>40941.5652777778</v>
      </c>
      <c r="U484" s="3" t="str">
        <f aca="false">IFERROR(IF(ISNUMBER(VALUE(TRIM(MID(A484,FIND("-",A484)+1,FIND("km",A484)-FIND("-",A484)-1)))),"Distance + direction + city","Named-region"),"Named-region")</f>
        <v>Distance + direction + city</v>
      </c>
      <c r="V484" s="3" t="str">
        <f aca="false">LOWER(M484)</f>
        <v>mww</v>
      </c>
      <c r="W484" s="3" t="n">
        <f aca="false">COUNTIFS($A$2:$A$1001,A484,$C$2:$C$1001,C484)</f>
        <v>1</v>
      </c>
      <c r="X484" s="3" t="str">
        <f aca="false">IF(W484&gt;1,"Duplicate","Unique")</f>
        <v>Unique</v>
      </c>
      <c r="Y484" s="3" t="str">
        <f aca="false">IF(B484&lt;6.5,"&lt;6.5",IF(B484&lt;7,"6.5–6.9",IF(B484&lt;7.5,"7.0–7.4",IF(B484&lt;8,"7.5–7.9","8.0+"))))</f>
        <v>7.0–7.4</v>
      </c>
      <c r="Z484" s="3" t="n">
        <f aca="false">IF(T484="","",YEAR(T484))</f>
        <v>2012</v>
      </c>
    </row>
    <row r="485" customFormat="false" ht="13.8" hidden="false" customHeight="false" outlineLevel="0" collapsed="false">
      <c r="A485" s="3" t="s">
        <v>1309</v>
      </c>
      <c r="B485" s="3" t="n">
        <v>7.2</v>
      </c>
      <c r="C485" s="6" t="s">
        <v>1310</v>
      </c>
      <c r="D485" s="3" t="n">
        <v>4</v>
      </c>
      <c r="E485" s="3" t="n">
        <v>4</v>
      </c>
      <c r="F485" s="3"/>
      <c r="G485" s="3" t="n">
        <v>0</v>
      </c>
      <c r="H485" s="3" t="n">
        <v>838</v>
      </c>
      <c r="I485" s="3" t="s">
        <v>22</v>
      </c>
      <c r="J485" s="3" t="n">
        <v>443</v>
      </c>
      <c r="K485" s="3" t="n">
        <v>0</v>
      </c>
      <c r="L485" s="3" t="n">
        <v>17</v>
      </c>
      <c r="M485" s="3" t="s">
        <v>23</v>
      </c>
      <c r="N485" s="3" t="n">
        <v>19</v>
      </c>
      <c r="O485" s="3" t="n">
        <v>2.433</v>
      </c>
      <c r="P485" s="3" t="n">
        <v>93.21</v>
      </c>
      <c r="Q485" s="3" t="s">
        <v>1290</v>
      </c>
      <c r="R485" s="3"/>
      <c r="S485" s="3"/>
      <c r="T485" s="5" t="n">
        <f aca="false">IF(C485="","",DATE(VALUE(MID(C485,7,4)),VALUE(MID(C485,4,2)),VALUE(MID(C485,1,2)))+TIME(VALUE(MID(C485,12,2)),VALUE(MID(C485,15,2)),0))</f>
        <v>40918.775</v>
      </c>
      <c r="U485" s="3" t="str">
        <f aca="false">IFERROR(IF(ISNUMBER(VALUE(TRIM(MID(A485,FIND("-",A485)+1,FIND("km",A485)-FIND("-",A485)-1)))),"Distance + direction + city","Named-region"),"Named-region")</f>
        <v>Named-region</v>
      </c>
      <c r="V485" s="3" t="str">
        <f aca="false">LOWER(M485)</f>
        <v>mww</v>
      </c>
      <c r="W485" s="3" t="n">
        <f aca="false">COUNTIFS($A$2:$A$1001,A485,$C$2:$C$1001,C485)</f>
        <v>1</v>
      </c>
      <c r="X485" s="3" t="str">
        <f aca="false">IF(W485&gt;1,"Duplicate","Unique")</f>
        <v>Unique</v>
      </c>
      <c r="Y485" s="3" t="str">
        <f aca="false">IF(B485&lt;6.5,"&lt;6.5",IF(B485&lt;7,"6.5–6.9",IF(B485&lt;7.5,"7.0–7.4",IF(B485&lt;8,"7.5–7.9","8.0+"))))</f>
        <v>7.0–7.4</v>
      </c>
      <c r="Z485" s="3" t="n">
        <f aca="false">IF(T485="","",YEAR(T485))</f>
        <v>2012</v>
      </c>
    </row>
    <row r="486" customFormat="false" ht="13.8" hidden="false" customHeight="false" outlineLevel="0" collapsed="false">
      <c r="A486" s="3" t="s">
        <v>1311</v>
      </c>
      <c r="B486" s="3" t="n">
        <v>6.6</v>
      </c>
      <c r="C486" s="3" t="s">
        <v>1312</v>
      </c>
      <c r="D486" s="3" t="n">
        <v>0</v>
      </c>
      <c r="E486" s="3" t="n">
        <v>7</v>
      </c>
      <c r="F486" s="3"/>
      <c r="G486" s="3" t="n">
        <v>0</v>
      </c>
      <c r="H486" s="3" t="n">
        <v>670</v>
      </c>
      <c r="I486" s="3" t="s">
        <v>22</v>
      </c>
      <c r="J486" s="3" t="n">
        <v>545</v>
      </c>
      <c r="K486" s="3" t="n">
        <v>0</v>
      </c>
      <c r="L486" s="3" t="n">
        <v>17.6</v>
      </c>
      <c r="M486" s="3" t="s">
        <v>23</v>
      </c>
      <c r="N486" s="3" t="n">
        <v>15</v>
      </c>
      <c r="O486" s="3" t="n">
        <v>51.842</v>
      </c>
      <c r="P486" s="3" t="n">
        <v>95.911</v>
      </c>
      <c r="Q486" s="3" t="s">
        <v>1303</v>
      </c>
      <c r="R486" s="3" t="s">
        <v>80</v>
      </c>
      <c r="S486" s="3" t="s">
        <v>428</v>
      </c>
      <c r="T486" s="5" t="n">
        <f aca="false">IF(C486="","",DATE(VALUE(MID(C486,7,4)),VALUE(MID(C486,4,2)),VALUE(MID(C486,1,2)))+TIME(VALUE(MID(C486,12,2)),VALUE(MID(C486,15,2)),0))</f>
        <v>40904.6395833333</v>
      </c>
      <c r="U486" s="3" t="str">
        <f aca="false">IFERROR(IF(ISNUMBER(VALUE(TRIM(MID(A486,FIND("-",A486)+1,FIND("km",A486)-FIND("-",A486)-1)))),"Distance + direction + city","Named-region"),"Named-region")</f>
        <v>Distance + direction + city</v>
      </c>
      <c r="V486" s="3" t="str">
        <f aca="false">LOWER(M486)</f>
        <v>mww</v>
      </c>
      <c r="W486" s="3" t="n">
        <f aca="false">COUNTIFS($A$2:$A$1001,A486,$C$2:$C$1001,C486)</f>
        <v>1</v>
      </c>
      <c r="X486" s="3" t="str">
        <f aca="false">IF(W486&gt;1,"Duplicate","Unique")</f>
        <v>Unique</v>
      </c>
      <c r="Y486" s="3" t="str">
        <f aca="false">IF(B486&lt;6.5,"&lt;6.5",IF(B486&lt;7,"6.5–6.9",IF(B486&lt;7.5,"7.0–7.4",IF(B486&lt;8,"7.5–7.9","8.0+"))))</f>
        <v>6.5–6.9</v>
      </c>
      <c r="Z486" s="3" t="n">
        <f aca="false">IF(T486="","",YEAR(T486))</f>
        <v>2011</v>
      </c>
    </row>
    <row r="487" customFormat="false" ht="13.8" hidden="false" customHeight="false" outlineLevel="0" collapsed="false">
      <c r="A487" s="3" t="s">
        <v>1313</v>
      </c>
      <c r="B487" s="3" t="n">
        <v>7.1</v>
      </c>
      <c r="C487" s="3" t="s">
        <v>1314</v>
      </c>
      <c r="D487" s="3" t="n">
        <v>6</v>
      </c>
      <c r="E487" s="3" t="n">
        <v>6</v>
      </c>
      <c r="F487" s="3"/>
      <c r="G487" s="3" t="n">
        <v>0</v>
      </c>
      <c r="H487" s="3" t="n">
        <v>834</v>
      </c>
      <c r="I487" s="3" t="s">
        <v>22</v>
      </c>
      <c r="J487" s="3" t="n">
        <v>485</v>
      </c>
      <c r="K487" s="3" t="n">
        <v>0</v>
      </c>
      <c r="L487" s="3" t="n">
        <v>10.6</v>
      </c>
      <c r="M487" s="3" t="s">
        <v>23</v>
      </c>
      <c r="N487" s="3" t="n">
        <v>135</v>
      </c>
      <c r="O487" s="3" t="n">
        <v>-7.551</v>
      </c>
      <c r="P487" s="3" t="n">
        <v>146.809</v>
      </c>
      <c r="Q487" s="3" t="s">
        <v>1315</v>
      </c>
      <c r="R487" s="3"/>
      <c r="S487" s="3" t="s">
        <v>85</v>
      </c>
      <c r="T487" s="5" t="n">
        <f aca="false">IF(C487="","",DATE(VALUE(MID(C487,7,4)),VALUE(MID(C487,4,2)),VALUE(MID(C487,1,2)))+TIME(VALUE(MID(C487,12,2)),VALUE(MID(C487,15,2)),0))</f>
        <v>40891.2111111111</v>
      </c>
      <c r="U487" s="3" t="str">
        <f aca="false">IFERROR(IF(ISNUMBER(VALUE(TRIM(MID(A487,FIND("-",A487)+1,FIND("km",A487)-FIND("-",A487)-1)))),"Distance + direction + city","Named-region"),"Named-region")</f>
        <v>Distance + direction + city</v>
      </c>
      <c r="V487" s="3" t="str">
        <f aca="false">LOWER(M487)</f>
        <v>mww</v>
      </c>
      <c r="W487" s="3" t="n">
        <f aca="false">COUNTIFS($A$2:$A$1001,A487,$C$2:$C$1001,C487)</f>
        <v>1</v>
      </c>
      <c r="X487" s="3" t="str">
        <f aca="false">IF(W487&gt;1,"Duplicate","Unique")</f>
        <v>Unique</v>
      </c>
      <c r="Y487" s="3" t="str">
        <f aca="false">IF(B487&lt;6.5,"&lt;6.5",IF(B487&lt;7,"6.5–6.9",IF(B487&lt;7.5,"7.0–7.4",IF(B487&lt;8,"7.5–7.9","8.0+"))))</f>
        <v>7.0–7.4</v>
      </c>
      <c r="Z487" s="3" t="n">
        <f aca="false">IF(T487="","",YEAR(T487))</f>
        <v>2011</v>
      </c>
    </row>
    <row r="488" customFormat="false" ht="13.8" hidden="false" customHeight="false" outlineLevel="0" collapsed="false">
      <c r="A488" s="3" t="s">
        <v>1316</v>
      </c>
      <c r="B488" s="3" t="n">
        <v>6.5</v>
      </c>
      <c r="C488" s="6" t="s">
        <v>1317</v>
      </c>
      <c r="D488" s="3" t="n">
        <v>8</v>
      </c>
      <c r="E488" s="3" t="n">
        <v>7</v>
      </c>
      <c r="F488" s="3"/>
      <c r="G488" s="3" t="n">
        <v>0</v>
      </c>
      <c r="H488" s="3" t="n">
        <v>1400</v>
      </c>
      <c r="I488" s="3" t="s">
        <v>22</v>
      </c>
      <c r="J488" s="3" t="n">
        <v>578</v>
      </c>
      <c r="K488" s="3" t="n">
        <v>0</v>
      </c>
      <c r="L488" s="3" t="n">
        <v>38.6</v>
      </c>
      <c r="M488" s="3" t="s">
        <v>23</v>
      </c>
      <c r="N488" s="3" t="n">
        <v>59</v>
      </c>
      <c r="O488" s="3" t="n">
        <v>17.986</v>
      </c>
      <c r="P488" s="3" t="n">
        <v>-99.789</v>
      </c>
      <c r="Q488" s="3" t="s">
        <v>1318</v>
      </c>
      <c r="R488" s="3" t="s">
        <v>164</v>
      </c>
      <c r="S488" s="3" t="s">
        <v>165</v>
      </c>
      <c r="T488" s="5" t="n">
        <f aca="false">IF(C488="","",DATE(VALUE(MID(C488,7,4)),VALUE(MID(C488,4,2)),VALUE(MID(C488,1,2)))+TIME(VALUE(MID(C488,12,2)),VALUE(MID(C488,15,2)),0))</f>
        <v>40888.0743055556</v>
      </c>
      <c r="U488" s="3" t="str">
        <f aca="false">IFERROR(IF(ISNUMBER(VALUE(TRIM(MID(A488,FIND("-",A488)+1,FIND("km",A488)-FIND("-",A488)-1)))),"Distance + direction + city","Named-region"),"Named-region")</f>
        <v>Distance + direction + city</v>
      </c>
      <c r="V488" s="3" t="str">
        <f aca="false">LOWER(M488)</f>
        <v>mww</v>
      </c>
      <c r="W488" s="3" t="n">
        <f aca="false">COUNTIFS($A$2:$A$1001,A488,$C$2:$C$1001,C488)</f>
        <v>1</v>
      </c>
      <c r="X488" s="3" t="str">
        <f aca="false">IF(W488&gt;1,"Duplicate","Unique")</f>
        <v>Unique</v>
      </c>
      <c r="Y488" s="3" t="str">
        <f aca="false">IF(B488&lt;6.5,"&lt;6.5",IF(B488&lt;7,"6.5–6.9",IF(B488&lt;7.5,"7.0–7.4",IF(B488&lt;8,"7.5–7.9","8.0+"))))</f>
        <v>6.5–6.9</v>
      </c>
      <c r="Z488" s="3" t="n">
        <f aca="false">IF(T488="","",YEAR(T488))</f>
        <v>2011</v>
      </c>
    </row>
    <row r="489" customFormat="false" ht="13.8" hidden="false" customHeight="false" outlineLevel="0" collapsed="false">
      <c r="A489" s="3" t="s">
        <v>1319</v>
      </c>
      <c r="B489" s="3" t="n">
        <v>6.9</v>
      </c>
      <c r="C489" s="3" t="s">
        <v>1320</v>
      </c>
      <c r="D489" s="3" t="n">
        <v>6</v>
      </c>
      <c r="E489" s="3" t="n">
        <v>7</v>
      </c>
      <c r="F489" s="3"/>
      <c r="G489" s="3" t="n">
        <v>0</v>
      </c>
      <c r="H489" s="3" t="n">
        <v>847</v>
      </c>
      <c r="I489" s="3" t="s">
        <v>22</v>
      </c>
      <c r="J489" s="3" t="n">
        <v>474</v>
      </c>
      <c r="K489" s="3" t="n">
        <v>0</v>
      </c>
      <c r="L489" s="3" t="n">
        <v>46.5</v>
      </c>
      <c r="M489" s="3" t="s">
        <v>23</v>
      </c>
      <c r="N489" s="3" t="n">
        <v>24</v>
      </c>
      <c r="O489" s="3" t="n">
        <v>-14.438</v>
      </c>
      <c r="P489" s="3" t="n">
        <v>-75.966</v>
      </c>
      <c r="Q489" s="3" t="s">
        <v>1321</v>
      </c>
      <c r="R489" s="3" t="s">
        <v>33</v>
      </c>
      <c r="S489" s="3" t="s">
        <v>199</v>
      </c>
      <c r="T489" s="5" t="n">
        <f aca="false">IF(C489="","",DATE(VALUE(MID(C489,7,4)),VALUE(MID(C489,4,2)),VALUE(MID(C489,1,2)))+TIME(VALUE(MID(C489,12,2)),VALUE(MID(C489,15,2)),0))</f>
        <v>40844.7875</v>
      </c>
      <c r="U489" s="3" t="str">
        <f aca="false">IFERROR(IF(ISNUMBER(VALUE(TRIM(MID(A489,FIND("-",A489)+1,FIND("km",A489)-FIND("-",A489)-1)))),"Distance + direction + city","Named-region"),"Named-region")</f>
        <v>Distance + direction + city</v>
      </c>
      <c r="V489" s="3" t="str">
        <f aca="false">LOWER(M489)</f>
        <v>mww</v>
      </c>
      <c r="W489" s="3" t="n">
        <f aca="false">COUNTIFS($A$2:$A$1001,A489,$C$2:$C$1001,C489)</f>
        <v>1</v>
      </c>
      <c r="X489" s="3" t="str">
        <f aca="false">IF(W489&gt;1,"Duplicate","Unique")</f>
        <v>Unique</v>
      </c>
      <c r="Y489" s="3" t="str">
        <f aca="false">IF(B489&lt;6.5,"&lt;6.5",IF(B489&lt;7,"6.5–6.9",IF(B489&lt;7.5,"7.0–7.4",IF(B489&lt;8,"7.5–7.9","8.0+"))))</f>
        <v>6.5–6.9</v>
      </c>
      <c r="Z489" s="3" t="n">
        <f aca="false">IF(T489="","",YEAR(T489))</f>
        <v>2011</v>
      </c>
    </row>
    <row r="490" customFormat="false" ht="13.8" hidden="false" customHeight="false" outlineLevel="0" collapsed="false">
      <c r="A490" s="3" t="s">
        <v>1322</v>
      </c>
      <c r="B490" s="3" t="n">
        <v>7.1</v>
      </c>
      <c r="C490" s="3" t="s">
        <v>1323</v>
      </c>
      <c r="D490" s="3" t="n">
        <v>9</v>
      </c>
      <c r="E490" s="3" t="n">
        <v>9</v>
      </c>
      <c r="F490" s="3"/>
      <c r="G490" s="3" t="n">
        <v>0</v>
      </c>
      <c r="H490" s="3" t="n">
        <v>1096</v>
      </c>
      <c r="I490" s="3" t="s">
        <v>22</v>
      </c>
      <c r="J490" s="3" t="n">
        <v>693</v>
      </c>
      <c r="K490" s="3" t="n">
        <v>0</v>
      </c>
      <c r="L490" s="3" t="n">
        <v>19.7</v>
      </c>
      <c r="M490" s="3" t="s">
        <v>23</v>
      </c>
      <c r="N490" s="3" t="n">
        <v>18</v>
      </c>
      <c r="O490" s="3" t="n">
        <v>38.721</v>
      </c>
      <c r="P490" s="3" t="n">
        <v>43.508</v>
      </c>
      <c r="Q490" s="3" t="s">
        <v>1324</v>
      </c>
      <c r="R490" s="3" t="s">
        <v>80</v>
      </c>
      <c r="S490" s="3" t="s">
        <v>435</v>
      </c>
      <c r="T490" s="5" t="n">
        <f aca="false">IF(C490="","",DATE(VALUE(MID(C490,7,4)),VALUE(MID(C490,4,2)),VALUE(MID(C490,1,2)))+TIME(VALUE(MID(C490,12,2)),VALUE(MID(C490,15,2)),0))</f>
        <v>40839.4451388889</v>
      </c>
      <c r="U490" s="3" t="str">
        <f aca="false">IFERROR(IF(ISNUMBER(VALUE(TRIM(MID(A490,FIND("-",A490)+1,FIND("km",A490)-FIND("-",A490)-1)))),"Distance + direction + city","Named-region"),"Named-region")</f>
        <v>Distance + direction + city</v>
      </c>
      <c r="V490" s="3" t="str">
        <f aca="false">LOWER(M490)</f>
        <v>mww</v>
      </c>
      <c r="W490" s="3" t="n">
        <f aca="false">COUNTIFS($A$2:$A$1001,A490,$C$2:$C$1001,C490)</f>
        <v>1</v>
      </c>
      <c r="X490" s="3" t="str">
        <f aca="false">IF(W490&gt;1,"Duplicate","Unique")</f>
        <v>Unique</v>
      </c>
      <c r="Y490" s="3" t="str">
        <f aca="false">IF(B490&lt;6.5,"&lt;6.5",IF(B490&lt;7,"6.5–6.9",IF(B490&lt;7.5,"7.0–7.4",IF(B490&lt;8,"7.5–7.9","8.0+"))))</f>
        <v>7.0–7.4</v>
      </c>
      <c r="Z490" s="3" t="n">
        <f aca="false">IF(T490="","",YEAR(T490))</f>
        <v>2011</v>
      </c>
    </row>
    <row r="491" customFormat="false" ht="13.8" hidden="false" customHeight="false" outlineLevel="0" collapsed="false">
      <c r="A491" s="3" t="s">
        <v>1325</v>
      </c>
      <c r="B491" s="3" t="n">
        <v>6.5</v>
      </c>
      <c r="C491" s="3" t="s">
        <v>1326</v>
      </c>
      <c r="D491" s="3" t="n">
        <v>3</v>
      </c>
      <c r="E491" s="3" t="n">
        <v>6</v>
      </c>
      <c r="F491" s="3"/>
      <c r="G491" s="3" t="n">
        <v>0</v>
      </c>
      <c r="H491" s="3" t="n">
        <v>655</v>
      </c>
      <c r="I491" s="3" t="s">
        <v>22</v>
      </c>
      <c r="J491" s="3" t="n">
        <v>423</v>
      </c>
      <c r="K491" s="3" t="n">
        <v>0</v>
      </c>
      <c r="L491" s="3" t="n">
        <v>12.6</v>
      </c>
      <c r="M491" s="3" t="s">
        <v>23</v>
      </c>
      <c r="N491" s="3" t="n">
        <v>37</v>
      </c>
      <c r="O491" s="3" t="n">
        <v>-6.57</v>
      </c>
      <c r="P491" s="3" t="n">
        <v>147.881</v>
      </c>
      <c r="Q491" s="3" t="s">
        <v>1011</v>
      </c>
      <c r="R491" s="3"/>
      <c r="S491" s="3" t="s">
        <v>85</v>
      </c>
      <c r="T491" s="5" t="n">
        <f aca="false">IF(C491="","",DATE(VALUE(MID(C491,7,4)),VALUE(MID(C491,4,2)),VALUE(MID(C491,1,2)))+TIME(VALUE(MID(C491,12,2)),VALUE(MID(C491,15,2)),0))</f>
        <v>40830.1493055556</v>
      </c>
      <c r="U491" s="3" t="str">
        <f aca="false">IFERROR(IF(ISNUMBER(VALUE(TRIM(MID(A491,FIND("-",A491)+1,FIND("km",A491)-FIND("-",A491)-1)))),"Distance + direction + city","Named-region"),"Named-region")</f>
        <v>Distance + direction + city</v>
      </c>
      <c r="V491" s="3" t="str">
        <f aca="false">LOWER(M491)</f>
        <v>mww</v>
      </c>
      <c r="W491" s="3" t="n">
        <f aca="false">COUNTIFS($A$2:$A$1001,A491,$C$2:$C$1001,C491)</f>
        <v>1</v>
      </c>
      <c r="X491" s="3" t="str">
        <f aca="false">IF(W491&gt;1,"Duplicate","Unique")</f>
        <v>Unique</v>
      </c>
      <c r="Y491" s="3" t="str">
        <f aca="false">IF(B491&lt;6.5,"&lt;6.5",IF(B491&lt;7,"6.5–6.9",IF(B491&lt;7.5,"7.0–7.4",IF(B491&lt;8,"7.5–7.9","8.0+"))))</f>
        <v>6.5–6.9</v>
      </c>
      <c r="Z491" s="3" t="n">
        <f aca="false">IF(T491="","",YEAR(T491))</f>
        <v>2011</v>
      </c>
    </row>
    <row r="492" customFormat="false" ht="13.8" hidden="false" customHeight="false" outlineLevel="0" collapsed="false">
      <c r="A492" s="3" t="s">
        <v>1327</v>
      </c>
      <c r="B492" s="3" t="n">
        <v>6.9</v>
      </c>
      <c r="C492" s="3" t="s">
        <v>1328</v>
      </c>
      <c r="D492" s="3" t="n">
        <v>8</v>
      </c>
      <c r="E492" s="3" t="n">
        <v>8</v>
      </c>
      <c r="F492" s="3"/>
      <c r="G492" s="3" t="n">
        <v>0</v>
      </c>
      <c r="H492" s="3" t="n">
        <v>1562</v>
      </c>
      <c r="I492" s="3" t="s">
        <v>22</v>
      </c>
      <c r="J492" s="3" t="n">
        <v>383</v>
      </c>
      <c r="K492" s="3" t="n">
        <v>0</v>
      </c>
      <c r="L492" s="3" t="n">
        <v>13</v>
      </c>
      <c r="M492" s="3" t="s">
        <v>23</v>
      </c>
      <c r="N492" s="3" t="n">
        <v>50</v>
      </c>
      <c r="O492" s="3" t="n">
        <v>27.73</v>
      </c>
      <c r="P492" s="3" t="n">
        <v>88.155</v>
      </c>
      <c r="Q492" s="3" t="s">
        <v>1329</v>
      </c>
      <c r="R492" s="3" t="s">
        <v>80</v>
      </c>
      <c r="S492" s="3" t="s">
        <v>860</v>
      </c>
      <c r="T492" s="5" t="n">
        <f aca="false">IF(C492="","",DATE(VALUE(MID(C492,7,4)),VALUE(MID(C492,4,2)),VALUE(MID(C492,1,2)))+TIME(VALUE(MID(C492,12,2)),VALUE(MID(C492,15,2)),0))</f>
        <v>40804.5277777778</v>
      </c>
      <c r="U492" s="3" t="str">
        <f aca="false">IFERROR(IF(ISNUMBER(VALUE(TRIM(MID(A492,FIND("-",A492)+1,FIND("km",A492)-FIND("-",A492)-1)))),"Distance + direction + city","Named-region"),"Named-region")</f>
        <v>Distance + direction + city</v>
      </c>
      <c r="V492" s="3" t="str">
        <f aca="false">LOWER(M492)</f>
        <v>mww</v>
      </c>
      <c r="W492" s="3" t="n">
        <f aca="false">COUNTIFS($A$2:$A$1001,A492,$C$2:$C$1001,C492)</f>
        <v>1</v>
      </c>
      <c r="X492" s="3" t="str">
        <f aca="false">IF(W492&gt;1,"Duplicate","Unique")</f>
        <v>Unique</v>
      </c>
      <c r="Y492" s="3" t="str">
        <f aca="false">IF(B492&lt;6.5,"&lt;6.5",IF(B492&lt;7,"6.5–6.9",IF(B492&lt;7.5,"7.0–7.4",IF(B492&lt;8,"7.5–7.9","8.0+"))))</f>
        <v>6.5–6.9</v>
      </c>
      <c r="Z492" s="3" t="n">
        <f aca="false">IF(T492="","",YEAR(T492))</f>
        <v>2011</v>
      </c>
    </row>
    <row r="493" customFormat="false" ht="13.8" hidden="false" customHeight="false" outlineLevel="0" collapsed="false">
      <c r="A493" s="3" t="s">
        <v>1330</v>
      </c>
      <c r="B493" s="3" t="n">
        <v>6.7</v>
      </c>
      <c r="C493" s="3" t="s">
        <v>1331</v>
      </c>
      <c r="D493" s="3" t="n">
        <v>5</v>
      </c>
      <c r="E493" s="3" t="n">
        <v>5</v>
      </c>
      <c r="F493" s="3"/>
      <c r="G493" s="3" t="n">
        <v>0</v>
      </c>
      <c r="H493" s="3" t="n">
        <v>712</v>
      </c>
      <c r="I493" s="3" t="s">
        <v>22</v>
      </c>
      <c r="J493" s="3" t="n">
        <v>667</v>
      </c>
      <c r="K493" s="3" t="n">
        <v>0</v>
      </c>
      <c r="L493" s="3" t="n">
        <v>10.9</v>
      </c>
      <c r="M493" s="3" t="s">
        <v>127</v>
      </c>
      <c r="N493" s="3" t="n">
        <v>30</v>
      </c>
      <c r="O493" s="3" t="n">
        <v>40.273</v>
      </c>
      <c r="P493" s="3" t="n">
        <v>142.779</v>
      </c>
      <c r="Q493" s="3" t="s">
        <v>983</v>
      </c>
      <c r="R493" s="3"/>
      <c r="S493" s="3"/>
      <c r="T493" s="5" t="n">
        <f aca="false">IF(C493="","",DATE(VALUE(MID(C493,7,4)),VALUE(MID(C493,4,2)),VALUE(MID(C493,1,2)))+TIME(VALUE(MID(C493,12,2)),VALUE(MID(C493,15,2)),0))</f>
        <v>40802.8097222222</v>
      </c>
      <c r="U493" s="3" t="str">
        <f aca="false">IFERROR(IF(ISNUMBER(VALUE(TRIM(MID(A493,FIND("-",A493)+1,FIND("km",A493)-FIND("-",A493)-1)))),"Distance + direction + city","Named-region"),"Named-region")</f>
        <v>Distance + direction + city</v>
      </c>
      <c r="V493" s="3" t="str">
        <f aca="false">LOWER(M493)</f>
        <v>mwc</v>
      </c>
      <c r="W493" s="3" t="n">
        <f aca="false">COUNTIFS($A$2:$A$1001,A493,$C$2:$C$1001,C493)</f>
        <v>1</v>
      </c>
      <c r="X493" s="3" t="str">
        <f aca="false">IF(W493&gt;1,"Duplicate","Unique")</f>
        <v>Unique</v>
      </c>
      <c r="Y493" s="3" t="str">
        <f aca="false">IF(B493&lt;6.5,"&lt;6.5",IF(B493&lt;7,"6.5–6.9",IF(B493&lt;7.5,"7.0–7.4",IF(B493&lt;8,"7.5–7.9","8.0+"))))</f>
        <v>6.5–6.9</v>
      </c>
      <c r="Z493" s="3" t="n">
        <f aca="false">IF(T493="","",YEAR(T493))</f>
        <v>2011</v>
      </c>
    </row>
    <row r="494" customFormat="false" ht="13.8" hidden="false" customHeight="false" outlineLevel="0" collapsed="false">
      <c r="A494" s="3" t="s">
        <v>1332</v>
      </c>
      <c r="B494" s="3" t="n">
        <v>6.7</v>
      </c>
      <c r="C494" s="6" t="s">
        <v>1333</v>
      </c>
      <c r="D494" s="3" t="n">
        <v>5</v>
      </c>
      <c r="E494" s="3" t="n">
        <v>6</v>
      </c>
      <c r="F494" s="3"/>
      <c r="G494" s="3" t="n">
        <v>0</v>
      </c>
      <c r="H494" s="3" t="n">
        <v>915</v>
      </c>
      <c r="I494" s="3" t="s">
        <v>22</v>
      </c>
      <c r="J494" s="3" t="n">
        <v>447</v>
      </c>
      <c r="K494" s="3" t="n">
        <v>0</v>
      </c>
      <c r="L494" s="3" t="n">
        <v>15.3</v>
      </c>
      <c r="M494" s="3" t="s">
        <v>23</v>
      </c>
      <c r="N494" s="3" t="n">
        <v>91</v>
      </c>
      <c r="O494" s="3" t="n">
        <v>2.965</v>
      </c>
      <c r="P494" s="3" t="n">
        <v>97.893</v>
      </c>
      <c r="Q494" s="3" t="s">
        <v>1334</v>
      </c>
      <c r="R494" s="3"/>
      <c r="S494" s="3" t="s">
        <v>68</v>
      </c>
      <c r="T494" s="5" t="n">
        <f aca="false">IF(C494="","",DATE(VALUE(MID(C494,7,4)),VALUE(MID(C494,4,2)),VALUE(MID(C494,1,2)))+TIME(VALUE(MID(C494,12,2)),VALUE(MID(C494,15,2)),0))</f>
        <v>40791.7465277778</v>
      </c>
      <c r="U494" s="3" t="str">
        <f aca="false">IFERROR(IF(ISNUMBER(VALUE(TRIM(MID(A494,FIND("-",A494)+1,FIND("km",A494)-FIND("-",A494)-1)))),"Distance + direction + city","Named-region"),"Named-region")</f>
        <v>Distance + direction + city</v>
      </c>
      <c r="V494" s="3" t="str">
        <f aca="false">LOWER(M494)</f>
        <v>mww</v>
      </c>
      <c r="W494" s="3" t="n">
        <f aca="false">COUNTIFS($A$2:$A$1001,A494,$C$2:$C$1001,C494)</f>
        <v>1</v>
      </c>
      <c r="X494" s="3" t="str">
        <f aca="false">IF(W494&gt;1,"Duplicate","Unique")</f>
        <v>Unique</v>
      </c>
      <c r="Y494" s="3" t="str">
        <f aca="false">IF(B494&lt;6.5,"&lt;6.5",IF(B494&lt;7,"6.5–6.9",IF(B494&lt;7.5,"7.0–7.4",IF(B494&lt;8,"7.5–7.9","8.0+"))))</f>
        <v>6.5–6.9</v>
      </c>
      <c r="Z494" s="3" t="n">
        <f aca="false">IF(T494="","",YEAR(T494))</f>
        <v>2011</v>
      </c>
    </row>
    <row r="495" customFormat="false" ht="13.8" hidden="false" customHeight="false" outlineLevel="0" collapsed="false">
      <c r="A495" s="3" t="s">
        <v>1335</v>
      </c>
      <c r="B495" s="3" t="n">
        <v>7</v>
      </c>
      <c r="C495" s="6" t="s">
        <v>1336</v>
      </c>
      <c r="D495" s="3" t="n">
        <v>7</v>
      </c>
      <c r="E495" s="3" t="n">
        <v>5</v>
      </c>
      <c r="F495" s="3"/>
      <c r="G495" s="3" t="n">
        <v>0</v>
      </c>
      <c r="H495" s="3" t="n">
        <v>761</v>
      </c>
      <c r="I495" s="3" t="s">
        <v>22</v>
      </c>
      <c r="J495" s="3" t="n">
        <v>406</v>
      </c>
      <c r="K495" s="3" t="n">
        <v>0</v>
      </c>
      <c r="L495" s="3" t="n">
        <v>15.3</v>
      </c>
      <c r="M495" s="3" t="s">
        <v>23</v>
      </c>
      <c r="N495" s="3" t="n">
        <v>185.1</v>
      </c>
      <c r="O495" s="3" t="n">
        <v>-20.671</v>
      </c>
      <c r="P495" s="3" t="n">
        <v>169.716</v>
      </c>
      <c r="Q495" s="3" t="s">
        <v>177</v>
      </c>
      <c r="R495" s="3"/>
      <c r="S495" s="3"/>
      <c r="T495" s="5" t="n">
        <f aca="false">IF(C495="","",DATE(VALUE(MID(C495,7,4)),VALUE(MID(C495,4,2)),VALUE(MID(C495,1,2)))+TIME(VALUE(MID(C495,12,2)),VALUE(MID(C495,15,2)),0))</f>
        <v>40789.9548611111</v>
      </c>
      <c r="U495" s="3" t="str">
        <f aca="false">IFERROR(IF(ISNUMBER(VALUE(TRIM(MID(A495,FIND("-",A495)+1,FIND("km",A495)-FIND("-",A495)-1)))),"Distance + direction + city","Named-region"),"Named-region")</f>
        <v>Distance + direction + city</v>
      </c>
      <c r="V495" s="3" t="str">
        <f aca="false">LOWER(M495)</f>
        <v>mww</v>
      </c>
      <c r="W495" s="3" t="n">
        <f aca="false">COUNTIFS($A$2:$A$1001,A495,$C$2:$C$1001,C495)</f>
        <v>1</v>
      </c>
      <c r="X495" s="3" t="str">
        <f aca="false">IF(W495&gt;1,"Duplicate","Unique")</f>
        <v>Unique</v>
      </c>
      <c r="Y495" s="3" t="str">
        <f aca="false">IF(B495&lt;6.5,"&lt;6.5",IF(B495&lt;7,"6.5–6.9",IF(B495&lt;7.5,"7.0–7.4",IF(B495&lt;8,"7.5–7.9","8.0+"))))</f>
        <v>7.0–7.4</v>
      </c>
      <c r="Z495" s="3" t="n">
        <f aca="false">IF(T495="","",YEAR(T495))</f>
        <v>2011</v>
      </c>
    </row>
    <row r="496" customFormat="false" ht="13.8" hidden="false" customHeight="false" outlineLevel="0" collapsed="false">
      <c r="A496" s="3" t="s">
        <v>1337</v>
      </c>
      <c r="B496" s="3" t="n">
        <v>7</v>
      </c>
      <c r="C496" s="3" t="s">
        <v>1338</v>
      </c>
      <c r="D496" s="3" t="n">
        <v>6</v>
      </c>
      <c r="E496" s="3" t="n">
        <v>6</v>
      </c>
      <c r="F496" s="3"/>
      <c r="G496" s="3" t="n">
        <v>0</v>
      </c>
      <c r="H496" s="3" t="n">
        <v>913</v>
      </c>
      <c r="I496" s="3" t="s">
        <v>22</v>
      </c>
      <c r="J496" s="3" t="n">
        <v>471</v>
      </c>
      <c r="K496" s="3" t="n">
        <v>0</v>
      </c>
      <c r="L496" s="3" t="n">
        <v>26.9</v>
      </c>
      <c r="M496" s="3" t="s">
        <v>23</v>
      </c>
      <c r="N496" s="3" t="n">
        <v>147</v>
      </c>
      <c r="O496" s="3" t="n">
        <v>-7.641</v>
      </c>
      <c r="P496" s="3" t="n">
        <v>-74.525</v>
      </c>
      <c r="Q496" s="3" t="s">
        <v>1339</v>
      </c>
      <c r="R496" s="3" t="s">
        <v>33</v>
      </c>
      <c r="S496" s="3" t="s">
        <v>199</v>
      </c>
      <c r="T496" s="5" t="n">
        <f aca="false">IF(C496="","",DATE(VALUE(MID(C496,7,4)),VALUE(MID(C496,4,2)),VALUE(MID(C496,1,2)))+TIME(VALUE(MID(C496,12,2)),VALUE(MID(C496,15,2)),0))</f>
        <v>40779.7402777778</v>
      </c>
      <c r="U496" s="3" t="str">
        <f aca="false">IFERROR(IF(ISNUMBER(VALUE(TRIM(MID(A496,FIND("-",A496)+1,FIND("km",A496)-FIND("-",A496)-1)))),"Distance + direction + city","Named-region"),"Named-region")</f>
        <v>Distance + direction + city</v>
      </c>
      <c r="V496" s="3" t="str">
        <f aca="false">LOWER(M496)</f>
        <v>mww</v>
      </c>
      <c r="W496" s="3" t="n">
        <f aca="false">COUNTIFS($A$2:$A$1001,A496,$C$2:$C$1001,C496)</f>
        <v>1</v>
      </c>
      <c r="X496" s="3" t="str">
        <f aca="false">IF(W496&gt;1,"Duplicate","Unique")</f>
        <v>Unique</v>
      </c>
      <c r="Y496" s="3" t="str">
        <f aca="false">IF(B496&lt;6.5,"&lt;6.5",IF(B496&lt;7,"6.5–6.9",IF(B496&lt;7.5,"7.0–7.4",IF(B496&lt;8,"7.5–7.9","8.0+"))))</f>
        <v>7.0–7.4</v>
      </c>
      <c r="Z496" s="3" t="n">
        <f aca="false">IF(T496="","",YEAR(T496))</f>
        <v>2011</v>
      </c>
    </row>
    <row r="497" customFormat="false" ht="13.8" hidden="false" customHeight="false" outlineLevel="0" collapsed="false">
      <c r="A497" s="3" t="s">
        <v>1340</v>
      </c>
      <c r="B497" s="3" t="n">
        <v>7.1</v>
      </c>
      <c r="C497" s="3" t="s">
        <v>1341</v>
      </c>
      <c r="D497" s="3" t="n">
        <v>5</v>
      </c>
      <c r="E497" s="3" t="n">
        <v>6</v>
      </c>
      <c r="F497" s="3"/>
      <c r="G497" s="3" t="n">
        <v>0</v>
      </c>
      <c r="H497" s="3" t="n">
        <v>787</v>
      </c>
      <c r="I497" s="3" t="s">
        <v>22</v>
      </c>
      <c r="J497" s="3" t="n">
        <v>564</v>
      </c>
      <c r="K497" s="3" t="n">
        <v>0</v>
      </c>
      <c r="L497" s="3" t="n">
        <v>12.3</v>
      </c>
      <c r="M497" s="3" t="s">
        <v>23</v>
      </c>
      <c r="N497" s="3" t="n">
        <v>28</v>
      </c>
      <c r="O497" s="3" t="n">
        <v>-18.311</v>
      </c>
      <c r="P497" s="3" t="n">
        <v>168.218</v>
      </c>
      <c r="Q497" s="3" t="s">
        <v>989</v>
      </c>
      <c r="R497" s="3"/>
      <c r="S497" s="3"/>
      <c r="T497" s="5" t="n">
        <f aca="false">IF(C497="","",DATE(VALUE(MID(C497,7,4)),VALUE(MID(C497,4,2)),VALUE(MID(C497,1,2)))+TIME(VALUE(MID(C497,12,2)),VALUE(MID(C497,15,2)),0))</f>
        <v>40775.7631944444</v>
      </c>
      <c r="U497" s="3" t="str">
        <f aca="false">IFERROR(IF(ISNUMBER(VALUE(TRIM(MID(A497,FIND("-",A497)+1,FIND("km",A497)-FIND("-",A497)-1)))),"Distance + direction + city","Named-region"),"Named-region")</f>
        <v>Distance + direction + city</v>
      </c>
      <c r="V497" s="3" t="str">
        <f aca="false">LOWER(M497)</f>
        <v>mww</v>
      </c>
      <c r="W497" s="3" t="n">
        <f aca="false">COUNTIFS($A$2:$A$1001,A497,$C$2:$C$1001,C497)</f>
        <v>1</v>
      </c>
      <c r="X497" s="3" t="str">
        <f aca="false">IF(W497&gt;1,"Duplicate","Unique")</f>
        <v>Unique</v>
      </c>
      <c r="Y497" s="3" t="str">
        <f aca="false">IF(B497&lt;6.5,"&lt;6.5",IF(B497&lt;7,"6.5–6.9",IF(B497&lt;7.5,"7.0–7.4",IF(B497&lt;8,"7.5–7.9","8.0+"))))</f>
        <v>7.0–7.4</v>
      </c>
      <c r="Z497" s="3" t="n">
        <f aca="false">IF(T497="","",YEAR(T497))</f>
        <v>2011</v>
      </c>
    </row>
    <row r="498" customFormat="false" ht="13.8" hidden="false" customHeight="false" outlineLevel="0" collapsed="false">
      <c r="A498" s="3" t="s">
        <v>1342</v>
      </c>
      <c r="B498" s="3" t="n">
        <v>6.5</v>
      </c>
      <c r="C498" s="3" t="s">
        <v>1343</v>
      </c>
      <c r="D498" s="3" t="n">
        <v>0</v>
      </c>
      <c r="E498" s="3" t="n">
        <v>5</v>
      </c>
      <c r="F498" s="3"/>
      <c r="G498" s="3" t="n">
        <v>0</v>
      </c>
      <c r="H498" s="3" t="n">
        <v>650</v>
      </c>
      <c r="I498" s="3" t="s">
        <v>22</v>
      </c>
      <c r="J498" s="3" t="n">
        <v>322</v>
      </c>
      <c r="K498" s="3" t="n">
        <v>0</v>
      </c>
      <c r="L498" s="3" t="n">
        <v>15</v>
      </c>
      <c r="M498" s="3" t="s">
        <v>127</v>
      </c>
      <c r="N498" s="3" t="n">
        <v>35</v>
      </c>
      <c r="O498" s="3" t="n">
        <v>-18.308</v>
      </c>
      <c r="P498" s="3" t="n">
        <v>168.156</v>
      </c>
      <c r="Q498" s="3" t="s">
        <v>989</v>
      </c>
      <c r="R498" s="3"/>
      <c r="S498" s="3"/>
      <c r="T498" s="5" t="n">
        <f aca="false">IF(C498="","",DATE(VALUE(MID(C498,7,4)),VALUE(MID(C498,4,2)),VALUE(MID(C498,1,2)))+TIME(VALUE(MID(C498,12,2)),VALUE(MID(C498,15,2)),0))</f>
        <v>40775.7173611111</v>
      </c>
      <c r="U498" s="3" t="str">
        <f aca="false">IFERROR(IF(ISNUMBER(VALUE(TRIM(MID(A498,FIND("-",A498)+1,FIND("km",A498)-FIND("-",A498)-1)))),"Distance + direction + city","Named-region"),"Named-region")</f>
        <v>Distance + direction + city</v>
      </c>
      <c r="V498" s="3" t="str">
        <f aca="false">LOWER(M498)</f>
        <v>mwc</v>
      </c>
      <c r="W498" s="3" t="n">
        <f aca="false">COUNTIFS($A$2:$A$1001,A498,$C$2:$C$1001,C498)</f>
        <v>1</v>
      </c>
      <c r="X498" s="3" t="str">
        <f aca="false">IF(W498&gt;1,"Duplicate","Unique")</f>
        <v>Unique</v>
      </c>
      <c r="Y498" s="3" t="str">
        <f aca="false">IF(B498&lt;6.5,"&lt;6.5",IF(B498&lt;7,"6.5–6.9",IF(B498&lt;7.5,"7.0–7.4",IF(B498&lt;8,"7.5–7.9","8.0+"))))</f>
        <v>6.5–6.9</v>
      </c>
      <c r="Z498" s="3" t="n">
        <f aca="false">IF(T498="","",YEAR(T498))</f>
        <v>2011</v>
      </c>
    </row>
    <row r="499" customFormat="false" ht="13.8" hidden="false" customHeight="false" outlineLevel="0" collapsed="false">
      <c r="A499" s="3" t="s">
        <v>1344</v>
      </c>
      <c r="B499" s="3" t="n">
        <v>7.2</v>
      </c>
      <c r="C499" s="3" t="s">
        <v>1345</v>
      </c>
      <c r="D499" s="3" t="n">
        <v>8</v>
      </c>
      <c r="E499" s="3" t="n">
        <v>6</v>
      </c>
      <c r="F499" s="3"/>
      <c r="G499" s="3" t="n">
        <v>0</v>
      </c>
      <c r="H499" s="3" t="n">
        <v>813</v>
      </c>
      <c r="I499" s="3" t="s">
        <v>22</v>
      </c>
      <c r="J499" s="3" t="n">
        <v>280</v>
      </c>
      <c r="K499" s="3" t="n">
        <v>0</v>
      </c>
      <c r="L499" s="3" t="n">
        <v>18.4</v>
      </c>
      <c r="M499" s="3" t="s">
        <v>23</v>
      </c>
      <c r="N499" s="3" t="n">
        <v>32</v>
      </c>
      <c r="O499" s="3" t="n">
        <v>-18.365</v>
      </c>
      <c r="P499" s="3" t="n">
        <v>168.143</v>
      </c>
      <c r="Q499" s="3" t="s">
        <v>989</v>
      </c>
      <c r="R499" s="3"/>
      <c r="S499" s="3"/>
      <c r="T499" s="5" t="n">
        <f aca="false">IF(C499="","",DATE(VALUE(MID(C499,7,4)),VALUE(MID(C499,4,2)),VALUE(MID(C499,1,2)))+TIME(VALUE(MID(C499,12,2)),VALUE(MID(C499,15,2)),0))</f>
        <v>40775.7048611111</v>
      </c>
      <c r="U499" s="3" t="str">
        <f aca="false">IFERROR(IF(ISNUMBER(VALUE(TRIM(MID(A499,FIND("-",A499)+1,FIND("km",A499)-FIND("-",A499)-1)))),"Distance + direction + city","Named-region"),"Named-region")</f>
        <v>Distance + direction + city</v>
      </c>
      <c r="V499" s="3" t="str">
        <f aca="false">LOWER(M499)</f>
        <v>mww</v>
      </c>
      <c r="W499" s="3" t="n">
        <f aca="false">COUNTIFS($A$2:$A$1001,A499,$C$2:$C$1001,C499)</f>
        <v>1</v>
      </c>
      <c r="X499" s="3" t="str">
        <f aca="false">IF(W499&gt;1,"Duplicate","Unique")</f>
        <v>Unique</v>
      </c>
      <c r="Y499" s="3" t="str">
        <f aca="false">IF(B499&lt;6.5,"&lt;6.5",IF(B499&lt;7,"6.5–6.9",IF(B499&lt;7.5,"7.0–7.4",IF(B499&lt;8,"7.5–7.9","8.0+"))))</f>
        <v>7.0–7.4</v>
      </c>
      <c r="Z499" s="3" t="n">
        <f aca="false">IF(T499="","",YEAR(T499))</f>
        <v>2011</v>
      </c>
    </row>
    <row r="500" customFormat="false" ht="13.8" hidden="false" customHeight="false" outlineLevel="0" collapsed="false">
      <c r="A500" s="3" t="s">
        <v>1346</v>
      </c>
      <c r="B500" s="3" t="n">
        <v>6.6</v>
      </c>
      <c r="C500" s="3" t="s">
        <v>1347</v>
      </c>
      <c r="D500" s="3" t="n">
        <v>3</v>
      </c>
      <c r="E500" s="3" t="n">
        <v>6</v>
      </c>
      <c r="F500" s="3"/>
      <c r="G500" s="3" t="n">
        <v>0</v>
      </c>
      <c r="H500" s="3" t="n">
        <v>674</v>
      </c>
      <c r="I500" s="3" t="s">
        <v>22</v>
      </c>
      <c r="J500" s="3" t="n">
        <v>229</v>
      </c>
      <c r="K500" s="3" t="n">
        <v>0</v>
      </c>
      <c r="L500" s="3" t="n">
        <v>16.6</v>
      </c>
      <c r="M500" s="3" t="s">
        <v>23</v>
      </c>
      <c r="N500" s="3" t="n">
        <v>10</v>
      </c>
      <c r="O500" s="3" t="n">
        <v>-3.518</v>
      </c>
      <c r="P500" s="3" t="n">
        <v>144.828</v>
      </c>
      <c r="Q500" s="3" t="s">
        <v>663</v>
      </c>
      <c r="R500" s="3"/>
      <c r="S500" s="3" t="s">
        <v>85</v>
      </c>
      <c r="T500" s="5" t="n">
        <f aca="false">IF(C500="","",DATE(VALUE(MID(C500,7,4)),VALUE(MID(C500,4,2)),VALUE(MID(C500,1,2)))+TIME(VALUE(MID(C500,12,2)),VALUE(MID(C500,15,2)),0))</f>
        <v>40755.9847222222</v>
      </c>
      <c r="U500" s="3" t="str">
        <f aca="false">IFERROR(IF(ISNUMBER(VALUE(TRIM(MID(A500,FIND("-",A500)+1,FIND("km",A500)-FIND("-",A500)-1)))),"Distance + direction + city","Named-region"),"Named-region")</f>
        <v>Distance + direction + city</v>
      </c>
      <c r="V500" s="3" t="str">
        <f aca="false">LOWER(M500)</f>
        <v>mww</v>
      </c>
      <c r="W500" s="3" t="n">
        <f aca="false">COUNTIFS($A$2:$A$1001,A500,$C$2:$C$1001,C500)</f>
        <v>1</v>
      </c>
      <c r="X500" s="3" t="str">
        <f aca="false">IF(W500&gt;1,"Duplicate","Unique")</f>
        <v>Unique</v>
      </c>
      <c r="Y500" s="3" t="str">
        <f aca="false">IF(B500&lt;6.5,"&lt;6.5",IF(B500&lt;7,"6.5–6.9",IF(B500&lt;7.5,"7.0–7.4",IF(B500&lt;8,"7.5–7.9","8.0+"))))</f>
        <v>6.5–6.9</v>
      </c>
      <c r="Z500" s="3" t="n">
        <f aca="false">IF(T500="","",YEAR(T500))</f>
        <v>2011</v>
      </c>
    </row>
    <row r="501" customFormat="false" ht="13.8" hidden="false" customHeight="false" outlineLevel="0" collapsed="false">
      <c r="A501" s="3" t="s">
        <v>1348</v>
      </c>
      <c r="B501" s="3" t="n">
        <v>7.6</v>
      </c>
      <c r="C501" s="6" t="s">
        <v>1349</v>
      </c>
      <c r="D501" s="3" t="n">
        <v>3</v>
      </c>
      <c r="E501" s="3" t="n">
        <v>7</v>
      </c>
      <c r="F501" s="3"/>
      <c r="G501" s="3" t="n">
        <v>0</v>
      </c>
      <c r="H501" s="3" t="n">
        <v>893</v>
      </c>
      <c r="I501" s="3" t="s">
        <v>22</v>
      </c>
      <c r="J501" s="3" t="n">
        <v>567</v>
      </c>
      <c r="K501" s="3" t="n">
        <v>0</v>
      </c>
      <c r="L501" s="3" t="n">
        <v>33.5</v>
      </c>
      <c r="M501" s="3" t="s">
        <v>23</v>
      </c>
      <c r="N501" s="3" t="n">
        <v>17</v>
      </c>
      <c r="O501" s="3" t="n">
        <v>-29.539</v>
      </c>
      <c r="P501" s="3" t="n">
        <v>-176.34</v>
      </c>
      <c r="Q501" s="3" t="s">
        <v>99</v>
      </c>
      <c r="R501" s="3"/>
      <c r="S501" s="3"/>
      <c r="T501" s="5" t="n">
        <f aca="false">IF(C501="","",DATE(VALUE(MID(C501,7,4)),VALUE(MID(C501,4,2)),VALUE(MID(C501,1,2)))+TIME(VALUE(MID(C501,12,2)),VALUE(MID(C501,15,2)),0))</f>
        <v>40730.79375</v>
      </c>
      <c r="U501" s="3" t="str">
        <f aca="false">IFERROR(IF(ISNUMBER(VALUE(TRIM(MID(A501,FIND("-",A501)+1,FIND("km",A501)-FIND("-",A501)-1)))),"Distance + direction + city","Named-region"),"Named-region")</f>
        <v>Named-region</v>
      </c>
      <c r="V501" s="3" t="str">
        <f aca="false">LOWER(M501)</f>
        <v>mww</v>
      </c>
      <c r="W501" s="3" t="n">
        <f aca="false">COUNTIFS($A$2:$A$1001,A501,$C$2:$C$1001,C501)</f>
        <v>1</v>
      </c>
      <c r="X501" s="3" t="str">
        <f aca="false">IF(W501&gt;1,"Duplicate","Unique")</f>
        <v>Unique</v>
      </c>
      <c r="Y501" s="3" t="str">
        <f aca="false">IF(B501&lt;6.5,"&lt;6.5",IF(B501&lt;7,"6.5–6.9",IF(B501&lt;7.5,"7.0–7.4",IF(B501&lt;8,"7.5–7.9","8.0+"))))</f>
        <v>7.5–7.9</v>
      </c>
      <c r="Z501" s="3" t="n">
        <f aca="false">IF(T501="","",YEAR(T501))</f>
        <v>2011</v>
      </c>
    </row>
    <row r="502" customFormat="false" ht="13.8" hidden="false" customHeight="false" outlineLevel="0" collapsed="false">
      <c r="A502" s="3" t="s">
        <v>1350</v>
      </c>
      <c r="B502" s="3" t="n">
        <v>6.7</v>
      </c>
      <c r="C502" s="3" t="s">
        <v>1351</v>
      </c>
      <c r="D502" s="3" t="n">
        <v>6</v>
      </c>
      <c r="E502" s="3" t="n">
        <v>6</v>
      </c>
      <c r="F502" s="3"/>
      <c r="G502" s="3" t="n">
        <v>0</v>
      </c>
      <c r="H502" s="3" t="n">
        <v>749</v>
      </c>
      <c r="I502" s="3" t="s">
        <v>22</v>
      </c>
      <c r="J502" s="3" t="n">
        <v>592</v>
      </c>
      <c r="K502" s="3" t="n">
        <v>0</v>
      </c>
      <c r="L502" s="3" t="n">
        <v>24.9</v>
      </c>
      <c r="M502" s="3" t="s">
        <v>23</v>
      </c>
      <c r="N502" s="3" t="n">
        <v>33</v>
      </c>
      <c r="O502" s="3" t="n">
        <v>39.955</v>
      </c>
      <c r="P502" s="3" t="n">
        <v>142.205</v>
      </c>
      <c r="Q502" s="3" t="s">
        <v>983</v>
      </c>
      <c r="R502" s="3" t="s">
        <v>80</v>
      </c>
      <c r="S502" s="3" t="s">
        <v>322</v>
      </c>
      <c r="T502" s="5" t="n">
        <f aca="false">IF(C502="","",DATE(VALUE(MID(C502,7,4)),VALUE(MID(C502,4,2)),VALUE(MID(C502,1,2)))+TIME(VALUE(MID(C502,12,2)),VALUE(MID(C502,15,2)),0))</f>
        <v>40716.9097222222</v>
      </c>
      <c r="U502" s="3" t="str">
        <f aca="false">IFERROR(IF(ISNUMBER(VALUE(TRIM(MID(A502,FIND("-",A502)+1,FIND("km",A502)-FIND("-",A502)-1)))),"Distance + direction + city","Named-region"),"Named-region")</f>
        <v>Distance + direction + city</v>
      </c>
      <c r="V502" s="3" t="str">
        <f aca="false">LOWER(M502)</f>
        <v>mww</v>
      </c>
      <c r="W502" s="3" t="n">
        <f aca="false">COUNTIFS($A$2:$A$1001,A502,$C$2:$C$1001,C502)</f>
        <v>1</v>
      </c>
      <c r="X502" s="3" t="str">
        <f aca="false">IF(W502&gt;1,"Duplicate","Unique")</f>
        <v>Unique</v>
      </c>
      <c r="Y502" s="3" t="str">
        <f aca="false">IF(B502&lt;6.5,"&lt;6.5",IF(B502&lt;7,"6.5–6.9",IF(B502&lt;7.5,"7.0–7.4",IF(B502&lt;8,"7.5–7.9","8.0+"))))</f>
        <v>6.5–6.9</v>
      </c>
      <c r="Z502" s="3" t="n">
        <f aca="false">IF(T502="","",YEAR(T502))</f>
        <v>2011</v>
      </c>
    </row>
    <row r="503" customFormat="false" ht="13.8" hidden="false" customHeight="false" outlineLevel="0" collapsed="false">
      <c r="A503" s="3" t="s">
        <v>1352</v>
      </c>
      <c r="B503" s="3" t="n">
        <v>6.8</v>
      </c>
      <c r="C503" s="6" t="s">
        <v>1353</v>
      </c>
      <c r="D503" s="3" t="n">
        <v>4</v>
      </c>
      <c r="E503" s="3" t="n">
        <v>5</v>
      </c>
      <c r="F503" s="3"/>
      <c r="G503" s="3" t="n">
        <v>0</v>
      </c>
      <c r="H503" s="3" t="n">
        <v>734</v>
      </c>
      <c r="I503" s="3" t="s">
        <v>22</v>
      </c>
      <c r="J503" s="3" t="n">
        <v>519</v>
      </c>
      <c r="K503" s="3" t="n">
        <v>0</v>
      </c>
      <c r="L503" s="3" t="n">
        <v>12.5</v>
      </c>
      <c r="M503" s="3" t="s">
        <v>23</v>
      </c>
      <c r="N503" s="3" t="n">
        <v>11</v>
      </c>
      <c r="O503" s="3" t="n">
        <v>-20.244</v>
      </c>
      <c r="P503" s="3" t="n">
        <v>168.226</v>
      </c>
      <c r="Q503" s="3" t="s">
        <v>1354</v>
      </c>
      <c r="R503" s="3"/>
      <c r="S503" s="3"/>
      <c r="T503" s="5" t="n">
        <f aca="false">IF(C503="","",DATE(VALUE(MID(C503,7,4)),VALUE(MID(C503,4,2)),VALUE(MID(C503,1,2)))+TIME(VALUE(MID(C503,12,2)),VALUE(MID(C503,15,2)),0))</f>
        <v>40673.3715277778</v>
      </c>
      <c r="U503" s="3" t="str">
        <f aca="false">IFERROR(IF(ISNUMBER(VALUE(TRIM(MID(A503,FIND("-",A503)+1,FIND("km",A503)-FIND("-",A503)-1)))),"Distance + direction + city","Named-region"),"Named-region")</f>
        <v>Distance + direction + city</v>
      </c>
      <c r="V503" s="3" t="str">
        <f aca="false">LOWER(M503)</f>
        <v>mww</v>
      </c>
      <c r="W503" s="3" t="n">
        <f aca="false">COUNTIFS($A$2:$A$1001,A503,$C$2:$C$1001,C503)</f>
        <v>1</v>
      </c>
      <c r="X503" s="3" t="str">
        <f aca="false">IF(W503&gt;1,"Duplicate","Unique")</f>
        <v>Unique</v>
      </c>
      <c r="Y503" s="3" t="str">
        <f aca="false">IF(B503&lt;6.5,"&lt;6.5",IF(B503&lt;7,"6.5–6.9",IF(B503&lt;7.5,"7.0–7.4",IF(B503&lt;8,"7.5–7.9","8.0+"))))</f>
        <v>6.5–6.9</v>
      </c>
      <c r="Z503" s="3" t="n">
        <f aca="false">IF(T503="","",YEAR(T503))</f>
        <v>2011</v>
      </c>
    </row>
    <row r="504" customFormat="false" ht="13.8" hidden="false" customHeight="false" outlineLevel="0" collapsed="false">
      <c r="A504" s="3" t="s">
        <v>1355</v>
      </c>
      <c r="B504" s="3" t="n">
        <v>6.8</v>
      </c>
      <c r="C504" s="3" t="s">
        <v>1356</v>
      </c>
      <c r="D504" s="3" t="n">
        <v>5</v>
      </c>
      <c r="E504" s="3" t="n">
        <v>6</v>
      </c>
      <c r="F504" s="3"/>
      <c r="G504" s="3" t="n">
        <v>0</v>
      </c>
      <c r="H504" s="3" t="n">
        <v>719</v>
      </c>
      <c r="I504" s="3" t="s">
        <v>22</v>
      </c>
      <c r="J504" s="3" t="n">
        <v>445</v>
      </c>
      <c r="K504" s="3" t="n">
        <v>0</v>
      </c>
      <c r="L504" s="3" t="n">
        <v>13</v>
      </c>
      <c r="M504" s="3" t="s">
        <v>23</v>
      </c>
      <c r="N504" s="3" t="n">
        <v>79</v>
      </c>
      <c r="O504" s="3" t="n">
        <v>-10.375</v>
      </c>
      <c r="P504" s="3" t="n">
        <v>161.2</v>
      </c>
      <c r="Q504" s="3" t="s">
        <v>581</v>
      </c>
      <c r="R504" s="3"/>
      <c r="S504" s="3" t="s">
        <v>140</v>
      </c>
      <c r="T504" s="5" t="n">
        <f aca="false">IF(C504="","",DATE(VALUE(MID(C504,7,4)),VALUE(MID(C504,4,2)),VALUE(MID(C504,1,2)))+TIME(VALUE(MID(C504,12,2)),VALUE(MID(C504,15,2)),0))</f>
        <v>40656.1777777778</v>
      </c>
      <c r="U504" s="3" t="str">
        <f aca="false">IFERROR(IF(ISNUMBER(VALUE(TRIM(MID(A504,FIND("-",A504)+1,FIND("km",A504)-FIND("-",A504)-1)))),"Distance + direction + city","Named-region"),"Named-region")</f>
        <v>Distance + direction + city</v>
      </c>
      <c r="V504" s="3" t="str">
        <f aca="false">LOWER(M504)</f>
        <v>mww</v>
      </c>
      <c r="W504" s="3" t="n">
        <f aca="false">COUNTIFS($A$2:$A$1001,A504,$C$2:$C$1001,C504)</f>
        <v>1</v>
      </c>
      <c r="X504" s="3" t="str">
        <f aca="false">IF(W504&gt;1,"Duplicate","Unique")</f>
        <v>Unique</v>
      </c>
      <c r="Y504" s="3" t="str">
        <f aca="false">IF(B504&lt;6.5,"&lt;6.5",IF(B504&lt;7,"6.5–6.9",IF(B504&lt;7.5,"7.0–7.4",IF(B504&lt;8,"7.5–7.9","8.0+"))))</f>
        <v>6.5–6.9</v>
      </c>
      <c r="Z504" s="3" t="n">
        <f aca="false">IF(T504="","",YEAR(T504))</f>
        <v>2011</v>
      </c>
    </row>
    <row r="505" customFormat="false" ht="13.8" hidden="false" customHeight="false" outlineLevel="0" collapsed="false">
      <c r="A505" s="3" t="s">
        <v>1357</v>
      </c>
      <c r="B505" s="3" t="n">
        <v>6.6</v>
      </c>
      <c r="C505" s="6" t="s">
        <v>1358</v>
      </c>
      <c r="D505" s="3" t="n">
        <v>7</v>
      </c>
      <c r="E505" s="3" t="n">
        <v>7</v>
      </c>
      <c r="F505" s="3"/>
      <c r="G505" s="3" t="n">
        <v>0</v>
      </c>
      <c r="H505" s="3" t="n">
        <v>822</v>
      </c>
      <c r="I505" s="3" t="s">
        <v>22</v>
      </c>
      <c r="J505" s="3" t="n">
        <v>586</v>
      </c>
      <c r="K505" s="3" t="n">
        <v>0</v>
      </c>
      <c r="L505" s="3" t="n">
        <v>10.1</v>
      </c>
      <c r="M505" s="3" t="s">
        <v>23</v>
      </c>
      <c r="N505" s="3" t="n">
        <v>11</v>
      </c>
      <c r="O505" s="3" t="n">
        <v>37.001</v>
      </c>
      <c r="P505" s="3" t="n">
        <v>140.401</v>
      </c>
      <c r="Q505" s="3" t="s">
        <v>1359</v>
      </c>
      <c r="R505" s="3" t="s">
        <v>80</v>
      </c>
      <c r="S505" s="3" t="s">
        <v>322</v>
      </c>
      <c r="T505" s="5" t="n">
        <f aca="false">IF(C505="","",DATE(VALUE(MID(C505,7,4)),VALUE(MID(C505,4,2)),VALUE(MID(C505,1,2)))+TIME(VALUE(MID(C505,12,2)),VALUE(MID(C505,15,2)),0))</f>
        <v>40644.3444444445</v>
      </c>
      <c r="U505" s="3" t="str">
        <f aca="false">IFERROR(IF(ISNUMBER(VALUE(TRIM(MID(A505,FIND("-",A505)+1,FIND("km",A505)-FIND("-",A505)-1)))),"Distance + direction + city","Named-region"),"Named-region")</f>
        <v>Distance + direction + city</v>
      </c>
      <c r="V505" s="3" t="str">
        <f aca="false">LOWER(M505)</f>
        <v>mww</v>
      </c>
      <c r="W505" s="3" t="n">
        <f aca="false">COUNTIFS($A$2:$A$1001,A505,$C$2:$C$1001,C505)</f>
        <v>1</v>
      </c>
      <c r="X505" s="3" t="str">
        <f aca="false">IF(W505&gt;1,"Duplicate","Unique")</f>
        <v>Unique</v>
      </c>
      <c r="Y505" s="3" t="str">
        <f aca="false">IF(B505&lt;6.5,"&lt;6.5",IF(B505&lt;7,"6.5–6.9",IF(B505&lt;7.5,"7.0–7.4",IF(B505&lt;8,"7.5–7.9","8.0+"))))</f>
        <v>6.5–6.9</v>
      </c>
      <c r="Z505" s="3" t="n">
        <f aca="false">IF(T505="","",YEAR(T505))</f>
        <v>2011</v>
      </c>
    </row>
    <row r="506" customFormat="false" ht="13.8" hidden="false" customHeight="false" outlineLevel="0" collapsed="false">
      <c r="A506" s="3" t="s">
        <v>1360</v>
      </c>
      <c r="B506" s="3" t="n">
        <v>7.1</v>
      </c>
      <c r="C506" s="6" t="s">
        <v>1361</v>
      </c>
      <c r="D506" s="3" t="n">
        <v>8</v>
      </c>
      <c r="E506" s="3" t="n">
        <v>8</v>
      </c>
      <c r="F506" s="3"/>
      <c r="G506" s="3" t="n">
        <v>0</v>
      </c>
      <c r="H506" s="3" t="n">
        <v>1114</v>
      </c>
      <c r="I506" s="3" t="s">
        <v>22</v>
      </c>
      <c r="J506" s="3" t="n">
        <v>446</v>
      </c>
      <c r="K506" s="3" t="n">
        <v>0</v>
      </c>
      <c r="L506" s="3" t="n">
        <v>17.7</v>
      </c>
      <c r="M506" s="3" t="s">
        <v>23</v>
      </c>
      <c r="N506" s="3" t="n">
        <v>42</v>
      </c>
      <c r="O506" s="3" t="n">
        <v>38.276</v>
      </c>
      <c r="P506" s="3" t="n">
        <v>141.588</v>
      </c>
      <c r="Q506" s="3" t="s">
        <v>331</v>
      </c>
      <c r="R506" s="3" t="s">
        <v>80</v>
      </c>
      <c r="S506" s="3" t="s">
        <v>322</v>
      </c>
      <c r="T506" s="5" t="n">
        <f aca="false">IF(C506="","",DATE(VALUE(MID(C506,7,4)),VALUE(MID(C506,4,2)),VALUE(MID(C506,1,2)))+TIME(VALUE(MID(C506,12,2)),VALUE(MID(C506,15,2)),0))</f>
        <v>40640.6055555556</v>
      </c>
      <c r="U506" s="3" t="str">
        <f aca="false">IFERROR(IF(ISNUMBER(VALUE(TRIM(MID(A506,FIND("-",A506)+1,FIND("km",A506)-FIND("-",A506)-1)))),"Distance + direction + city","Named-region"),"Named-region")</f>
        <v>Distance + direction + city</v>
      </c>
      <c r="V506" s="3" t="str">
        <f aca="false">LOWER(M506)</f>
        <v>mww</v>
      </c>
      <c r="W506" s="3" t="n">
        <f aca="false">COUNTIFS($A$2:$A$1001,A506,$C$2:$C$1001,C506)</f>
        <v>1</v>
      </c>
      <c r="X506" s="3" t="str">
        <f aca="false">IF(W506&gt;1,"Duplicate","Unique")</f>
        <v>Unique</v>
      </c>
      <c r="Y506" s="3" t="str">
        <f aca="false">IF(B506&lt;6.5,"&lt;6.5",IF(B506&lt;7,"6.5–6.9",IF(B506&lt;7.5,"7.0–7.4",IF(B506&lt;8,"7.5–7.9","8.0+"))))</f>
        <v>7.0–7.4</v>
      </c>
      <c r="Z506" s="3" t="n">
        <f aca="false">IF(T506="","",YEAR(T506))</f>
        <v>2011</v>
      </c>
    </row>
    <row r="507" customFormat="false" ht="13.8" hidden="false" customHeight="false" outlineLevel="0" collapsed="false">
      <c r="A507" s="3" t="s">
        <v>1362</v>
      </c>
      <c r="B507" s="3" t="n">
        <v>6.6</v>
      </c>
      <c r="C507" s="6" t="s">
        <v>1363</v>
      </c>
      <c r="D507" s="3" t="n">
        <v>7</v>
      </c>
      <c r="E507" s="3" t="n">
        <v>6</v>
      </c>
      <c r="F507" s="3"/>
      <c r="G507" s="3" t="n">
        <v>0</v>
      </c>
      <c r="H507" s="3" t="n">
        <v>897</v>
      </c>
      <c r="I507" s="3" t="s">
        <v>22</v>
      </c>
      <c r="J507" s="3" t="n">
        <v>518</v>
      </c>
      <c r="K507" s="3" t="n">
        <v>0</v>
      </c>
      <c r="L507" s="3" t="n">
        <v>37.2</v>
      </c>
      <c r="M507" s="3" t="s">
        <v>23</v>
      </c>
      <c r="N507" s="3" t="n">
        <v>166.2</v>
      </c>
      <c r="O507" s="3" t="n">
        <v>17.208</v>
      </c>
      <c r="P507" s="3" t="n">
        <v>-94.338</v>
      </c>
      <c r="Q507" s="3" t="s">
        <v>1364</v>
      </c>
      <c r="R507" s="3"/>
      <c r="S507" s="3" t="s">
        <v>165</v>
      </c>
      <c r="T507" s="5" t="n">
        <f aca="false">IF(C507="","",DATE(VALUE(MID(C507,7,4)),VALUE(MID(C507,4,2)),VALUE(MID(C507,1,2)))+TIME(VALUE(MID(C507,12,2)),VALUE(MID(C507,15,2)),0))</f>
        <v>40640.5493055556</v>
      </c>
      <c r="U507" s="3" t="str">
        <f aca="false">IFERROR(IF(ISNUMBER(VALUE(TRIM(MID(A507,FIND("-",A507)+1,FIND("km",A507)-FIND("-",A507)-1)))),"Distance + direction + city","Named-region"),"Named-region")</f>
        <v>Distance + direction + city</v>
      </c>
      <c r="V507" s="3" t="str">
        <f aca="false">LOWER(M507)</f>
        <v>mww</v>
      </c>
      <c r="W507" s="3" t="n">
        <f aca="false">COUNTIFS($A$2:$A$1001,A507,$C$2:$C$1001,C507)</f>
        <v>1</v>
      </c>
      <c r="X507" s="3" t="str">
        <f aca="false">IF(W507&gt;1,"Duplicate","Unique")</f>
        <v>Unique</v>
      </c>
      <c r="Y507" s="3" t="str">
        <f aca="false">IF(B507&lt;6.5,"&lt;6.5",IF(B507&lt;7,"6.5–6.9",IF(B507&lt;7.5,"7.0–7.4",IF(B507&lt;8,"7.5–7.9","8.0+"))))</f>
        <v>6.5–6.9</v>
      </c>
      <c r="Z507" s="3" t="n">
        <f aca="false">IF(T507="","",YEAR(T507))</f>
        <v>2011</v>
      </c>
    </row>
    <row r="508" customFormat="false" ht="13.8" hidden="false" customHeight="false" outlineLevel="0" collapsed="false">
      <c r="A508" s="3" t="s">
        <v>1365</v>
      </c>
      <c r="B508" s="3" t="n">
        <v>6.9</v>
      </c>
      <c r="C508" s="3" t="s">
        <v>1366</v>
      </c>
      <c r="D508" s="3" t="n">
        <v>7</v>
      </c>
      <c r="E508" s="3" t="n">
        <v>9</v>
      </c>
      <c r="F508" s="3"/>
      <c r="G508" s="3" t="n">
        <v>0</v>
      </c>
      <c r="H508" s="3" t="n">
        <v>1154</v>
      </c>
      <c r="I508" s="3" t="s">
        <v>22</v>
      </c>
      <c r="J508" s="3" t="n">
        <v>335</v>
      </c>
      <c r="K508" s="3" t="n">
        <v>0</v>
      </c>
      <c r="L508" s="3" t="n">
        <v>18.2</v>
      </c>
      <c r="M508" s="3" t="s">
        <v>23</v>
      </c>
      <c r="N508" s="3" t="n">
        <v>8</v>
      </c>
      <c r="O508" s="3" t="n">
        <v>20.687</v>
      </c>
      <c r="P508" s="3" t="n">
        <v>99.822</v>
      </c>
      <c r="Q508" s="3" t="s">
        <v>1367</v>
      </c>
      <c r="R508" s="3" t="s">
        <v>80</v>
      </c>
      <c r="S508" s="3" t="s">
        <v>801</v>
      </c>
      <c r="T508" s="5" t="n">
        <f aca="false">IF(C508="","",DATE(VALUE(MID(C508,7,4)),VALUE(MID(C508,4,2)),VALUE(MID(C508,1,2)))+TIME(VALUE(MID(C508,12,2)),VALUE(MID(C508,15,2)),0))</f>
        <v>40626.5798611111</v>
      </c>
      <c r="U508" s="3" t="str">
        <f aca="false">IFERROR(IF(ISNUMBER(VALUE(TRIM(MID(A508,FIND("-",A508)+1,FIND("km",A508)-FIND("-",A508)-1)))),"Distance + direction + city","Named-region"),"Named-region")</f>
        <v>Distance + direction + city</v>
      </c>
      <c r="V508" s="3" t="str">
        <f aca="false">LOWER(M508)</f>
        <v>mww</v>
      </c>
      <c r="W508" s="3" t="n">
        <f aca="false">COUNTIFS($A$2:$A$1001,A508,$C$2:$C$1001,C508)</f>
        <v>1</v>
      </c>
      <c r="X508" s="3" t="str">
        <f aca="false">IF(W508&gt;1,"Duplicate","Unique")</f>
        <v>Unique</v>
      </c>
      <c r="Y508" s="3" t="str">
        <f aca="false">IF(B508&lt;6.5,"&lt;6.5",IF(B508&lt;7,"6.5–6.9",IF(B508&lt;7.5,"7.0–7.4",IF(B508&lt;8,"7.5–7.9","8.0+"))))</f>
        <v>6.5–6.9</v>
      </c>
      <c r="Z508" s="3" t="n">
        <f aca="false">IF(T508="","",YEAR(T508))</f>
        <v>2011</v>
      </c>
    </row>
    <row r="509" customFormat="false" ht="13.8" hidden="false" customHeight="false" outlineLevel="0" collapsed="false">
      <c r="A509" s="3" t="s">
        <v>1368</v>
      </c>
      <c r="B509" s="3" t="n">
        <v>6.6</v>
      </c>
      <c r="C509" s="6" t="s">
        <v>1369</v>
      </c>
      <c r="D509" s="3" t="n">
        <v>6</v>
      </c>
      <c r="E509" s="3" t="n">
        <v>5</v>
      </c>
      <c r="F509" s="3"/>
      <c r="G509" s="3" t="n">
        <v>0</v>
      </c>
      <c r="H509" s="3" t="n">
        <v>673</v>
      </c>
      <c r="I509" s="3" t="s">
        <v>22</v>
      </c>
      <c r="J509" s="3" t="n">
        <v>668</v>
      </c>
      <c r="K509" s="3" t="n">
        <v>0</v>
      </c>
      <c r="L509" s="3" t="n">
        <v>9.5</v>
      </c>
      <c r="M509" s="3" t="s">
        <v>1370</v>
      </c>
      <c r="N509" s="3" t="n">
        <v>25.7</v>
      </c>
      <c r="O509" s="3" t="n">
        <v>39.241</v>
      </c>
      <c r="P509" s="3" t="n">
        <v>142.463</v>
      </c>
      <c r="Q509" s="3" t="s">
        <v>1371</v>
      </c>
      <c r="R509" s="3"/>
      <c r="S509" s="3"/>
      <c r="T509" s="5" t="n">
        <f aca="false">IF(C509="","",DATE(VALUE(MID(C509,7,4)),VALUE(MID(C509,4,2)),VALUE(MID(C509,1,2)))+TIME(VALUE(MID(C509,12,2)),VALUE(MID(C509,15,2)),0))</f>
        <v>40613.4833333333</v>
      </c>
      <c r="U509" s="3" t="str">
        <f aca="false">IFERROR(IF(ISNUMBER(VALUE(TRIM(MID(A509,FIND("-",A509)+1,FIND("km",A509)-FIND("-",A509)-1)))),"Distance + direction + city","Named-region"),"Named-region")</f>
        <v>Distance + direction + city</v>
      </c>
      <c r="V509" s="3" t="str">
        <f aca="false">LOWER(M509)</f>
        <v>ms</v>
      </c>
      <c r="W509" s="3" t="n">
        <f aca="false">COUNTIFS($A$2:$A$1001,A509,$C$2:$C$1001,C509)</f>
        <v>1</v>
      </c>
      <c r="X509" s="3" t="str">
        <f aca="false">IF(W509&gt;1,"Duplicate","Unique")</f>
        <v>Unique</v>
      </c>
      <c r="Y509" s="3" t="str">
        <f aca="false">IF(B509&lt;6.5,"&lt;6.5",IF(B509&lt;7,"6.5–6.9",IF(B509&lt;7.5,"7.0–7.4",IF(B509&lt;8,"7.5–7.9","8.0+"))))</f>
        <v>6.5–6.9</v>
      </c>
      <c r="Z509" s="3" t="n">
        <f aca="false">IF(T509="","",YEAR(T509))</f>
        <v>2011</v>
      </c>
    </row>
    <row r="510" customFormat="false" ht="13.8" hidden="false" customHeight="false" outlineLevel="0" collapsed="false">
      <c r="A510" s="3" t="s">
        <v>1372</v>
      </c>
      <c r="B510" s="3" t="n">
        <v>6.5</v>
      </c>
      <c r="C510" s="6" t="s">
        <v>1373</v>
      </c>
      <c r="D510" s="3" t="n">
        <v>0</v>
      </c>
      <c r="E510" s="3" t="n">
        <v>4</v>
      </c>
      <c r="F510" s="3"/>
      <c r="G510" s="3" t="n">
        <v>0</v>
      </c>
      <c r="H510" s="3" t="n">
        <v>650</v>
      </c>
      <c r="I510" s="3" t="s">
        <v>22</v>
      </c>
      <c r="J510" s="3" t="n">
        <v>369</v>
      </c>
      <c r="K510" s="3" t="n">
        <v>0</v>
      </c>
      <c r="L510" s="3" t="n">
        <v>18.7</v>
      </c>
      <c r="M510" s="3" t="s">
        <v>1374</v>
      </c>
      <c r="N510" s="3" t="n">
        <v>6.8</v>
      </c>
      <c r="O510" s="3" t="n">
        <v>36.166</v>
      </c>
      <c r="P510" s="3" t="n">
        <v>141.562</v>
      </c>
      <c r="Q510" s="3" t="s">
        <v>1375</v>
      </c>
      <c r="R510" s="3"/>
      <c r="S510" s="3"/>
      <c r="T510" s="5" t="n">
        <f aca="false">IF(C510="","",DATE(VALUE(MID(C510,7,4)),VALUE(MID(C510,4,2)),VALUE(MID(C510,1,2)))+TIME(VALUE(MID(C510,12,2)),VALUE(MID(C510,15,2)),0))</f>
        <v>40613.3465277778</v>
      </c>
      <c r="U510" s="3" t="str">
        <f aca="false">IFERROR(IF(ISNUMBER(VALUE(TRIM(MID(A510,FIND("-",A510)+1,FIND("km",A510)-FIND("-",A510)-1)))),"Distance + direction + city","Named-region"),"Named-region")</f>
        <v>Distance + direction + city</v>
      </c>
      <c r="V510" s="3" t="str">
        <f aca="false">LOWER(M510)</f>
        <v>mb</v>
      </c>
      <c r="W510" s="3" t="n">
        <f aca="false">COUNTIFS($A$2:$A$1001,A510,$C$2:$C$1001,C510)</f>
        <v>1</v>
      </c>
      <c r="X510" s="3" t="str">
        <f aca="false">IF(W510&gt;1,"Duplicate","Unique")</f>
        <v>Unique</v>
      </c>
      <c r="Y510" s="3" t="str">
        <f aca="false">IF(B510&lt;6.5,"&lt;6.5",IF(B510&lt;7,"6.5–6.9",IF(B510&lt;7.5,"7.0–7.4",IF(B510&lt;8,"7.5–7.9","8.0+"))))</f>
        <v>6.5–6.9</v>
      </c>
      <c r="Z510" s="3" t="n">
        <f aca="false">IF(T510="","",YEAR(T510))</f>
        <v>2011</v>
      </c>
    </row>
    <row r="511" customFormat="false" ht="13.8" hidden="false" customHeight="false" outlineLevel="0" collapsed="false">
      <c r="A511" s="3" t="s">
        <v>1376</v>
      </c>
      <c r="B511" s="3" t="n">
        <v>7.7</v>
      </c>
      <c r="C511" s="6" t="s">
        <v>1377</v>
      </c>
      <c r="D511" s="3" t="n">
        <v>7</v>
      </c>
      <c r="E511" s="3" t="n">
        <v>4</v>
      </c>
      <c r="F511" s="3"/>
      <c r="G511" s="3" t="n">
        <v>0</v>
      </c>
      <c r="H511" s="3" t="n">
        <v>931</v>
      </c>
      <c r="I511" s="3" t="s">
        <v>22</v>
      </c>
      <c r="J511" s="3" t="n">
        <v>507</v>
      </c>
      <c r="K511" s="3" t="n">
        <v>0</v>
      </c>
      <c r="L511" s="3" t="n">
        <v>10.8</v>
      </c>
      <c r="M511" s="3" t="s">
        <v>127</v>
      </c>
      <c r="N511" s="3" t="n">
        <v>18.6</v>
      </c>
      <c r="O511" s="3" t="n">
        <v>38.058</v>
      </c>
      <c r="P511" s="3" t="n">
        <v>144.59</v>
      </c>
      <c r="Q511" s="3" t="s">
        <v>1378</v>
      </c>
      <c r="R511" s="3"/>
      <c r="S511" s="3"/>
      <c r="T511" s="5" t="n">
        <f aca="false">IF(C511="","",DATE(VALUE(MID(C511,7,4)),VALUE(MID(C511,4,2)),VALUE(MID(C511,1,2)))+TIME(VALUE(MID(C511,12,2)),VALUE(MID(C511,15,2)),0))</f>
        <v>40613.2673611111</v>
      </c>
      <c r="U511" s="3" t="str">
        <f aca="false">IFERROR(IF(ISNUMBER(VALUE(TRIM(MID(A511,FIND("-",A511)+1,FIND("km",A511)-FIND("-",A511)-1)))),"Distance + direction + city","Named-region"),"Named-region")</f>
        <v>Distance + direction + city</v>
      </c>
      <c r="V511" s="3" t="str">
        <f aca="false">LOWER(M511)</f>
        <v>mwc</v>
      </c>
      <c r="W511" s="3" t="n">
        <f aca="false">COUNTIFS($A$2:$A$1001,A511,$C$2:$C$1001,C511)</f>
        <v>1</v>
      </c>
      <c r="X511" s="3" t="str">
        <f aca="false">IF(W511&gt;1,"Duplicate","Unique")</f>
        <v>Unique</v>
      </c>
      <c r="Y511" s="3" t="str">
        <f aca="false">IF(B511&lt;6.5,"&lt;6.5",IF(B511&lt;7,"6.5–6.9",IF(B511&lt;7.5,"7.0–7.4",IF(B511&lt;8,"7.5–7.9","8.0+"))))</f>
        <v>7.5–7.9</v>
      </c>
      <c r="Z511" s="3" t="n">
        <f aca="false">IF(T511="","",YEAR(T511))</f>
        <v>2011</v>
      </c>
    </row>
    <row r="512" customFormat="false" ht="13.8" hidden="false" customHeight="false" outlineLevel="0" collapsed="false">
      <c r="A512" s="3" t="s">
        <v>1379</v>
      </c>
      <c r="B512" s="3" t="n">
        <v>7.9</v>
      </c>
      <c r="C512" s="6" t="s">
        <v>1380</v>
      </c>
      <c r="D512" s="3" t="n">
        <v>8</v>
      </c>
      <c r="E512" s="3" t="n">
        <v>7</v>
      </c>
      <c r="F512" s="3"/>
      <c r="G512" s="3" t="n">
        <v>0</v>
      </c>
      <c r="H512" s="3" t="n">
        <v>1140</v>
      </c>
      <c r="I512" s="3" t="s">
        <v>22</v>
      </c>
      <c r="J512" s="3" t="n">
        <v>163</v>
      </c>
      <c r="K512" s="3" t="n">
        <v>0</v>
      </c>
      <c r="L512" s="3" t="n">
        <v>48.4</v>
      </c>
      <c r="M512" s="3" t="s">
        <v>127</v>
      </c>
      <c r="N512" s="3" t="n">
        <v>42.6</v>
      </c>
      <c r="O512" s="3" t="n">
        <v>36.281</v>
      </c>
      <c r="P512" s="3" t="n">
        <v>141.111</v>
      </c>
      <c r="Q512" s="3" t="s">
        <v>1381</v>
      </c>
      <c r="R512" s="3"/>
      <c r="S512" s="3"/>
      <c r="T512" s="5" t="n">
        <f aca="false">IF(C512="","",DATE(VALUE(MID(C512,7,4)),VALUE(MID(C512,4,2)),VALUE(MID(C512,1,2)))+TIME(VALUE(MID(C512,12,2)),VALUE(MID(C512,15,2)),0))</f>
        <v>40613.2604166667</v>
      </c>
      <c r="U512" s="3" t="str">
        <f aca="false">IFERROR(IF(ISNUMBER(VALUE(TRIM(MID(A512,FIND("-",A512)+1,FIND("km",A512)-FIND("-",A512)-1)))),"Distance + direction + city","Named-region"),"Named-region")</f>
        <v>Distance + direction + city</v>
      </c>
      <c r="V512" s="3" t="str">
        <f aca="false">LOWER(M512)</f>
        <v>mwc</v>
      </c>
      <c r="W512" s="3" t="n">
        <f aca="false">COUNTIFS($A$2:$A$1001,A512,$C$2:$C$1001,C512)</f>
        <v>1</v>
      </c>
      <c r="X512" s="3" t="str">
        <f aca="false">IF(W512&gt;1,"Duplicate","Unique")</f>
        <v>Unique</v>
      </c>
      <c r="Y512" s="3" t="str">
        <f aca="false">IF(B512&lt;6.5,"&lt;6.5",IF(B512&lt;7,"6.5–6.9",IF(B512&lt;7.5,"7.0–7.4",IF(B512&lt;8,"7.5–7.9","8.0+"))))</f>
        <v>7.5–7.9</v>
      </c>
      <c r="Z512" s="3" t="n">
        <f aca="false">IF(T512="","",YEAR(T512))</f>
        <v>2011</v>
      </c>
    </row>
    <row r="513" customFormat="false" ht="13.8" hidden="false" customHeight="false" outlineLevel="0" collapsed="false">
      <c r="A513" s="3" t="s">
        <v>1382</v>
      </c>
      <c r="B513" s="3" t="n">
        <v>9.1</v>
      </c>
      <c r="C513" s="6" t="s">
        <v>1383</v>
      </c>
      <c r="D513" s="3" t="n">
        <v>9</v>
      </c>
      <c r="E513" s="3" t="n">
        <v>8</v>
      </c>
      <c r="F513" s="3"/>
      <c r="G513" s="3" t="n">
        <v>0</v>
      </c>
      <c r="H513" s="3" t="n">
        <v>2184</v>
      </c>
      <c r="I513" s="3" t="s">
        <v>1293</v>
      </c>
      <c r="J513" s="3" t="n">
        <v>541</v>
      </c>
      <c r="K513" s="3" t="n">
        <v>0</v>
      </c>
      <c r="L513" s="3" t="n">
        <v>9.5</v>
      </c>
      <c r="M513" s="3" t="s">
        <v>23</v>
      </c>
      <c r="N513" s="3" t="n">
        <v>29</v>
      </c>
      <c r="O513" s="3" t="n">
        <v>38.297</v>
      </c>
      <c r="P513" s="3" t="n">
        <v>142.373</v>
      </c>
      <c r="Q513" s="3" t="s">
        <v>1384</v>
      </c>
      <c r="R513" s="3"/>
      <c r="S513" s="3"/>
      <c r="T513" s="5" t="n">
        <f aca="false">IF(C513="","",DATE(VALUE(MID(C513,7,4)),VALUE(MID(C513,4,2)),VALUE(MID(C513,1,2)))+TIME(VALUE(MID(C513,12,2)),VALUE(MID(C513,15,2)),0))</f>
        <v>40613.2402777778</v>
      </c>
      <c r="U513" s="3" t="str">
        <f aca="false">IFERROR(IF(ISNUMBER(VALUE(TRIM(MID(A513,FIND("-",A513)+1,FIND("km",A513)-FIND("-",A513)-1)))),"Distance + direction + city","Named-region"),"Named-region")</f>
        <v>Named-region</v>
      </c>
      <c r="V513" s="3" t="str">
        <f aca="false">LOWER(M513)</f>
        <v>mww</v>
      </c>
      <c r="W513" s="3" t="n">
        <f aca="false">COUNTIFS($A$2:$A$1001,A513,$C$2:$C$1001,C513)</f>
        <v>1</v>
      </c>
      <c r="X513" s="3" t="str">
        <f aca="false">IF(W513&gt;1,"Duplicate","Unique")</f>
        <v>Unique</v>
      </c>
      <c r="Y513" s="3" t="str">
        <f aca="false">IF(B513&lt;6.5,"&lt;6.5",IF(B513&lt;7,"6.5–6.9",IF(B513&lt;7.5,"7.0–7.4",IF(B513&lt;8,"7.5–7.9","8.0+"))))</f>
        <v>8.0+</v>
      </c>
      <c r="Z513" s="3" t="n">
        <f aca="false">IF(T513="","",YEAR(T513))</f>
        <v>2011</v>
      </c>
    </row>
    <row r="514" customFormat="false" ht="13.8" hidden="false" customHeight="false" outlineLevel="0" collapsed="false">
      <c r="A514" s="3" t="s">
        <v>1385</v>
      </c>
      <c r="B514" s="3" t="n">
        <v>7.3</v>
      </c>
      <c r="C514" s="6" t="s">
        <v>1386</v>
      </c>
      <c r="D514" s="3" t="n">
        <v>5</v>
      </c>
      <c r="E514" s="3" t="n">
        <v>5</v>
      </c>
      <c r="F514" s="3"/>
      <c r="G514" s="3" t="n">
        <v>0</v>
      </c>
      <c r="H514" s="3" t="n">
        <v>972</v>
      </c>
      <c r="I514" s="3" t="s">
        <v>22</v>
      </c>
      <c r="J514" s="3" t="n">
        <v>550</v>
      </c>
      <c r="K514" s="3" t="n">
        <v>0</v>
      </c>
      <c r="L514" s="3" t="n">
        <v>17.4</v>
      </c>
      <c r="M514" s="3" t="s">
        <v>23</v>
      </c>
      <c r="N514" s="3" t="n">
        <v>32</v>
      </c>
      <c r="O514" s="3" t="n">
        <v>38.435</v>
      </c>
      <c r="P514" s="3" t="n">
        <v>142.842</v>
      </c>
      <c r="Q514" s="3" t="s">
        <v>953</v>
      </c>
      <c r="R514" s="3"/>
      <c r="S514" s="3"/>
      <c r="T514" s="5" t="n">
        <f aca="false">IF(C514="","",DATE(VALUE(MID(C514,7,4)),VALUE(MID(C514,4,2)),VALUE(MID(C514,1,2)))+TIME(VALUE(MID(C514,12,2)),VALUE(MID(C514,15,2)),0))</f>
        <v>40611.1145833333</v>
      </c>
      <c r="U514" s="3" t="str">
        <f aca="false">IFERROR(IF(ISNUMBER(VALUE(TRIM(MID(A514,FIND("-",A514)+1,FIND("km",A514)-FIND("-",A514)-1)))),"Distance + direction + city","Named-region"),"Named-region")</f>
        <v>Distance + direction + city</v>
      </c>
      <c r="V514" s="3" t="str">
        <f aca="false">LOWER(M514)</f>
        <v>mww</v>
      </c>
      <c r="W514" s="3" t="n">
        <f aca="false">COUNTIFS($A$2:$A$1001,A514,$C$2:$C$1001,C514)</f>
        <v>1</v>
      </c>
      <c r="X514" s="3" t="str">
        <f aca="false">IF(W514&gt;1,"Duplicate","Unique")</f>
        <v>Unique</v>
      </c>
      <c r="Y514" s="3" t="str">
        <f aca="false">IF(B514&lt;6.5,"&lt;6.5",IF(B514&lt;7,"6.5–6.9",IF(B514&lt;7.5,"7.0–7.4",IF(B514&lt;8,"7.5–7.9","8.0+"))))</f>
        <v>7.0–7.4</v>
      </c>
      <c r="Z514" s="3" t="n">
        <f aca="false">IF(T514="","",YEAR(T514))</f>
        <v>2011</v>
      </c>
    </row>
    <row r="515" customFormat="false" ht="13.8" hidden="false" customHeight="false" outlineLevel="0" collapsed="false">
      <c r="A515" s="3" t="s">
        <v>1387</v>
      </c>
      <c r="B515" s="3" t="n">
        <v>6.7</v>
      </c>
      <c r="C515" s="3" t="s">
        <v>1388</v>
      </c>
      <c r="D515" s="3" t="n">
        <v>5</v>
      </c>
      <c r="E515" s="3" t="n">
        <v>6</v>
      </c>
      <c r="F515" s="3"/>
      <c r="G515" s="3" t="n">
        <v>0</v>
      </c>
      <c r="H515" s="3" t="n">
        <v>731</v>
      </c>
      <c r="I515" s="3" t="s">
        <v>22</v>
      </c>
      <c r="J515" s="3" t="n">
        <v>358</v>
      </c>
      <c r="K515" s="3" t="n">
        <v>0</v>
      </c>
      <c r="L515" s="3" t="n">
        <v>33.9</v>
      </c>
      <c r="M515" s="3" t="s">
        <v>23</v>
      </c>
      <c r="N515" s="3" t="n">
        <v>21</v>
      </c>
      <c r="O515" s="3" t="n">
        <v>-35.38</v>
      </c>
      <c r="P515" s="3" t="n">
        <v>-72.834</v>
      </c>
      <c r="Q515" s="3" t="s">
        <v>455</v>
      </c>
      <c r="R515" s="3"/>
      <c r="S515" s="3"/>
      <c r="T515" s="5" t="n">
        <f aca="false">IF(C515="","",DATE(VALUE(MID(C515,7,4)),VALUE(MID(C515,4,2)),VALUE(MID(C515,1,2)))+TIME(VALUE(MID(C515,12,2)),VALUE(MID(C515,15,2)),0))</f>
        <v>40588.1527777778</v>
      </c>
      <c r="U515" s="3" t="str">
        <f aca="false">IFERROR(IF(ISNUMBER(VALUE(TRIM(MID(A515,FIND("-",A515)+1,FIND("km",A515)-FIND("-",A515)-1)))),"Distance + direction + city","Named-region"),"Named-region")</f>
        <v>Distance + direction + city</v>
      </c>
      <c r="V515" s="3" t="str">
        <f aca="false">LOWER(M515)</f>
        <v>mww</v>
      </c>
      <c r="W515" s="3" t="n">
        <f aca="false">COUNTIFS($A$2:$A$1001,A515,$C$2:$C$1001,C515)</f>
        <v>1</v>
      </c>
      <c r="X515" s="3" t="str">
        <f aca="false">IF(W515&gt;1,"Duplicate","Unique")</f>
        <v>Unique</v>
      </c>
      <c r="Y515" s="3" t="str">
        <f aca="false">IF(B515&lt;6.5,"&lt;6.5",IF(B515&lt;7,"6.5–6.9",IF(B515&lt;7.5,"7.0–7.4",IF(B515&lt;8,"7.5–7.9","8.0+"))))</f>
        <v>6.5–6.9</v>
      </c>
      <c r="Z515" s="3" t="n">
        <f aca="false">IF(T515="","",YEAR(T515))</f>
        <v>2011</v>
      </c>
    </row>
    <row r="516" customFormat="false" ht="13.8" hidden="false" customHeight="false" outlineLevel="0" collapsed="false">
      <c r="A516" s="3" t="s">
        <v>1389</v>
      </c>
      <c r="B516" s="3" t="n">
        <v>6.9</v>
      </c>
      <c r="C516" s="6" t="s">
        <v>1390</v>
      </c>
      <c r="D516" s="3" t="n">
        <v>7</v>
      </c>
      <c r="E516" s="3" t="n">
        <v>7</v>
      </c>
      <c r="F516" s="3"/>
      <c r="G516" s="3" t="n">
        <v>0</v>
      </c>
      <c r="H516" s="3" t="n">
        <v>988</v>
      </c>
      <c r="I516" s="3" t="s">
        <v>22</v>
      </c>
      <c r="J516" s="3" t="n">
        <v>382</v>
      </c>
      <c r="K516" s="3" t="n">
        <v>0</v>
      </c>
      <c r="L516" s="3" t="n">
        <v>34.7</v>
      </c>
      <c r="M516" s="3" t="s">
        <v>23</v>
      </c>
      <c r="N516" s="3" t="n">
        <v>26</v>
      </c>
      <c r="O516" s="3" t="n">
        <v>-36.422</v>
      </c>
      <c r="P516" s="3" t="n">
        <v>-72.96</v>
      </c>
      <c r="Q516" s="3" t="s">
        <v>1391</v>
      </c>
      <c r="R516" s="3" t="s">
        <v>33</v>
      </c>
      <c r="S516" s="3" t="s">
        <v>373</v>
      </c>
      <c r="T516" s="5" t="n">
        <f aca="false">IF(C516="","",DATE(VALUE(MID(C516,7,4)),VALUE(MID(C516,4,2)),VALUE(MID(C516,1,2)))+TIME(VALUE(MID(C516,12,2)),VALUE(MID(C516,15,2)),0))</f>
        <v>40585.8368055556</v>
      </c>
      <c r="U516" s="3" t="str">
        <f aca="false">IFERROR(IF(ISNUMBER(VALUE(TRIM(MID(A516,FIND("-",A516)+1,FIND("km",A516)-FIND("-",A516)-1)))),"Distance + direction + city","Named-region"),"Named-region")</f>
        <v>Distance + direction + city</v>
      </c>
      <c r="V516" s="3" t="str">
        <f aca="false">LOWER(M516)</f>
        <v>mww</v>
      </c>
      <c r="W516" s="3" t="n">
        <f aca="false">COUNTIFS($A$2:$A$1001,A516,$C$2:$C$1001,C516)</f>
        <v>1</v>
      </c>
      <c r="X516" s="3" t="str">
        <f aca="false">IF(W516&gt;1,"Duplicate","Unique")</f>
        <v>Unique</v>
      </c>
      <c r="Y516" s="3" t="str">
        <f aca="false">IF(B516&lt;6.5,"&lt;6.5",IF(B516&lt;7,"6.5–6.9",IF(B516&lt;7.5,"7.0–7.4",IF(B516&lt;8,"7.5–7.9","8.0+"))))</f>
        <v>6.5–6.9</v>
      </c>
      <c r="Z516" s="3" t="n">
        <f aca="false">IF(T516="","",YEAR(T516))</f>
        <v>2011</v>
      </c>
    </row>
    <row r="517" customFormat="false" ht="13.8" hidden="false" customHeight="false" outlineLevel="0" collapsed="false">
      <c r="A517" s="3" t="s">
        <v>1392</v>
      </c>
      <c r="B517" s="3" t="n">
        <v>7.2</v>
      </c>
      <c r="C517" s="3" t="s">
        <v>1393</v>
      </c>
      <c r="D517" s="3" t="n">
        <v>7</v>
      </c>
      <c r="E517" s="3" t="n">
        <v>7</v>
      </c>
      <c r="F517" s="3"/>
      <c r="G517" s="3" t="n">
        <v>0</v>
      </c>
      <c r="H517" s="3" t="n">
        <v>1449</v>
      </c>
      <c r="I517" s="3" t="s">
        <v>22</v>
      </c>
      <c r="J517" s="3" t="n">
        <v>372</v>
      </c>
      <c r="K517" s="3" t="n">
        <v>0</v>
      </c>
      <c r="L517" s="3" t="n">
        <v>25.3</v>
      </c>
      <c r="M517" s="3" t="s">
        <v>23</v>
      </c>
      <c r="N517" s="3" t="n">
        <v>68</v>
      </c>
      <c r="O517" s="3" t="n">
        <v>28.777</v>
      </c>
      <c r="P517" s="3" t="n">
        <v>63.951</v>
      </c>
      <c r="Q517" s="3" t="s">
        <v>1394</v>
      </c>
      <c r="R517" s="3" t="s">
        <v>80</v>
      </c>
      <c r="S517" s="3" t="s">
        <v>1134</v>
      </c>
      <c r="T517" s="5" t="n">
        <f aca="false">IF(C517="","",DATE(VALUE(MID(C517,7,4)),VALUE(MID(C517,4,2)),VALUE(MID(C517,1,2)))+TIME(VALUE(MID(C517,12,2)),VALUE(MID(C517,15,2)),0))</f>
        <v>40561.8493055556</v>
      </c>
      <c r="U517" s="3" t="str">
        <f aca="false">IFERROR(IF(ISNUMBER(VALUE(TRIM(MID(A517,FIND("-",A517)+1,FIND("km",A517)-FIND("-",A517)-1)))),"Distance + direction + city","Named-region"),"Named-region")</f>
        <v>Distance + direction + city</v>
      </c>
      <c r="V517" s="3" t="str">
        <f aca="false">LOWER(M517)</f>
        <v>mww</v>
      </c>
      <c r="W517" s="3" t="n">
        <f aca="false">COUNTIFS($A$2:$A$1001,A517,$C$2:$C$1001,C517)</f>
        <v>1</v>
      </c>
      <c r="X517" s="3" t="str">
        <f aca="false">IF(W517&gt;1,"Duplicate","Unique")</f>
        <v>Unique</v>
      </c>
      <c r="Y517" s="3" t="str">
        <f aca="false">IF(B517&lt;6.5,"&lt;6.5",IF(B517&lt;7,"6.5–6.9",IF(B517&lt;7.5,"7.0–7.4",IF(B517&lt;8,"7.5–7.9","8.0+"))))</f>
        <v>7.0–7.4</v>
      </c>
      <c r="Z517" s="3" t="n">
        <f aca="false">IF(T517="","",YEAR(T517))</f>
        <v>2011</v>
      </c>
    </row>
    <row r="518" customFormat="false" ht="13.8" hidden="false" customHeight="false" outlineLevel="0" collapsed="false">
      <c r="A518" s="3" t="s">
        <v>1395</v>
      </c>
      <c r="B518" s="3" t="n">
        <v>7</v>
      </c>
      <c r="C518" s="3" t="s">
        <v>1396</v>
      </c>
      <c r="D518" s="3" t="n">
        <v>2</v>
      </c>
      <c r="E518" s="3" t="n">
        <v>5</v>
      </c>
      <c r="F518" s="3"/>
      <c r="G518" s="3" t="n">
        <v>0</v>
      </c>
      <c r="H518" s="3" t="n">
        <v>755</v>
      </c>
      <c r="I518" s="3" t="s">
        <v>22</v>
      </c>
      <c r="J518" s="3" t="n">
        <v>578</v>
      </c>
      <c r="K518" s="3" t="n">
        <v>0</v>
      </c>
      <c r="L518" s="3" t="n">
        <v>13.3</v>
      </c>
      <c r="M518" s="3" t="s">
        <v>23</v>
      </c>
      <c r="N518" s="3" t="n">
        <v>9</v>
      </c>
      <c r="O518" s="3" t="n">
        <v>-20.628</v>
      </c>
      <c r="P518" s="3" t="n">
        <v>168.471</v>
      </c>
      <c r="Q518" s="3" t="s">
        <v>211</v>
      </c>
      <c r="R518" s="3"/>
      <c r="S518" s="3"/>
      <c r="T518" s="5" t="n">
        <f aca="false">IF(C518="","",DATE(VALUE(MID(C518,7,4)),VALUE(MID(C518,4,2)),VALUE(MID(C518,1,2)))+TIME(VALUE(MID(C518,12,2)),VALUE(MID(C518,15,2)),0))</f>
        <v>40556.6777777778</v>
      </c>
      <c r="U518" s="3" t="str">
        <f aca="false">IFERROR(IF(ISNUMBER(VALUE(TRIM(MID(A518,FIND("-",A518)+1,FIND("km",A518)-FIND("-",A518)-1)))),"Distance + direction + city","Named-region"),"Named-region")</f>
        <v>Distance + direction + city</v>
      </c>
      <c r="V518" s="3" t="str">
        <f aca="false">LOWER(M518)</f>
        <v>mww</v>
      </c>
      <c r="W518" s="3" t="n">
        <f aca="false">COUNTIFS($A$2:$A$1001,A518,$C$2:$C$1001,C518)</f>
        <v>1</v>
      </c>
      <c r="X518" s="3" t="str">
        <f aca="false">IF(W518&gt;1,"Duplicate","Unique")</f>
        <v>Unique</v>
      </c>
      <c r="Y518" s="3" t="str">
        <f aca="false">IF(B518&lt;6.5,"&lt;6.5",IF(B518&lt;7,"6.5–6.9",IF(B518&lt;7.5,"7.0–7.4",IF(B518&lt;8,"7.5–7.9","8.0+"))))</f>
        <v>7.0–7.4</v>
      </c>
      <c r="Z518" s="3" t="n">
        <f aca="false">IF(T518="","",YEAR(T518))</f>
        <v>2011</v>
      </c>
    </row>
    <row r="519" customFormat="false" ht="13.8" hidden="false" customHeight="false" outlineLevel="0" collapsed="false">
      <c r="A519" s="3" t="s">
        <v>1397</v>
      </c>
      <c r="B519" s="3" t="n">
        <v>7.2</v>
      </c>
      <c r="C519" s="6" t="s">
        <v>1398</v>
      </c>
      <c r="D519" s="3" t="n">
        <v>8</v>
      </c>
      <c r="E519" s="3" t="n">
        <v>7</v>
      </c>
      <c r="F519" s="3"/>
      <c r="G519" s="3" t="n">
        <v>0</v>
      </c>
      <c r="H519" s="3" t="n">
        <v>1054</v>
      </c>
      <c r="I519" s="3" t="s">
        <v>22</v>
      </c>
      <c r="J519" s="3" t="n">
        <v>397</v>
      </c>
      <c r="K519" s="3" t="n">
        <v>0</v>
      </c>
      <c r="L519" s="3" t="n">
        <v>30.1</v>
      </c>
      <c r="M519" s="3" t="s">
        <v>23</v>
      </c>
      <c r="N519" s="3" t="n">
        <v>24</v>
      </c>
      <c r="O519" s="3" t="n">
        <v>-38.355</v>
      </c>
      <c r="P519" s="3" t="n">
        <v>-73.326</v>
      </c>
      <c r="Q519" s="3" t="s">
        <v>1399</v>
      </c>
      <c r="R519" s="3" t="s">
        <v>33</v>
      </c>
      <c r="S519" s="3" t="s">
        <v>373</v>
      </c>
      <c r="T519" s="5" t="n">
        <f aca="false">IF(C519="","",DATE(VALUE(MID(C519,7,4)),VALUE(MID(C519,4,2)),VALUE(MID(C519,1,2)))+TIME(VALUE(MID(C519,12,2)),VALUE(MID(C519,15,2)),0))</f>
        <v>40545.8472222222</v>
      </c>
      <c r="U519" s="3" t="str">
        <f aca="false">IFERROR(IF(ISNUMBER(VALUE(TRIM(MID(A519,FIND("-",A519)+1,FIND("km",A519)-FIND("-",A519)-1)))),"Distance + direction + city","Named-region"),"Named-region")</f>
        <v>Distance + direction + city</v>
      </c>
      <c r="V519" s="3" t="str">
        <f aca="false">LOWER(M519)</f>
        <v>mww</v>
      </c>
      <c r="W519" s="3" t="n">
        <f aca="false">COUNTIFS($A$2:$A$1001,A519,$C$2:$C$1001,C519)</f>
        <v>1</v>
      </c>
      <c r="X519" s="3" t="str">
        <f aca="false">IF(W519&gt;1,"Duplicate","Unique")</f>
        <v>Unique</v>
      </c>
      <c r="Y519" s="3" t="str">
        <f aca="false">IF(B519&lt;6.5,"&lt;6.5",IF(B519&lt;7,"6.5–6.9",IF(B519&lt;7.5,"7.0–7.4",IF(B519&lt;8,"7.5–7.9","8.0+"))))</f>
        <v>7.0–7.4</v>
      </c>
      <c r="Z519" s="3" t="n">
        <f aca="false">IF(T519="","",YEAR(T519))</f>
        <v>2011</v>
      </c>
    </row>
    <row r="520" customFormat="false" ht="13.8" hidden="false" customHeight="false" outlineLevel="0" collapsed="false">
      <c r="A520" s="3" t="s">
        <v>1400</v>
      </c>
      <c r="B520" s="3" t="n">
        <v>7.3</v>
      </c>
      <c r="C520" s="3" t="s">
        <v>1401</v>
      </c>
      <c r="D520" s="3" t="n">
        <v>0</v>
      </c>
      <c r="E520" s="3" t="n">
        <v>5</v>
      </c>
      <c r="F520" s="3"/>
      <c r="G520" s="3" t="n">
        <v>0</v>
      </c>
      <c r="H520" s="3" t="n">
        <v>820</v>
      </c>
      <c r="I520" s="3" t="s">
        <v>22</v>
      </c>
      <c r="J520" s="3" t="n">
        <v>409</v>
      </c>
      <c r="K520" s="3" t="n">
        <v>0</v>
      </c>
      <c r="L520" s="3" t="n">
        <v>12</v>
      </c>
      <c r="M520" s="3" t="s">
        <v>127</v>
      </c>
      <c r="N520" s="3" t="n">
        <v>16</v>
      </c>
      <c r="O520" s="3" t="n">
        <v>-19.702</v>
      </c>
      <c r="P520" s="3" t="n">
        <v>167.947</v>
      </c>
      <c r="Q520" s="3" t="s">
        <v>177</v>
      </c>
      <c r="R520" s="3"/>
      <c r="S520" s="3"/>
      <c r="T520" s="5" t="n">
        <f aca="false">IF(C520="","",DATE(VALUE(MID(C520,7,4)),VALUE(MID(C520,4,2)),VALUE(MID(C520,1,2)))+TIME(VALUE(MID(C520,12,2)),VALUE(MID(C520,15,2)),0))</f>
        <v>40537.5527777778</v>
      </c>
      <c r="U520" s="3" t="str">
        <f aca="false">IFERROR(IF(ISNUMBER(VALUE(TRIM(MID(A520,FIND("-",A520)+1,FIND("km",A520)-FIND("-",A520)-1)))),"Distance + direction + city","Named-region"),"Named-region")</f>
        <v>Distance + direction + city</v>
      </c>
      <c r="V520" s="3" t="str">
        <f aca="false">LOWER(M520)</f>
        <v>mwc</v>
      </c>
      <c r="W520" s="3" t="n">
        <f aca="false">COUNTIFS($A$2:$A$1001,A520,$C$2:$C$1001,C520)</f>
        <v>1</v>
      </c>
      <c r="X520" s="3" t="str">
        <f aca="false">IF(W520&gt;1,"Duplicate","Unique")</f>
        <v>Unique</v>
      </c>
      <c r="Y520" s="3" t="str">
        <f aca="false">IF(B520&lt;6.5,"&lt;6.5",IF(B520&lt;7,"6.5–6.9",IF(B520&lt;7.5,"7.0–7.4",IF(B520&lt;8,"7.5–7.9","8.0+"))))</f>
        <v>7.0–7.4</v>
      </c>
      <c r="Z520" s="3" t="n">
        <f aca="false">IF(T520="","",YEAR(T520))</f>
        <v>2010</v>
      </c>
    </row>
    <row r="521" customFormat="false" ht="13.8" hidden="false" customHeight="false" outlineLevel="0" collapsed="false">
      <c r="A521" s="3" t="s">
        <v>1402</v>
      </c>
      <c r="B521" s="3" t="n">
        <v>6.7</v>
      </c>
      <c r="C521" s="3" t="s">
        <v>1403</v>
      </c>
      <c r="D521" s="3" t="n">
        <v>3</v>
      </c>
      <c r="E521" s="3" t="n">
        <v>7</v>
      </c>
      <c r="F521" s="3"/>
      <c r="G521" s="3" t="n">
        <v>0</v>
      </c>
      <c r="H521" s="3" t="n">
        <v>708</v>
      </c>
      <c r="I521" s="3" t="s">
        <v>22</v>
      </c>
      <c r="J521" s="3" t="n">
        <v>279</v>
      </c>
      <c r="K521" s="3" t="n">
        <v>0</v>
      </c>
      <c r="L521" s="3" t="n">
        <v>24.3</v>
      </c>
      <c r="M521" s="3" t="s">
        <v>127</v>
      </c>
      <c r="N521" s="3" t="n">
        <v>12</v>
      </c>
      <c r="O521" s="3" t="n">
        <v>28.412</v>
      </c>
      <c r="P521" s="3" t="n">
        <v>59.18</v>
      </c>
      <c r="Q521" s="3" t="s">
        <v>1404</v>
      </c>
      <c r="R521" s="3" t="s">
        <v>80</v>
      </c>
      <c r="S521" s="3" t="s">
        <v>660</v>
      </c>
      <c r="T521" s="5" t="n">
        <f aca="false">IF(C521="","",DATE(VALUE(MID(C521,7,4)),VALUE(MID(C521,4,2)),VALUE(MID(C521,1,2)))+TIME(VALUE(MID(C521,12,2)),VALUE(MID(C521,15,2)),0))</f>
        <v>40532.7784722222</v>
      </c>
      <c r="U521" s="3" t="str">
        <f aca="false">IFERROR(IF(ISNUMBER(VALUE(TRIM(MID(A521,FIND("-",A521)+1,FIND("km",A521)-FIND("-",A521)-1)))),"Distance + direction + city","Named-region"),"Named-region")</f>
        <v>Distance + direction + city</v>
      </c>
      <c r="V521" s="3" t="str">
        <f aca="false">LOWER(M521)</f>
        <v>mwc</v>
      </c>
      <c r="W521" s="3" t="n">
        <f aca="false">COUNTIFS($A$2:$A$1001,A521,$C$2:$C$1001,C521)</f>
        <v>1</v>
      </c>
      <c r="X521" s="3" t="str">
        <f aca="false">IF(W521&gt;1,"Duplicate","Unique")</f>
        <v>Unique</v>
      </c>
      <c r="Y521" s="3" t="str">
        <f aca="false">IF(B521&lt;6.5,"&lt;6.5",IF(B521&lt;7,"6.5–6.9",IF(B521&lt;7.5,"7.0–7.4",IF(B521&lt;8,"7.5–7.9","8.0+"))))</f>
        <v>6.5–6.9</v>
      </c>
      <c r="Z521" s="3" t="n">
        <f aca="false">IF(T521="","",YEAR(T521))</f>
        <v>2010</v>
      </c>
    </row>
    <row r="522" customFormat="false" ht="13.8" hidden="false" customHeight="false" outlineLevel="0" collapsed="false">
      <c r="A522" s="3" t="s">
        <v>1405</v>
      </c>
      <c r="B522" s="3" t="n">
        <v>6.6</v>
      </c>
      <c r="C522" s="6" t="s">
        <v>1406</v>
      </c>
      <c r="D522" s="3" t="n">
        <v>0</v>
      </c>
      <c r="E522" s="3" t="n">
        <v>6</v>
      </c>
      <c r="F522" s="3"/>
      <c r="G522" s="3" t="n">
        <v>0</v>
      </c>
      <c r="H522" s="3" t="n">
        <v>670</v>
      </c>
      <c r="I522" s="3" t="s">
        <v>22</v>
      </c>
      <c r="J522" s="3" t="n">
        <v>306</v>
      </c>
      <c r="K522" s="3" t="n">
        <v>0</v>
      </c>
      <c r="L522" s="3" t="n">
        <v>18.5</v>
      </c>
      <c r="M522" s="3" t="s">
        <v>154</v>
      </c>
      <c r="N522" s="3" t="n">
        <v>33</v>
      </c>
      <c r="O522" s="3" t="n">
        <v>-6.001</v>
      </c>
      <c r="P522" s="3" t="n">
        <v>149.977</v>
      </c>
      <c r="Q522" s="3" t="s">
        <v>789</v>
      </c>
      <c r="R522" s="3"/>
      <c r="S522" s="3" t="s">
        <v>85</v>
      </c>
      <c r="T522" s="5" t="n">
        <f aca="false">IF(C522="","",DATE(VALUE(MID(C522,7,4)),VALUE(MID(C522,4,2)),VALUE(MID(C522,1,2)))+TIME(VALUE(MID(C522,12,2)),VALUE(MID(C522,15,2)),0))</f>
        <v>40514.1333333333</v>
      </c>
      <c r="U522" s="3" t="str">
        <f aca="false">IFERROR(IF(ISNUMBER(VALUE(TRIM(MID(A522,FIND("-",A522)+1,FIND("km",A522)-FIND("-",A522)-1)))),"Distance + direction + city","Named-region"),"Named-region")</f>
        <v>Distance + direction + city</v>
      </c>
      <c r="V522" s="3" t="str">
        <f aca="false">LOWER(M522)</f>
        <v>mwb</v>
      </c>
      <c r="W522" s="3" t="n">
        <f aca="false">COUNTIFS($A$2:$A$1001,A522,$C$2:$C$1001,C522)</f>
        <v>1</v>
      </c>
      <c r="X522" s="3" t="str">
        <f aca="false">IF(W522&gt;1,"Duplicate","Unique")</f>
        <v>Unique</v>
      </c>
      <c r="Y522" s="3" t="str">
        <f aca="false">IF(B522&lt;6.5,"&lt;6.5",IF(B522&lt;7,"6.5–6.9",IF(B522&lt;7.5,"7.0–7.4",IF(B522&lt;8,"7.5–7.9","8.0+"))))</f>
        <v>6.5–6.9</v>
      </c>
      <c r="Z522" s="3" t="n">
        <f aca="false">IF(T522="","",YEAR(T522))</f>
        <v>2010</v>
      </c>
    </row>
    <row r="523" customFormat="false" ht="13.8" hidden="false" customHeight="false" outlineLevel="0" collapsed="false">
      <c r="A523" s="3" t="s">
        <v>1407</v>
      </c>
      <c r="B523" s="3" t="n">
        <v>7.8</v>
      </c>
      <c r="C523" s="3" t="s">
        <v>1408</v>
      </c>
      <c r="D523" s="3" t="n">
        <v>4</v>
      </c>
      <c r="E523" s="3" t="n">
        <v>7</v>
      </c>
      <c r="F523" s="3"/>
      <c r="G523" s="3" t="n">
        <v>0</v>
      </c>
      <c r="H523" s="3" t="n">
        <v>946</v>
      </c>
      <c r="I523" s="3" t="s">
        <v>22</v>
      </c>
      <c r="J523" s="3" t="n">
        <v>379</v>
      </c>
      <c r="K523" s="3" t="n">
        <v>0</v>
      </c>
      <c r="L523" s="3" t="n">
        <v>23</v>
      </c>
      <c r="M523" s="3" t="s">
        <v>127</v>
      </c>
      <c r="N523" s="3" t="n">
        <v>20.1</v>
      </c>
      <c r="O523" s="3" t="n">
        <v>-3.487</v>
      </c>
      <c r="P523" s="3" t="n">
        <v>100.082</v>
      </c>
      <c r="Q523" s="3" t="s">
        <v>809</v>
      </c>
      <c r="R523" s="3"/>
      <c r="S523" s="3"/>
      <c r="T523" s="5" t="n">
        <f aca="false">IF(C523="","",DATE(VALUE(MID(C523,7,4)),VALUE(MID(C523,4,2)),VALUE(MID(C523,1,2)))+TIME(VALUE(MID(C523,12,2)),VALUE(MID(C523,15,2)),0))</f>
        <v>40476.6125</v>
      </c>
      <c r="U523" s="3" t="str">
        <f aca="false">IFERROR(IF(ISNUMBER(VALUE(TRIM(MID(A523,FIND("-",A523)+1,FIND("km",A523)-FIND("-",A523)-1)))),"Distance + direction + city","Named-region"),"Named-region")</f>
        <v>Distance + direction + city</v>
      </c>
      <c r="V523" s="3" t="str">
        <f aca="false">LOWER(M523)</f>
        <v>mwc</v>
      </c>
      <c r="W523" s="3" t="n">
        <f aca="false">COUNTIFS($A$2:$A$1001,A523,$C$2:$C$1001,C523)</f>
        <v>1</v>
      </c>
      <c r="X523" s="3" t="str">
        <f aca="false">IF(W523&gt;1,"Duplicate","Unique")</f>
        <v>Unique</v>
      </c>
      <c r="Y523" s="3" t="str">
        <f aca="false">IF(B523&lt;6.5,"&lt;6.5",IF(B523&lt;7,"6.5–6.9",IF(B523&lt;7.5,"7.0–7.4",IF(B523&lt;8,"7.5–7.9","8.0+"))))</f>
        <v>7.5–7.9</v>
      </c>
      <c r="Z523" s="3" t="n">
        <f aca="false">IF(T523="","",YEAR(T523))</f>
        <v>2010</v>
      </c>
    </row>
    <row r="524" customFormat="false" ht="13.8" hidden="false" customHeight="false" outlineLevel="0" collapsed="false">
      <c r="A524" s="3" t="s">
        <v>1409</v>
      </c>
      <c r="B524" s="3" t="n">
        <v>6.7</v>
      </c>
      <c r="C524" s="3" t="s">
        <v>1410</v>
      </c>
      <c r="D524" s="3" t="n">
        <v>5</v>
      </c>
      <c r="E524" s="3" t="n">
        <v>5</v>
      </c>
      <c r="F524" s="3"/>
      <c r="G524" s="3" t="n">
        <v>0</v>
      </c>
      <c r="H524" s="3" t="n">
        <v>776</v>
      </c>
      <c r="I524" s="3" t="s">
        <v>22</v>
      </c>
      <c r="J524" s="3" t="n">
        <v>352</v>
      </c>
      <c r="K524" s="3" t="n">
        <v>0</v>
      </c>
      <c r="L524" s="3" t="n">
        <v>50.3</v>
      </c>
      <c r="M524" s="3" t="s">
        <v>127</v>
      </c>
      <c r="N524" s="3" t="n">
        <v>13</v>
      </c>
      <c r="O524" s="3" t="n">
        <v>24.696</v>
      </c>
      <c r="P524" s="3" t="n">
        <v>-109.156</v>
      </c>
      <c r="Q524" s="3" t="s">
        <v>1411</v>
      </c>
      <c r="R524" s="3"/>
      <c r="S524" s="3"/>
      <c r="T524" s="5" t="n">
        <f aca="false">IF(C524="","",DATE(VALUE(MID(C524,7,4)),VALUE(MID(C524,4,2)),VALUE(MID(C524,1,2)))+TIME(VALUE(MID(C524,12,2)),VALUE(MID(C524,15,2)),0))</f>
        <v>40472.7451388889</v>
      </c>
      <c r="U524" s="3" t="str">
        <f aca="false">IFERROR(IF(ISNUMBER(VALUE(TRIM(MID(A524,FIND("-",A524)+1,FIND("km",A524)-FIND("-",A524)-1)))),"Distance + direction + city","Named-region"),"Named-region")</f>
        <v>Distance + direction + city</v>
      </c>
      <c r="V524" s="3" t="str">
        <f aca="false">LOWER(M524)</f>
        <v>mwc</v>
      </c>
      <c r="W524" s="3" t="n">
        <f aca="false">COUNTIFS($A$2:$A$1001,A524,$C$2:$C$1001,C524)</f>
        <v>1</v>
      </c>
      <c r="X524" s="3" t="str">
        <f aca="false">IF(W524&gt;1,"Duplicate","Unique")</f>
        <v>Unique</v>
      </c>
      <c r="Y524" s="3" t="str">
        <f aca="false">IF(B524&lt;6.5,"&lt;6.5",IF(B524&lt;7,"6.5–6.9",IF(B524&lt;7.5,"7.0–7.4",IF(B524&lt;8,"7.5–7.9","8.0+"))))</f>
        <v>6.5–6.9</v>
      </c>
      <c r="Z524" s="3" t="n">
        <f aca="false">IF(T524="","",YEAR(T524))</f>
        <v>2010</v>
      </c>
    </row>
    <row r="525" customFormat="false" ht="13.8" hidden="false" customHeight="false" outlineLevel="0" collapsed="false">
      <c r="A525" s="3" t="s">
        <v>1412</v>
      </c>
      <c r="B525" s="3" t="n">
        <v>7</v>
      </c>
      <c r="C525" s="3" t="s">
        <v>1413</v>
      </c>
      <c r="D525" s="3" t="n">
        <v>8</v>
      </c>
      <c r="E525" s="3" t="n">
        <v>5</v>
      </c>
      <c r="F525" s="3"/>
      <c r="G525" s="3" t="n">
        <v>0</v>
      </c>
      <c r="H525" s="3" t="n">
        <v>772</v>
      </c>
      <c r="I525" s="3" t="s">
        <v>22</v>
      </c>
      <c r="J525" s="3" t="n">
        <v>271</v>
      </c>
      <c r="K525" s="3" t="n">
        <v>0</v>
      </c>
      <c r="L525" s="3" t="n">
        <v>15.1</v>
      </c>
      <c r="M525" s="3" t="s">
        <v>127</v>
      </c>
      <c r="N525" s="3" t="n">
        <v>26</v>
      </c>
      <c r="O525" s="3" t="n">
        <v>-4.963</v>
      </c>
      <c r="P525" s="3" t="n">
        <v>133.76</v>
      </c>
      <c r="Q525" s="3" t="s">
        <v>1414</v>
      </c>
      <c r="R525" s="3"/>
      <c r="S525" s="3" t="s">
        <v>68</v>
      </c>
      <c r="T525" s="5" t="n">
        <f aca="false">IF(C525="","",DATE(VALUE(MID(C525,7,4)),VALUE(MID(C525,4,2)),VALUE(MID(C525,1,2)))+TIME(VALUE(MID(C525,12,2)),VALUE(MID(C525,15,2)),0))</f>
        <v>40450.7159722222</v>
      </c>
      <c r="U525" s="3" t="str">
        <f aca="false">IFERROR(IF(ISNUMBER(VALUE(TRIM(MID(A525,FIND("-",A525)+1,FIND("km",A525)-FIND("-",A525)-1)))),"Distance + direction + city","Named-region"),"Named-region")</f>
        <v>Named-region</v>
      </c>
      <c r="V525" s="3" t="str">
        <f aca="false">LOWER(M525)</f>
        <v>mwc</v>
      </c>
      <c r="W525" s="3" t="n">
        <f aca="false">COUNTIFS($A$2:$A$1001,A525,$C$2:$C$1001,C525)</f>
        <v>1</v>
      </c>
      <c r="X525" s="3" t="str">
        <f aca="false">IF(W525&gt;1,"Duplicate","Unique")</f>
        <v>Unique</v>
      </c>
      <c r="Y525" s="3" t="str">
        <f aca="false">IF(B525&lt;6.5,"&lt;6.5",IF(B525&lt;7,"6.5–6.9",IF(B525&lt;7.5,"7.0–7.4",IF(B525&lt;8,"7.5–7.9","8.0+"))))</f>
        <v>7.0–7.4</v>
      </c>
      <c r="Z525" s="3" t="n">
        <f aca="false">IF(T525="","",YEAR(T525))</f>
        <v>2010</v>
      </c>
    </row>
    <row r="526" customFormat="false" ht="13.8" hidden="false" customHeight="false" outlineLevel="0" collapsed="false">
      <c r="A526" s="3" t="s">
        <v>1415</v>
      </c>
      <c r="B526" s="3" t="n">
        <v>7</v>
      </c>
      <c r="C526" s="6" t="s">
        <v>1416</v>
      </c>
      <c r="D526" s="3" t="n">
        <v>8</v>
      </c>
      <c r="E526" s="3" t="n">
        <v>8</v>
      </c>
      <c r="F526" s="3"/>
      <c r="G526" s="3" t="n">
        <v>0</v>
      </c>
      <c r="H526" s="3" t="n">
        <v>1245</v>
      </c>
      <c r="I526" s="3" t="s">
        <v>22</v>
      </c>
      <c r="J526" s="3" t="n">
        <v>365</v>
      </c>
      <c r="K526" s="3" t="n">
        <v>0</v>
      </c>
      <c r="L526" s="3" t="n">
        <v>15.8</v>
      </c>
      <c r="M526" s="3" t="s">
        <v>127</v>
      </c>
      <c r="N526" s="3" t="n">
        <v>12</v>
      </c>
      <c r="O526" s="3" t="n">
        <v>-43.522</v>
      </c>
      <c r="P526" s="3" t="n">
        <v>171.83</v>
      </c>
      <c r="Q526" s="3" t="s">
        <v>1417</v>
      </c>
      <c r="R526" s="3"/>
      <c r="S526" s="3" t="s">
        <v>774</v>
      </c>
      <c r="T526" s="5" t="n">
        <f aca="false">IF(C526="","",DATE(VALUE(MID(C526,7,4)),VALUE(MID(C526,4,2)),VALUE(MID(C526,1,2)))+TIME(VALUE(MID(C526,12,2)),VALUE(MID(C526,15,2)),0))</f>
        <v>40424.6909722222</v>
      </c>
      <c r="U526" s="3" t="str">
        <f aca="false">IFERROR(IF(ISNUMBER(VALUE(TRIM(MID(A526,FIND("-",A526)+1,FIND("km",A526)-FIND("-",A526)-1)))),"Distance + direction + city","Named-region"),"Named-region")</f>
        <v>Distance + direction + city</v>
      </c>
      <c r="V526" s="3" t="str">
        <f aca="false">LOWER(M526)</f>
        <v>mwc</v>
      </c>
      <c r="W526" s="3" t="n">
        <f aca="false">COUNTIFS($A$2:$A$1001,A526,$C$2:$C$1001,C526)</f>
        <v>1</v>
      </c>
      <c r="X526" s="3" t="str">
        <f aca="false">IF(W526&gt;1,"Duplicate","Unique")</f>
        <v>Unique</v>
      </c>
      <c r="Y526" s="3" t="str">
        <f aca="false">IF(B526&lt;6.5,"&lt;6.5",IF(B526&lt;7,"6.5–6.9",IF(B526&lt;7.5,"7.0–7.4",IF(B526&lt;8,"7.5–7.9","8.0+"))))</f>
        <v>7.0–7.4</v>
      </c>
      <c r="Z526" s="3" t="n">
        <f aca="false">IF(T526="","",YEAR(T526))</f>
        <v>2010</v>
      </c>
    </row>
    <row r="527" customFormat="false" ht="13.8" hidden="false" customHeight="false" outlineLevel="0" collapsed="false">
      <c r="A527" s="3" t="s">
        <v>1418</v>
      </c>
      <c r="B527" s="3" t="n">
        <v>7.1</v>
      </c>
      <c r="C527" s="6" t="s">
        <v>1419</v>
      </c>
      <c r="D527" s="3" t="n">
        <v>6</v>
      </c>
      <c r="E527" s="3" t="n">
        <v>5</v>
      </c>
      <c r="F527" s="3"/>
      <c r="G527" s="3" t="n">
        <v>0</v>
      </c>
      <c r="H527" s="3" t="n">
        <v>945</v>
      </c>
      <c r="I527" s="3" t="s">
        <v>22</v>
      </c>
      <c r="J527" s="3" t="n">
        <v>672</v>
      </c>
      <c r="K527" s="3" t="n">
        <v>0</v>
      </c>
      <c r="L527" s="3" t="n">
        <v>12.4</v>
      </c>
      <c r="M527" s="3" t="s">
        <v>127</v>
      </c>
      <c r="N527" s="3" t="n">
        <v>206.7</v>
      </c>
      <c r="O527" s="3" t="n">
        <v>-1.266</v>
      </c>
      <c r="P527" s="3" t="n">
        <v>-77.306</v>
      </c>
      <c r="Q527" s="3" t="s">
        <v>96</v>
      </c>
      <c r="R527" s="3" t="s">
        <v>33</v>
      </c>
      <c r="S527" s="3" t="s">
        <v>96</v>
      </c>
      <c r="T527" s="5" t="n">
        <f aca="false">IF(C527="","",DATE(VALUE(MID(C527,7,4)),VALUE(MID(C527,4,2)),VALUE(MID(C527,1,2)))+TIME(VALUE(MID(C527,12,2)),VALUE(MID(C527,15,2)),0))</f>
        <v>40402.4958333333</v>
      </c>
      <c r="U527" s="3" t="str">
        <f aca="false">IFERROR(IF(ISNUMBER(VALUE(TRIM(MID(A527,FIND("-",A527)+1,FIND("km",A527)-FIND("-",A527)-1)))),"Distance + direction + city","Named-region"),"Named-region")</f>
        <v>Named-region</v>
      </c>
      <c r="V527" s="3" t="str">
        <f aca="false">LOWER(M527)</f>
        <v>mwc</v>
      </c>
      <c r="W527" s="3" t="n">
        <f aca="false">COUNTIFS($A$2:$A$1001,A527,$C$2:$C$1001,C527)</f>
        <v>1</v>
      </c>
      <c r="X527" s="3" t="str">
        <f aca="false">IF(W527&gt;1,"Duplicate","Unique")</f>
        <v>Unique</v>
      </c>
      <c r="Y527" s="3" t="str">
        <f aca="false">IF(B527&lt;6.5,"&lt;6.5",IF(B527&lt;7,"6.5–6.9",IF(B527&lt;7.5,"7.0–7.4",IF(B527&lt;8,"7.5–7.9","8.0+"))))</f>
        <v>7.0–7.4</v>
      </c>
      <c r="Z527" s="3" t="n">
        <f aca="false">IF(T527="","",YEAR(T527))</f>
        <v>2010</v>
      </c>
    </row>
    <row r="528" customFormat="false" ht="13.8" hidden="false" customHeight="false" outlineLevel="0" collapsed="false">
      <c r="A528" s="3" t="s">
        <v>1420</v>
      </c>
      <c r="B528" s="3" t="n">
        <v>7.3</v>
      </c>
      <c r="C528" s="6" t="s">
        <v>1421</v>
      </c>
      <c r="D528" s="3" t="n">
        <v>7</v>
      </c>
      <c r="E528" s="3" t="n">
        <v>7</v>
      </c>
      <c r="F528" s="3"/>
      <c r="G528" s="3" t="n">
        <v>0</v>
      </c>
      <c r="H528" s="3" t="n">
        <v>850</v>
      </c>
      <c r="I528" s="3" t="s">
        <v>22</v>
      </c>
      <c r="J528" s="3" t="n">
        <v>405</v>
      </c>
      <c r="K528" s="3" t="n">
        <v>0</v>
      </c>
      <c r="L528" s="3" t="n">
        <v>20.2</v>
      </c>
      <c r="M528" s="3" t="s">
        <v>127</v>
      </c>
      <c r="N528" s="3" t="n">
        <v>25</v>
      </c>
      <c r="O528" s="3" t="n">
        <v>-17.541</v>
      </c>
      <c r="P528" s="3" t="n">
        <v>168.069</v>
      </c>
      <c r="Q528" s="3" t="s">
        <v>989</v>
      </c>
      <c r="R528" s="3"/>
      <c r="S528" s="3" t="s">
        <v>25</v>
      </c>
      <c r="T528" s="5" t="n">
        <f aca="false">IF(C528="","",DATE(VALUE(MID(C528,7,4)),VALUE(MID(C528,4,2)),VALUE(MID(C528,1,2)))+TIME(VALUE(MID(C528,12,2)),VALUE(MID(C528,15,2)),0))</f>
        <v>40400.2243055556</v>
      </c>
      <c r="U528" s="3" t="str">
        <f aca="false">IFERROR(IF(ISNUMBER(VALUE(TRIM(MID(A528,FIND("-",A528)+1,FIND("km",A528)-FIND("-",A528)-1)))),"Distance + direction + city","Named-region"),"Named-region")</f>
        <v>Distance + direction + city</v>
      </c>
      <c r="V528" s="3" t="str">
        <f aca="false">LOWER(M528)</f>
        <v>mwc</v>
      </c>
      <c r="W528" s="3" t="n">
        <f aca="false">COUNTIFS($A$2:$A$1001,A528,$C$2:$C$1001,C528)</f>
        <v>1</v>
      </c>
      <c r="X528" s="3" t="str">
        <f aca="false">IF(W528&gt;1,"Duplicate","Unique")</f>
        <v>Unique</v>
      </c>
      <c r="Y528" s="3" t="str">
        <f aca="false">IF(B528&lt;6.5,"&lt;6.5",IF(B528&lt;7,"6.5–6.9",IF(B528&lt;7.5,"7.0–7.4",IF(B528&lt;8,"7.5–7.9","8.0+"))))</f>
        <v>7.0–7.4</v>
      </c>
      <c r="Z528" s="3" t="n">
        <f aca="false">IF(T528="","",YEAR(T528))</f>
        <v>2010</v>
      </c>
    </row>
    <row r="529" customFormat="false" ht="13.8" hidden="false" customHeight="false" outlineLevel="0" collapsed="false">
      <c r="A529" s="3" t="s">
        <v>1422</v>
      </c>
      <c r="B529" s="3" t="n">
        <v>7</v>
      </c>
      <c r="C529" s="6" t="s">
        <v>1423</v>
      </c>
      <c r="D529" s="3" t="n">
        <v>4</v>
      </c>
      <c r="E529" s="3" t="n">
        <v>6</v>
      </c>
      <c r="F529" s="3"/>
      <c r="G529" s="3" t="n">
        <v>0</v>
      </c>
      <c r="H529" s="3" t="n">
        <v>757</v>
      </c>
      <c r="I529" s="3" t="s">
        <v>22</v>
      </c>
      <c r="J529" s="3" t="n">
        <v>396</v>
      </c>
      <c r="K529" s="3" t="n">
        <v>0</v>
      </c>
      <c r="L529" s="3" t="n">
        <v>12.7</v>
      </c>
      <c r="M529" s="3" t="s">
        <v>23</v>
      </c>
      <c r="N529" s="3" t="n">
        <v>44</v>
      </c>
      <c r="O529" s="3" t="n">
        <v>-5.746</v>
      </c>
      <c r="P529" s="3" t="n">
        <v>150.765</v>
      </c>
      <c r="Q529" s="3" t="s">
        <v>107</v>
      </c>
      <c r="R529" s="3"/>
      <c r="S529" s="3" t="s">
        <v>85</v>
      </c>
      <c r="T529" s="5" t="n">
        <f aca="false">IF(C529="","",DATE(VALUE(MID(C529,7,4)),VALUE(MID(C529,4,2)),VALUE(MID(C529,1,2)))+TIME(VALUE(MID(C529,12,2)),VALUE(MID(C529,15,2)),0))</f>
        <v>40394.9173611111</v>
      </c>
      <c r="U529" s="3" t="str">
        <f aca="false">IFERROR(IF(ISNUMBER(VALUE(TRIM(MID(A529,FIND("-",A529)+1,FIND("km",A529)-FIND("-",A529)-1)))),"Distance + direction + city","Named-region"),"Named-region")</f>
        <v>Distance + direction + city</v>
      </c>
      <c r="V529" s="3" t="str">
        <f aca="false">LOWER(M529)</f>
        <v>mww</v>
      </c>
      <c r="W529" s="3" t="n">
        <f aca="false">COUNTIFS($A$2:$A$1001,A529,$C$2:$C$1001,C529)</f>
        <v>1</v>
      </c>
      <c r="X529" s="3" t="str">
        <f aca="false">IF(W529&gt;1,"Duplicate","Unique")</f>
        <v>Unique</v>
      </c>
      <c r="Y529" s="3" t="str">
        <f aca="false">IF(B529&lt;6.5,"&lt;6.5",IF(B529&lt;7,"6.5–6.9",IF(B529&lt;7.5,"7.0–7.4",IF(B529&lt;8,"7.5–7.9","8.0+"))))</f>
        <v>7.0–7.4</v>
      </c>
      <c r="Z529" s="3" t="n">
        <f aca="false">IF(T529="","",YEAR(T529))</f>
        <v>2010</v>
      </c>
    </row>
    <row r="530" customFormat="false" ht="13.8" hidden="false" customHeight="false" outlineLevel="0" collapsed="false">
      <c r="A530" s="3" t="s">
        <v>1424</v>
      </c>
      <c r="B530" s="3" t="n">
        <v>6.5</v>
      </c>
      <c r="C530" s="6" t="s">
        <v>1425</v>
      </c>
      <c r="D530" s="3" t="n">
        <v>5</v>
      </c>
      <c r="E530" s="3" t="n">
        <v>4</v>
      </c>
      <c r="F530" s="3"/>
      <c r="G530" s="3" t="n">
        <v>0</v>
      </c>
      <c r="H530" s="3" t="n">
        <v>659</v>
      </c>
      <c r="I530" s="3" t="s">
        <v>22</v>
      </c>
      <c r="J530" s="3" t="n">
        <v>403</v>
      </c>
      <c r="K530" s="3" t="n">
        <v>0</v>
      </c>
      <c r="L530" s="3" t="n">
        <v>11.1</v>
      </c>
      <c r="M530" s="3" t="s">
        <v>127</v>
      </c>
      <c r="N530" s="3" t="n">
        <v>220</v>
      </c>
      <c r="O530" s="3" t="n">
        <v>-5.486</v>
      </c>
      <c r="P530" s="3" t="n">
        <v>146.822</v>
      </c>
      <c r="Q530" s="3" t="s">
        <v>1426</v>
      </c>
      <c r="R530" s="3"/>
      <c r="S530" s="3" t="s">
        <v>85</v>
      </c>
      <c r="T530" s="5" t="n">
        <f aca="false">IF(C530="","",DATE(VALUE(MID(C530,7,4)),VALUE(MID(C530,4,2)),VALUE(MID(C530,1,2)))+TIME(VALUE(MID(C530,12,2)),VALUE(MID(C530,15,2)),0))</f>
        <v>40394.3020833333</v>
      </c>
      <c r="U530" s="3" t="str">
        <f aca="false">IFERROR(IF(ISNUMBER(VALUE(TRIM(MID(A530,FIND("-",A530)+1,FIND("km",A530)-FIND("-",A530)-1)))),"Distance + direction + city","Named-region"),"Named-region")</f>
        <v>Distance + direction + city</v>
      </c>
      <c r="V530" s="3" t="str">
        <f aca="false">LOWER(M530)</f>
        <v>mwc</v>
      </c>
      <c r="W530" s="3" t="n">
        <f aca="false">COUNTIFS($A$2:$A$1001,A530,$C$2:$C$1001,C530)</f>
        <v>1</v>
      </c>
      <c r="X530" s="3" t="str">
        <f aca="false">IF(W530&gt;1,"Duplicate","Unique")</f>
        <v>Unique</v>
      </c>
      <c r="Y530" s="3" t="str">
        <f aca="false">IF(B530&lt;6.5,"&lt;6.5",IF(B530&lt;7,"6.5–6.9",IF(B530&lt;7.5,"7.0–7.4",IF(B530&lt;8,"7.5–7.9","8.0+"))))</f>
        <v>6.5–6.9</v>
      </c>
      <c r="Z530" s="3" t="n">
        <f aca="false">IF(T530="","",YEAR(T530))</f>
        <v>2010</v>
      </c>
    </row>
    <row r="531" customFormat="false" ht="13.8" hidden="false" customHeight="false" outlineLevel="0" collapsed="false">
      <c r="A531" s="3" t="s">
        <v>1427</v>
      </c>
      <c r="B531" s="3" t="n">
        <v>7.6</v>
      </c>
      <c r="C531" s="3" t="s">
        <v>1428</v>
      </c>
      <c r="D531" s="3" t="n">
        <v>5</v>
      </c>
      <c r="E531" s="3" t="n">
        <v>3</v>
      </c>
      <c r="F531" s="3"/>
      <c r="G531" s="3" t="n">
        <v>0</v>
      </c>
      <c r="H531" s="3" t="n">
        <v>902</v>
      </c>
      <c r="I531" s="3" t="s">
        <v>22</v>
      </c>
      <c r="J531" s="3" t="n">
        <v>340</v>
      </c>
      <c r="K531" s="3" t="n">
        <v>0</v>
      </c>
      <c r="L531" s="3" t="n">
        <v>15.1</v>
      </c>
      <c r="M531" s="3" t="s">
        <v>127</v>
      </c>
      <c r="N531" s="3" t="n">
        <v>578</v>
      </c>
      <c r="O531" s="3" t="n">
        <v>6.497</v>
      </c>
      <c r="P531" s="3" t="n">
        <v>123.48</v>
      </c>
      <c r="Q531" s="3" t="s">
        <v>1429</v>
      </c>
      <c r="R531" s="3"/>
      <c r="S531" s="3" t="s">
        <v>191</v>
      </c>
      <c r="T531" s="5" t="n">
        <f aca="false">IF(C531="","",DATE(VALUE(MID(C531,7,4)),VALUE(MID(C531,4,2)),VALUE(MID(C531,1,2)))+TIME(VALUE(MID(C531,12,2)),VALUE(MID(C531,15,2)),0))</f>
        <v>40382.9520833333</v>
      </c>
      <c r="U531" s="3" t="str">
        <f aca="false">IFERROR(IF(ISNUMBER(VALUE(TRIM(MID(A531,FIND("-",A531)+1,FIND("km",A531)-FIND("-",A531)-1)))),"Distance + direction + city","Named-region"),"Named-region")</f>
        <v>Distance + direction + city</v>
      </c>
      <c r="V531" s="3" t="str">
        <f aca="false">LOWER(M531)</f>
        <v>mwc</v>
      </c>
      <c r="W531" s="3" t="n">
        <f aca="false">COUNTIFS($A$2:$A$1001,A531,$C$2:$C$1001,C531)</f>
        <v>1</v>
      </c>
      <c r="X531" s="3" t="str">
        <f aca="false">IF(W531&gt;1,"Duplicate","Unique")</f>
        <v>Unique</v>
      </c>
      <c r="Y531" s="3" t="str">
        <f aca="false">IF(B531&lt;6.5,"&lt;6.5",IF(B531&lt;7,"6.5–6.9",IF(B531&lt;7.5,"7.0–7.4",IF(B531&lt;8,"7.5–7.9","8.0+"))))</f>
        <v>7.5–7.9</v>
      </c>
      <c r="Z531" s="3" t="n">
        <f aca="false">IF(T531="","",YEAR(T531))</f>
        <v>2010</v>
      </c>
    </row>
    <row r="532" customFormat="false" ht="13.8" hidden="false" customHeight="false" outlineLevel="0" collapsed="false">
      <c r="A532" s="3" t="s">
        <v>1430</v>
      </c>
      <c r="B532" s="3" t="n">
        <v>7.3</v>
      </c>
      <c r="C532" s="3" t="s">
        <v>1431</v>
      </c>
      <c r="D532" s="3" t="n">
        <v>8</v>
      </c>
      <c r="E532" s="3" t="n">
        <v>7</v>
      </c>
      <c r="F532" s="3"/>
      <c r="G532" s="3" t="n">
        <v>0</v>
      </c>
      <c r="H532" s="3" t="n">
        <v>831</v>
      </c>
      <c r="I532" s="3" t="s">
        <v>22</v>
      </c>
      <c r="J532" s="3" t="n">
        <v>397</v>
      </c>
      <c r="K532" s="3" t="n">
        <v>0</v>
      </c>
      <c r="L532" s="3" t="n">
        <v>18.2</v>
      </c>
      <c r="M532" s="3" t="s">
        <v>127</v>
      </c>
      <c r="N532" s="3" t="n">
        <v>35</v>
      </c>
      <c r="O532" s="3" t="n">
        <v>-5.931</v>
      </c>
      <c r="P532" s="3" t="n">
        <v>150.59</v>
      </c>
      <c r="Q532" s="3" t="s">
        <v>1432</v>
      </c>
      <c r="R532" s="3"/>
      <c r="S532" s="3" t="s">
        <v>85</v>
      </c>
      <c r="T532" s="5" t="n">
        <f aca="false">IF(C532="","",DATE(VALUE(MID(C532,7,4)),VALUE(MID(C532,4,2)),VALUE(MID(C532,1,2)))+TIME(VALUE(MID(C532,12,2)),VALUE(MID(C532,15,2)),0))</f>
        <v>40377.5652777778</v>
      </c>
      <c r="U532" s="3" t="str">
        <f aca="false">IFERROR(IF(ISNUMBER(VALUE(TRIM(MID(A532,FIND("-",A532)+1,FIND("km",A532)-FIND("-",A532)-1)))),"Distance + direction + city","Named-region"),"Named-region")</f>
        <v>Named-region</v>
      </c>
      <c r="V532" s="3" t="str">
        <f aca="false">LOWER(M532)</f>
        <v>mwc</v>
      </c>
      <c r="W532" s="3" t="n">
        <f aca="false">COUNTIFS($A$2:$A$1001,A532,$C$2:$C$1001,C532)</f>
        <v>1</v>
      </c>
      <c r="X532" s="3" t="str">
        <f aca="false">IF(W532&gt;1,"Duplicate","Unique")</f>
        <v>Unique</v>
      </c>
      <c r="Y532" s="3" t="str">
        <f aca="false">IF(B532&lt;6.5,"&lt;6.5",IF(B532&lt;7,"6.5–6.9",IF(B532&lt;7.5,"7.0–7.4",IF(B532&lt;8,"7.5–7.9","8.0+"))))</f>
        <v>7.0–7.4</v>
      </c>
      <c r="Z532" s="3" t="n">
        <f aca="false">IF(T532="","",YEAR(T532))</f>
        <v>2010</v>
      </c>
    </row>
    <row r="533" customFormat="false" ht="13.8" hidden="false" customHeight="false" outlineLevel="0" collapsed="false">
      <c r="A533" s="3" t="s">
        <v>1433</v>
      </c>
      <c r="B533" s="3" t="n">
        <v>6.9</v>
      </c>
      <c r="C533" s="3" t="s">
        <v>1434</v>
      </c>
      <c r="D533" s="3" t="n">
        <v>4</v>
      </c>
      <c r="E533" s="3" t="n">
        <v>7</v>
      </c>
      <c r="F533" s="3"/>
      <c r="G533" s="3" t="n">
        <v>0</v>
      </c>
      <c r="H533" s="3" t="n">
        <v>737</v>
      </c>
      <c r="I533" s="3" t="s">
        <v>22</v>
      </c>
      <c r="J533" s="3" t="n">
        <v>456</v>
      </c>
      <c r="K533" s="3" t="n">
        <v>0</v>
      </c>
      <c r="L533" s="3" t="n">
        <v>15.7</v>
      </c>
      <c r="M533" s="3" t="s">
        <v>127</v>
      </c>
      <c r="N533" s="3" t="n">
        <v>28</v>
      </c>
      <c r="O533" s="3" t="n">
        <v>-5.966</v>
      </c>
      <c r="P533" s="3" t="n">
        <v>150.428</v>
      </c>
      <c r="Q533" s="3" t="s">
        <v>107</v>
      </c>
      <c r="R533" s="3"/>
      <c r="S533" s="3" t="s">
        <v>85</v>
      </c>
      <c r="T533" s="5" t="n">
        <f aca="false">IF(C533="","",DATE(VALUE(MID(C533,7,4)),VALUE(MID(C533,4,2)),VALUE(MID(C533,1,2)))+TIME(VALUE(MID(C533,12,2)),VALUE(MID(C533,15,2)),0))</f>
        <v>40377.5444444444</v>
      </c>
      <c r="U533" s="3" t="str">
        <f aca="false">IFERROR(IF(ISNUMBER(VALUE(TRIM(MID(A533,FIND("-",A533)+1,FIND("km",A533)-FIND("-",A533)-1)))),"Distance + direction + city","Named-region"),"Named-region")</f>
        <v>Distance + direction + city</v>
      </c>
      <c r="V533" s="3" t="str">
        <f aca="false">LOWER(M533)</f>
        <v>mwc</v>
      </c>
      <c r="W533" s="3" t="n">
        <f aca="false">COUNTIFS($A$2:$A$1001,A533,$C$2:$C$1001,C533)</f>
        <v>1</v>
      </c>
      <c r="X533" s="3" t="str">
        <f aca="false">IF(W533&gt;1,"Duplicate","Unique")</f>
        <v>Unique</v>
      </c>
      <c r="Y533" s="3" t="str">
        <f aca="false">IF(B533&lt;6.5,"&lt;6.5",IF(B533&lt;7,"6.5–6.9",IF(B533&lt;7.5,"7.0–7.4",IF(B533&lt;8,"7.5–7.9","8.0+"))))</f>
        <v>6.5–6.9</v>
      </c>
      <c r="Z533" s="3" t="n">
        <f aca="false">IF(T533="","",YEAR(T533))</f>
        <v>2010</v>
      </c>
    </row>
    <row r="534" customFormat="false" ht="13.8" hidden="false" customHeight="false" outlineLevel="0" collapsed="false">
      <c r="A534" s="3" t="s">
        <v>1435</v>
      </c>
      <c r="B534" s="3" t="n">
        <v>6.6</v>
      </c>
      <c r="C534" s="3" t="s">
        <v>1436</v>
      </c>
      <c r="D534" s="3" t="n">
        <v>6</v>
      </c>
      <c r="E534" s="3" t="n">
        <v>7</v>
      </c>
      <c r="F534" s="3"/>
      <c r="G534" s="3" t="n">
        <v>0</v>
      </c>
      <c r="H534" s="3" t="n">
        <v>753</v>
      </c>
      <c r="I534" s="3" t="s">
        <v>22</v>
      </c>
      <c r="J534" s="3" t="n">
        <v>295</v>
      </c>
      <c r="K534" s="3" t="n">
        <v>0</v>
      </c>
      <c r="L534" s="3" t="n">
        <v>52.8</v>
      </c>
      <c r="M534" s="3" t="s">
        <v>127</v>
      </c>
      <c r="N534" s="3" t="n">
        <v>22</v>
      </c>
      <c r="O534" s="3" t="n">
        <v>-38.067</v>
      </c>
      <c r="P534" s="3" t="n">
        <v>-73.31</v>
      </c>
      <c r="Q534" s="3" t="s">
        <v>1437</v>
      </c>
      <c r="R534" s="3" t="s">
        <v>33</v>
      </c>
      <c r="S534" s="3" t="s">
        <v>373</v>
      </c>
      <c r="T534" s="5" t="n">
        <f aca="false">IF(C534="","",DATE(VALUE(MID(C534,7,4)),VALUE(MID(C534,4,2)),VALUE(MID(C534,1,2)))+TIME(VALUE(MID(C534,12,2)),VALUE(MID(C534,15,2)),0))</f>
        <v>40373.3555555556</v>
      </c>
      <c r="U534" s="3" t="str">
        <f aca="false">IFERROR(IF(ISNUMBER(VALUE(TRIM(MID(A534,FIND("-",A534)+1,FIND("km",A534)-FIND("-",A534)-1)))),"Distance + direction + city","Named-region"),"Named-region")</f>
        <v>Distance + direction + city</v>
      </c>
      <c r="V534" s="3" t="str">
        <f aca="false">LOWER(M534)</f>
        <v>mwc</v>
      </c>
      <c r="W534" s="3" t="n">
        <f aca="false">COUNTIFS($A$2:$A$1001,A534,$C$2:$C$1001,C534)</f>
        <v>1</v>
      </c>
      <c r="X534" s="3" t="str">
        <f aca="false">IF(W534&gt;1,"Duplicate","Unique")</f>
        <v>Unique</v>
      </c>
      <c r="Y534" s="3" t="str">
        <f aca="false">IF(B534&lt;6.5,"&lt;6.5",IF(B534&lt;7,"6.5–6.9",IF(B534&lt;7.5,"7.0–7.4",IF(B534&lt;8,"7.5–7.9","8.0+"))))</f>
        <v>6.5–6.9</v>
      </c>
      <c r="Z534" s="3" t="n">
        <f aca="false">IF(T534="","",YEAR(T534))</f>
        <v>2010</v>
      </c>
    </row>
    <row r="535" customFormat="false" ht="13.8" hidden="false" customHeight="false" outlineLevel="0" collapsed="false">
      <c r="A535" s="3" t="s">
        <v>1438</v>
      </c>
      <c r="B535" s="3" t="n">
        <v>6.7</v>
      </c>
      <c r="C535" s="3" t="s">
        <v>1439</v>
      </c>
      <c r="D535" s="3" t="n">
        <v>5</v>
      </c>
      <c r="E535" s="3" t="n">
        <v>6</v>
      </c>
      <c r="F535" s="3"/>
      <c r="G535" s="3" t="n">
        <v>0</v>
      </c>
      <c r="H535" s="3" t="n">
        <v>696</v>
      </c>
      <c r="I535" s="3" t="s">
        <v>22</v>
      </c>
      <c r="J535" s="3" t="n">
        <v>392</v>
      </c>
      <c r="K535" s="3" t="n">
        <v>0</v>
      </c>
      <c r="L535" s="3" t="n">
        <v>18.7</v>
      </c>
      <c r="M535" s="3" t="s">
        <v>127</v>
      </c>
      <c r="N535" s="3" t="n">
        <v>35</v>
      </c>
      <c r="O535" s="3" t="n">
        <v>-10.627</v>
      </c>
      <c r="P535" s="3" t="n">
        <v>161.447</v>
      </c>
      <c r="Q535" s="3" t="s">
        <v>581</v>
      </c>
      <c r="R535" s="3"/>
      <c r="S535" s="3" t="s">
        <v>140</v>
      </c>
      <c r="T535" s="5" t="n">
        <f aca="false">IF(C535="","",DATE(VALUE(MID(C535,7,4)),VALUE(MID(C535,4,2)),VALUE(MID(C535,1,2)))+TIME(VALUE(MID(C535,12,2)),VALUE(MID(C535,15,2)),0))</f>
        <v>40355.2291666667</v>
      </c>
      <c r="U535" s="3" t="str">
        <f aca="false">IFERROR(IF(ISNUMBER(VALUE(TRIM(MID(A535,FIND("-",A535)+1,FIND("km",A535)-FIND("-",A535)-1)))),"Distance + direction + city","Named-region"),"Named-region")</f>
        <v>Distance + direction + city</v>
      </c>
      <c r="V535" s="3" t="str">
        <f aca="false">LOWER(M535)</f>
        <v>mwc</v>
      </c>
      <c r="W535" s="3" t="n">
        <f aca="false">COUNTIFS($A$2:$A$1001,A535,$C$2:$C$1001,C535)</f>
        <v>1</v>
      </c>
      <c r="X535" s="3" t="str">
        <f aca="false">IF(W535&gt;1,"Duplicate","Unique")</f>
        <v>Unique</v>
      </c>
      <c r="Y535" s="3" t="str">
        <f aca="false">IF(B535&lt;6.5,"&lt;6.5",IF(B535&lt;7,"6.5–6.9",IF(B535&lt;7.5,"7.0–7.4",IF(B535&lt;8,"7.5–7.9","8.0+"))))</f>
        <v>6.5–6.9</v>
      </c>
      <c r="Z535" s="3" t="n">
        <f aca="false">IF(T535="","",YEAR(T535))</f>
        <v>2010</v>
      </c>
    </row>
    <row r="536" customFormat="false" ht="13.8" hidden="false" customHeight="false" outlineLevel="0" collapsed="false">
      <c r="A536" s="3" t="s">
        <v>1440</v>
      </c>
      <c r="B536" s="3" t="n">
        <v>6.6</v>
      </c>
      <c r="C536" s="3" t="s">
        <v>1441</v>
      </c>
      <c r="D536" s="3" t="n">
        <v>0</v>
      </c>
      <c r="E536" s="3" t="n">
        <v>7</v>
      </c>
      <c r="F536" s="3"/>
      <c r="G536" s="3" t="n">
        <v>0</v>
      </c>
      <c r="H536" s="3" t="n">
        <v>670</v>
      </c>
      <c r="I536" s="3" t="s">
        <v>22</v>
      </c>
      <c r="J536" s="3" t="n">
        <v>309</v>
      </c>
      <c r="K536" s="3" t="n">
        <v>0</v>
      </c>
      <c r="L536" s="3" t="n">
        <v>25</v>
      </c>
      <c r="M536" s="3" t="s">
        <v>127</v>
      </c>
      <c r="N536" s="3" t="n">
        <v>10.5</v>
      </c>
      <c r="O536" s="3" t="n">
        <v>-2.329</v>
      </c>
      <c r="P536" s="3" t="n">
        <v>136.484</v>
      </c>
      <c r="Q536" s="3" t="s">
        <v>1442</v>
      </c>
      <c r="R536" s="3"/>
      <c r="S536" s="3" t="s">
        <v>68</v>
      </c>
      <c r="T536" s="5" t="n">
        <f aca="false">IF(C536="","",DATE(VALUE(MID(C536,7,4)),VALUE(MID(C536,4,2)),VALUE(MID(C536,1,2)))+TIME(VALUE(MID(C536,12,2)),VALUE(MID(C536,15,2)),0))</f>
        <v>40345.1652777778</v>
      </c>
      <c r="U536" s="3" t="str">
        <f aca="false">IFERROR(IF(ISNUMBER(VALUE(TRIM(MID(A536,FIND("-",A536)+1,FIND("km",A536)-FIND("-",A536)-1)))),"Distance + direction + city","Named-region"),"Named-region")</f>
        <v>Distance + direction + city</v>
      </c>
      <c r="V536" s="3" t="str">
        <f aca="false">LOWER(M536)</f>
        <v>mwc</v>
      </c>
      <c r="W536" s="3" t="n">
        <f aca="false">COUNTIFS($A$2:$A$1001,A536,$C$2:$C$1001,C536)</f>
        <v>1</v>
      </c>
      <c r="X536" s="3" t="str">
        <f aca="false">IF(W536&gt;1,"Duplicate","Unique")</f>
        <v>Unique</v>
      </c>
      <c r="Y536" s="3" t="str">
        <f aca="false">IF(B536&lt;6.5,"&lt;6.5",IF(B536&lt;7,"6.5–6.9",IF(B536&lt;7.5,"7.0–7.4",IF(B536&lt;8,"7.5–7.9","8.0+"))))</f>
        <v>6.5–6.9</v>
      </c>
      <c r="Z536" s="3" t="n">
        <f aca="false">IF(T536="","",YEAR(T536))</f>
        <v>2010</v>
      </c>
    </row>
    <row r="537" customFormat="false" ht="13.8" hidden="false" customHeight="false" outlineLevel="0" collapsed="false">
      <c r="A537" s="3" t="s">
        <v>1443</v>
      </c>
      <c r="B537" s="3" t="n">
        <v>7</v>
      </c>
      <c r="C537" s="3" t="s">
        <v>1444</v>
      </c>
      <c r="D537" s="3" t="n">
        <v>3</v>
      </c>
      <c r="E537" s="3" t="n">
        <v>7</v>
      </c>
      <c r="F537" s="3"/>
      <c r="G537" s="3" t="n">
        <v>0</v>
      </c>
      <c r="H537" s="3" t="n">
        <v>755</v>
      </c>
      <c r="I537" s="3" t="s">
        <v>22</v>
      </c>
      <c r="J537" s="3" t="n">
        <v>307</v>
      </c>
      <c r="K537" s="3" t="n">
        <v>0</v>
      </c>
      <c r="L537" s="3" t="n">
        <v>18.1</v>
      </c>
      <c r="M537" s="3" t="s">
        <v>127</v>
      </c>
      <c r="N537" s="3" t="n">
        <v>18</v>
      </c>
      <c r="O537" s="3" t="n">
        <v>-2.174</v>
      </c>
      <c r="P537" s="3" t="n">
        <v>136.543</v>
      </c>
      <c r="Q537" s="3" t="s">
        <v>1442</v>
      </c>
      <c r="R537" s="3"/>
      <c r="S537" s="3" t="s">
        <v>68</v>
      </c>
      <c r="T537" s="5" t="n">
        <f aca="false">IF(C537="","",DATE(VALUE(MID(C537,7,4)),VALUE(MID(C537,4,2)),VALUE(MID(C537,1,2)))+TIME(VALUE(MID(C537,12,2)),VALUE(MID(C537,15,2)),0))</f>
        <v>40345.1361111111</v>
      </c>
      <c r="U537" s="3" t="str">
        <f aca="false">IFERROR(IF(ISNUMBER(VALUE(TRIM(MID(A537,FIND("-",A537)+1,FIND("km",A537)-FIND("-",A537)-1)))),"Distance + direction + city","Named-region"),"Named-region")</f>
        <v>Distance + direction + city</v>
      </c>
      <c r="V537" s="3" t="str">
        <f aca="false">LOWER(M537)</f>
        <v>mwc</v>
      </c>
      <c r="W537" s="3" t="n">
        <f aca="false">COUNTIFS($A$2:$A$1001,A537,$C$2:$C$1001,C537)</f>
        <v>1</v>
      </c>
      <c r="X537" s="3" t="str">
        <f aca="false">IF(W537&gt;1,"Duplicate","Unique")</f>
        <v>Unique</v>
      </c>
      <c r="Y537" s="3" t="str">
        <f aca="false">IF(B537&lt;6.5,"&lt;6.5",IF(B537&lt;7,"6.5–6.9",IF(B537&lt;7.5,"7.0–7.4",IF(B537&lt;8,"7.5–7.9","8.0+"))))</f>
        <v>7.0–7.4</v>
      </c>
      <c r="Z537" s="3" t="n">
        <f aca="false">IF(T537="","",YEAR(T537))</f>
        <v>2010</v>
      </c>
    </row>
    <row r="538" customFormat="false" ht="13.8" hidden="false" customHeight="false" outlineLevel="0" collapsed="false">
      <c r="A538" s="3" t="s">
        <v>1445</v>
      </c>
      <c r="B538" s="3" t="n">
        <v>7.5</v>
      </c>
      <c r="C538" s="6" t="s">
        <v>1446</v>
      </c>
      <c r="D538" s="3" t="n">
        <v>6</v>
      </c>
      <c r="E538" s="3" t="n">
        <v>5</v>
      </c>
      <c r="F538" s="3"/>
      <c r="G538" s="3" t="n">
        <v>0</v>
      </c>
      <c r="H538" s="3" t="n">
        <v>1144</v>
      </c>
      <c r="I538" s="3" t="s">
        <v>22</v>
      </c>
      <c r="J538" s="3" t="n">
        <v>514</v>
      </c>
      <c r="K538" s="3" t="n">
        <v>0</v>
      </c>
      <c r="L538" s="3" t="n">
        <v>18.6</v>
      </c>
      <c r="M538" s="3" t="s">
        <v>127</v>
      </c>
      <c r="N538" s="3" t="n">
        <v>35</v>
      </c>
      <c r="O538" s="3" t="n">
        <v>7.881</v>
      </c>
      <c r="P538" s="3" t="n">
        <v>91.936</v>
      </c>
      <c r="Q538" s="3" t="s">
        <v>890</v>
      </c>
      <c r="R538" s="3"/>
      <c r="S538" s="3"/>
      <c r="T538" s="5" t="n">
        <f aca="false">IF(C538="","",DATE(VALUE(MID(C538,7,4)),VALUE(MID(C538,4,2)),VALUE(MID(C538,1,2)))+TIME(VALUE(MID(C538,12,2)),VALUE(MID(C538,15,2)),0))</f>
        <v>40341.8097222222</v>
      </c>
      <c r="U538" s="3" t="str">
        <f aca="false">IFERROR(IF(ISNUMBER(VALUE(TRIM(MID(A538,FIND("-",A538)+1,FIND("km",A538)-FIND("-",A538)-1)))),"Distance + direction + city","Named-region"),"Named-region")</f>
        <v>Named-region</v>
      </c>
      <c r="V538" s="3" t="str">
        <f aca="false">LOWER(M538)</f>
        <v>mwc</v>
      </c>
      <c r="W538" s="3" t="n">
        <f aca="false">COUNTIFS($A$2:$A$1001,A538,$C$2:$C$1001,C538)</f>
        <v>1</v>
      </c>
      <c r="X538" s="3" t="str">
        <f aca="false">IF(W538&gt;1,"Duplicate","Unique")</f>
        <v>Unique</v>
      </c>
      <c r="Y538" s="3" t="str">
        <f aca="false">IF(B538&lt;6.5,"&lt;6.5",IF(B538&lt;7,"6.5–6.9",IF(B538&lt;7.5,"7.0–7.4",IF(B538&lt;8,"7.5–7.9","8.0+"))))</f>
        <v>7.5–7.9</v>
      </c>
      <c r="Z538" s="3" t="n">
        <f aca="false">IF(T538="","",YEAR(T538))</f>
        <v>2010</v>
      </c>
    </row>
    <row r="539" customFormat="false" ht="13.8" hidden="false" customHeight="false" outlineLevel="0" collapsed="false">
      <c r="A539" s="3" t="s">
        <v>1447</v>
      </c>
      <c r="B539" s="3" t="n">
        <v>7.2</v>
      </c>
      <c r="C539" s="3" t="s">
        <v>1448</v>
      </c>
      <c r="D539" s="3" t="n">
        <v>5</v>
      </c>
      <c r="E539" s="3" t="n">
        <v>6</v>
      </c>
      <c r="F539" s="3"/>
      <c r="G539" s="3" t="n">
        <v>0</v>
      </c>
      <c r="H539" s="3" t="n">
        <v>804</v>
      </c>
      <c r="I539" s="3" t="s">
        <v>22</v>
      </c>
      <c r="J539" s="3" t="n">
        <v>327</v>
      </c>
      <c r="K539" s="3" t="n">
        <v>0</v>
      </c>
      <c r="L539" s="3" t="n">
        <v>11.7</v>
      </c>
      <c r="M539" s="3" t="s">
        <v>127</v>
      </c>
      <c r="N539" s="3" t="n">
        <v>31</v>
      </c>
      <c r="O539" s="3" t="n">
        <v>-13.698</v>
      </c>
      <c r="P539" s="3" t="n">
        <v>166.643</v>
      </c>
      <c r="Q539" s="3" t="s">
        <v>24</v>
      </c>
      <c r="R539" s="3"/>
      <c r="S539" s="3" t="s">
        <v>25</v>
      </c>
      <c r="T539" s="5" t="n">
        <f aca="false">IF(C539="","",DATE(VALUE(MID(C539,7,4)),VALUE(MID(C539,4,2)),VALUE(MID(C539,1,2)))+TIME(VALUE(MID(C539,12,2)),VALUE(MID(C539,15,2)),0))</f>
        <v>40325.7180555556</v>
      </c>
      <c r="U539" s="3" t="str">
        <f aca="false">IFERROR(IF(ISNUMBER(VALUE(TRIM(MID(A539,FIND("-",A539)+1,FIND("km",A539)-FIND("-",A539)-1)))),"Distance + direction + city","Named-region"),"Named-region")</f>
        <v>Distance + direction + city</v>
      </c>
      <c r="V539" s="3" t="str">
        <f aca="false">LOWER(M539)</f>
        <v>mwc</v>
      </c>
      <c r="W539" s="3" t="n">
        <f aca="false">COUNTIFS($A$2:$A$1001,A539,$C$2:$C$1001,C539)</f>
        <v>1</v>
      </c>
      <c r="X539" s="3" t="str">
        <f aca="false">IF(W539&gt;1,"Duplicate","Unique")</f>
        <v>Unique</v>
      </c>
      <c r="Y539" s="3" t="str">
        <f aca="false">IF(B539&lt;6.5,"&lt;6.5",IF(B539&lt;7,"6.5–6.9",IF(B539&lt;7.5,"7.0–7.4",IF(B539&lt;8,"7.5–7.9","8.0+"))))</f>
        <v>7.0–7.4</v>
      </c>
      <c r="Z539" s="3" t="n">
        <f aca="false">IF(T539="","",YEAR(T539))</f>
        <v>2010</v>
      </c>
    </row>
    <row r="540" customFormat="false" ht="13.8" hidden="false" customHeight="false" outlineLevel="0" collapsed="false">
      <c r="A540" s="3" t="s">
        <v>1449</v>
      </c>
      <c r="B540" s="3" t="n">
        <v>7.2</v>
      </c>
      <c r="C540" s="6" t="s">
        <v>1450</v>
      </c>
      <c r="D540" s="3" t="n">
        <v>5</v>
      </c>
      <c r="E540" s="3" t="n">
        <v>6</v>
      </c>
      <c r="F540" s="3"/>
      <c r="G540" s="3" t="n">
        <v>0</v>
      </c>
      <c r="H540" s="3" t="n">
        <v>918</v>
      </c>
      <c r="I540" s="3" t="s">
        <v>22</v>
      </c>
      <c r="J540" s="3" t="n">
        <v>611</v>
      </c>
      <c r="K540" s="3" t="n">
        <v>0</v>
      </c>
      <c r="L540" s="3" t="n">
        <v>20.6</v>
      </c>
      <c r="M540" s="3" t="s">
        <v>127</v>
      </c>
      <c r="N540" s="3" t="n">
        <v>38</v>
      </c>
      <c r="O540" s="3" t="n">
        <v>3.748</v>
      </c>
      <c r="P540" s="3" t="n">
        <v>96.018</v>
      </c>
      <c r="Q540" s="3" t="s">
        <v>1451</v>
      </c>
      <c r="R540" s="3"/>
      <c r="S540" s="3" t="s">
        <v>68</v>
      </c>
      <c r="T540" s="5" t="n">
        <f aca="false">IF(C540="","",DATE(VALUE(MID(C540,7,4)),VALUE(MID(C540,4,2)),VALUE(MID(C540,1,2)))+TIME(VALUE(MID(C540,12,2)),VALUE(MID(C540,15,2)),0))</f>
        <v>40307.2493055556</v>
      </c>
      <c r="U540" s="3" t="str">
        <f aca="false">IFERROR(IF(ISNUMBER(VALUE(TRIM(MID(A540,FIND("-",A540)+1,FIND("km",A540)-FIND("-",A540)-1)))),"Distance + direction + city","Named-region"),"Named-region")</f>
        <v>Distance + direction + city</v>
      </c>
      <c r="V540" s="3" t="str">
        <f aca="false">LOWER(M540)</f>
        <v>mwc</v>
      </c>
      <c r="W540" s="3" t="n">
        <f aca="false">COUNTIFS($A$2:$A$1001,A540,$C$2:$C$1001,C540)</f>
        <v>1</v>
      </c>
      <c r="X540" s="3" t="str">
        <f aca="false">IF(W540&gt;1,"Duplicate","Unique")</f>
        <v>Unique</v>
      </c>
      <c r="Y540" s="3" t="str">
        <f aca="false">IF(B540&lt;6.5,"&lt;6.5",IF(B540&lt;7,"6.5–6.9",IF(B540&lt;7.5,"7.0–7.4",IF(B540&lt;8,"7.5–7.9","8.0+"))))</f>
        <v>7.0–7.4</v>
      </c>
      <c r="Z540" s="3" t="n">
        <f aca="false">IF(T540="","",YEAR(T540))</f>
        <v>2010</v>
      </c>
    </row>
    <row r="541" customFormat="false" ht="13.8" hidden="false" customHeight="false" outlineLevel="0" collapsed="false">
      <c r="A541" s="3" t="s">
        <v>1452</v>
      </c>
      <c r="B541" s="3" t="n">
        <v>6.9</v>
      </c>
      <c r="C541" s="3" t="s">
        <v>1453</v>
      </c>
      <c r="D541" s="3" t="n">
        <v>6</v>
      </c>
      <c r="E541" s="3" t="n">
        <v>9</v>
      </c>
      <c r="F541" s="3"/>
      <c r="G541" s="3" t="n">
        <v>0</v>
      </c>
      <c r="H541" s="3" t="n">
        <v>773</v>
      </c>
      <c r="I541" s="3" t="s">
        <v>22</v>
      </c>
      <c r="J541" s="3" t="n">
        <v>410</v>
      </c>
      <c r="K541" s="3" t="n">
        <v>0</v>
      </c>
      <c r="L541" s="3" t="n">
        <v>14.9</v>
      </c>
      <c r="M541" s="3" t="s">
        <v>127</v>
      </c>
      <c r="N541" s="3" t="n">
        <v>17</v>
      </c>
      <c r="O541" s="3" t="n">
        <v>33.165</v>
      </c>
      <c r="P541" s="3" t="n">
        <v>96.548</v>
      </c>
      <c r="Q541" s="3" t="s">
        <v>1454</v>
      </c>
      <c r="R541" s="3" t="s">
        <v>80</v>
      </c>
      <c r="S541" s="3" t="s">
        <v>184</v>
      </c>
      <c r="T541" s="5" t="n">
        <f aca="false">IF(C541="","",DATE(VALUE(MID(C541,7,4)),VALUE(MID(C541,4,2)),VALUE(MID(C541,1,2)))+TIME(VALUE(MID(C541,12,2)),VALUE(MID(C541,15,2)),0))</f>
        <v>40281.9923611111</v>
      </c>
      <c r="U541" s="3" t="str">
        <f aca="false">IFERROR(IF(ISNUMBER(VALUE(TRIM(MID(A541,FIND("-",A541)+1,FIND("km",A541)-FIND("-",A541)-1)))),"Distance + direction + city","Named-region"),"Named-region")</f>
        <v>Distance + direction + city</v>
      </c>
      <c r="V541" s="3" t="str">
        <f aca="false">LOWER(M541)</f>
        <v>mwc</v>
      </c>
      <c r="W541" s="3" t="n">
        <f aca="false">COUNTIFS($A$2:$A$1001,A541,$C$2:$C$1001,C541)</f>
        <v>1</v>
      </c>
      <c r="X541" s="3" t="str">
        <f aca="false">IF(W541&gt;1,"Duplicate","Unique")</f>
        <v>Unique</v>
      </c>
      <c r="Y541" s="3" t="str">
        <f aca="false">IF(B541&lt;6.5,"&lt;6.5",IF(B541&lt;7,"6.5–6.9",IF(B541&lt;7.5,"7.0–7.4",IF(B541&lt;8,"7.5–7.9","8.0+"))))</f>
        <v>6.5–6.9</v>
      </c>
      <c r="Z541" s="3" t="n">
        <f aca="false">IF(T541="","",YEAR(T541))</f>
        <v>2010</v>
      </c>
    </row>
    <row r="542" customFormat="false" ht="13.8" hidden="false" customHeight="false" outlineLevel="0" collapsed="false">
      <c r="A542" s="3" t="s">
        <v>1455</v>
      </c>
      <c r="B542" s="3" t="n">
        <v>6.9</v>
      </c>
      <c r="C542" s="6" t="s">
        <v>1456</v>
      </c>
      <c r="D542" s="3" t="n">
        <v>4</v>
      </c>
      <c r="E542" s="3" t="n">
        <v>5</v>
      </c>
      <c r="F542" s="3"/>
      <c r="G542" s="3" t="n">
        <v>0</v>
      </c>
      <c r="H542" s="3" t="n">
        <v>740</v>
      </c>
      <c r="I542" s="3" t="s">
        <v>22</v>
      </c>
      <c r="J542" s="3" t="n">
        <v>399</v>
      </c>
      <c r="K542" s="3" t="n">
        <v>0</v>
      </c>
      <c r="L542" s="3" t="n">
        <v>12.1</v>
      </c>
      <c r="M542" s="3" t="s">
        <v>127</v>
      </c>
      <c r="N542" s="3" t="n">
        <v>21</v>
      </c>
      <c r="O542" s="3" t="n">
        <v>-10.878</v>
      </c>
      <c r="P542" s="3" t="n">
        <v>161.116</v>
      </c>
      <c r="Q542" s="3" t="s">
        <v>581</v>
      </c>
      <c r="R542" s="3"/>
      <c r="S542" s="3"/>
      <c r="T542" s="5" t="n">
        <f aca="false">IF(C542="","",DATE(VALUE(MID(C542,7,4)),VALUE(MID(C542,4,2)),VALUE(MID(C542,1,2)))+TIME(VALUE(MID(C542,12,2)),VALUE(MID(C542,15,2)),0))</f>
        <v>40279.4027777778</v>
      </c>
      <c r="U542" s="3" t="str">
        <f aca="false">IFERROR(IF(ISNUMBER(VALUE(TRIM(MID(A542,FIND("-",A542)+1,FIND("km",A542)-FIND("-",A542)-1)))),"Distance + direction + city","Named-region"),"Named-region")</f>
        <v>Distance + direction + city</v>
      </c>
      <c r="V542" s="3" t="str">
        <f aca="false">LOWER(M542)</f>
        <v>mwc</v>
      </c>
      <c r="W542" s="3" t="n">
        <f aca="false">COUNTIFS($A$2:$A$1001,A542,$C$2:$C$1001,C542)</f>
        <v>1</v>
      </c>
      <c r="X542" s="3" t="str">
        <f aca="false">IF(W542&gt;1,"Duplicate","Unique")</f>
        <v>Unique</v>
      </c>
      <c r="Y542" s="3" t="str">
        <f aca="false">IF(B542&lt;6.5,"&lt;6.5",IF(B542&lt;7,"6.5–6.9",IF(B542&lt;7.5,"7.0–7.4",IF(B542&lt;8,"7.5–7.9","8.0+"))))</f>
        <v>6.5–6.9</v>
      </c>
      <c r="Z542" s="3" t="n">
        <f aca="false">IF(T542="","",YEAR(T542))</f>
        <v>2010</v>
      </c>
    </row>
    <row r="543" customFormat="false" ht="13.8" hidden="false" customHeight="false" outlineLevel="0" collapsed="false">
      <c r="A543" s="3" t="s">
        <v>1457</v>
      </c>
      <c r="B543" s="3" t="n">
        <v>7.8</v>
      </c>
      <c r="C543" s="6" t="s">
        <v>1458</v>
      </c>
      <c r="D543" s="3" t="n">
        <v>0</v>
      </c>
      <c r="E543" s="3" t="n">
        <v>7</v>
      </c>
      <c r="F543" s="3"/>
      <c r="G543" s="3" t="n">
        <v>0</v>
      </c>
      <c r="H543" s="3" t="n">
        <v>936</v>
      </c>
      <c r="I543" s="3" t="s">
        <v>22</v>
      </c>
      <c r="J543" s="3" t="n">
        <v>352</v>
      </c>
      <c r="K543" s="3" t="n">
        <v>0</v>
      </c>
      <c r="L543" s="3" t="n">
        <v>19.2</v>
      </c>
      <c r="M543" s="3" t="s">
        <v>127</v>
      </c>
      <c r="N543" s="3" t="n">
        <v>31</v>
      </c>
      <c r="O543" s="3" t="n">
        <v>2.383</v>
      </c>
      <c r="P543" s="3" t="n">
        <v>97.048</v>
      </c>
      <c r="Q543" s="3" t="s">
        <v>317</v>
      </c>
      <c r="R543" s="3"/>
      <c r="S543" s="3" t="s">
        <v>68</v>
      </c>
      <c r="T543" s="5" t="n">
        <f aca="false">IF(C543="","",DATE(VALUE(MID(C543,7,4)),VALUE(MID(C543,4,2)),VALUE(MID(C543,1,2)))+TIME(VALUE(MID(C543,12,2)),VALUE(MID(C543,15,2)),0))</f>
        <v>40274.9270833333</v>
      </c>
      <c r="U543" s="3" t="str">
        <f aca="false">IFERROR(IF(ISNUMBER(VALUE(TRIM(MID(A543,FIND("-",A543)+1,FIND("km",A543)-FIND("-",A543)-1)))),"Distance + direction + city","Named-region"),"Named-region")</f>
        <v>Distance + direction + city</v>
      </c>
      <c r="V543" s="3" t="str">
        <f aca="false">LOWER(M543)</f>
        <v>mwc</v>
      </c>
      <c r="W543" s="3" t="n">
        <f aca="false">COUNTIFS($A$2:$A$1001,A543,$C$2:$C$1001,C543)</f>
        <v>1</v>
      </c>
      <c r="X543" s="3" t="str">
        <f aca="false">IF(W543&gt;1,"Duplicate","Unique")</f>
        <v>Unique</v>
      </c>
      <c r="Y543" s="3" t="str">
        <f aca="false">IF(B543&lt;6.5,"&lt;6.5",IF(B543&lt;7,"6.5–6.9",IF(B543&lt;7.5,"7.0–7.4",IF(B543&lt;8,"7.5–7.9","8.0+"))))</f>
        <v>7.5–7.9</v>
      </c>
      <c r="Z543" s="3" t="n">
        <f aca="false">IF(T543="","",YEAR(T543))</f>
        <v>2010</v>
      </c>
    </row>
    <row r="544" customFormat="false" ht="13.8" hidden="false" customHeight="false" outlineLevel="0" collapsed="false">
      <c r="A544" s="3" t="s">
        <v>1459</v>
      </c>
      <c r="B544" s="3" t="n">
        <v>7.2</v>
      </c>
      <c r="C544" s="6" t="s">
        <v>1460</v>
      </c>
      <c r="D544" s="3" t="n">
        <v>9</v>
      </c>
      <c r="E544" s="3" t="n">
        <v>9</v>
      </c>
      <c r="F544" s="3" t="s">
        <v>121</v>
      </c>
      <c r="G544" s="3" t="n">
        <v>0</v>
      </c>
      <c r="H544" s="3" t="n">
        <v>2910</v>
      </c>
      <c r="I544" s="3" t="s">
        <v>484</v>
      </c>
      <c r="J544" s="3" t="n">
        <v>10</v>
      </c>
      <c r="K544" s="3" t="n">
        <v>0.5137</v>
      </c>
      <c r="L544" s="3" t="n">
        <v>239</v>
      </c>
      <c r="M544" s="3" t="s">
        <v>485</v>
      </c>
      <c r="N544" s="3" t="n">
        <v>9.987</v>
      </c>
      <c r="O544" s="3" t="n">
        <v>32.2862</v>
      </c>
      <c r="P544" s="3" t="n">
        <v>-115.295</v>
      </c>
      <c r="Q544" s="3" t="s">
        <v>1461</v>
      </c>
      <c r="R544" s="3" t="s">
        <v>164</v>
      </c>
      <c r="S544" s="3" t="s">
        <v>165</v>
      </c>
      <c r="T544" s="5" t="n">
        <f aca="false">IF(C544="","",DATE(VALUE(MID(C544,7,4)),VALUE(MID(C544,4,2)),VALUE(MID(C544,1,2)))+TIME(VALUE(MID(C544,12,2)),VALUE(MID(C544,15,2)),0))</f>
        <v>40272.9444444444</v>
      </c>
      <c r="U544" s="3" t="str">
        <f aca="false">IFERROR(IF(ISNUMBER(VALUE(TRIM(MID(A544,FIND("-",A544)+1,FIND("km",A544)-FIND("-",A544)-1)))),"Distance + direction + city","Named-region"),"Named-region")</f>
        <v>Distance + direction + city</v>
      </c>
      <c r="V544" s="3" t="str">
        <f aca="false">LOWER(M544)</f>
        <v>mw</v>
      </c>
      <c r="W544" s="3" t="n">
        <f aca="false">COUNTIFS($A$2:$A$1001,A544,$C$2:$C$1001,C544)</f>
        <v>1</v>
      </c>
      <c r="X544" s="3" t="str">
        <f aca="false">IF(W544&gt;1,"Duplicate","Unique")</f>
        <v>Unique</v>
      </c>
      <c r="Y544" s="3" t="str">
        <f aca="false">IF(B544&lt;6.5,"&lt;6.5",IF(B544&lt;7,"6.5–6.9",IF(B544&lt;7.5,"7.0–7.4",IF(B544&lt;8,"7.5–7.9","8.0+"))))</f>
        <v>7.0–7.4</v>
      </c>
      <c r="Z544" s="3" t="n">
        <f aca="false">IF(T544="","",YEAR(T544))</f>
        <v>2010</v>
      </c>
    </row>
    <row r="545" customFormat="false" ht="13.8" hidden="false" customHeight="false" outlineLevel="0" collapsed="false">
      <c r="A545" s="3" t="s">
        <v>1462</v>
      </c>
      <c r="B545" s="3" t="n">
        <v>6.6</v>
      </c>
      <c r="C545" s="3" t="s">
        <v>1463</v>
      </c>
      <c r="D545" s="3" t="n">
        <v>5</v>
      </c>
      <c r="E545" s="3" t="n">
        <v>6</v>
      </c>
      <c r="F545" s="3"/>
      <c r="G545" s="3" t="n">
        <v>0</v>
      </c>
      <c r="H545" s="3" t="n">
        <v>701</v>
      </c>
      <c r="I545" s="3" t="s">
        <v>22</v>
      </c>
      <c r="J545" s="3" t="n">
        <v>413</v>
      </c>
      <c r="K545" s="3" t="n">
        <v>0</v>
      </c>
      <c r="L545" s="3" t="n">
        <v>16.7</v>
      </c>
      <c r="M545" s="3" t="s">
        <v>127</v>
      </c>
      <c r="N545" s="3" t="n">
        <v>34</v>
      </c>
      <c r="O545" s="3" t="n">
        <v>13.667</v>
      </c>
      <c r="P545" s="3" t="n">
        <v>92.831</v>
      </c>
      <c r="Q545" s="3" t="s">
        <v>1464</v>
      </c>
      <c r="R545" s="3"/>
      <c r="S545" s="3" t="s">
        <v>860</v>
      </c>
      <c r="T545" s="5" t="n">
        <f aca="false">IF(C545="","",DATE(VALUE(MID(C545,7,4)),VALUE(MID(C545,4,2)),VALUE(MID(C545,1,2)))+TIME(VALUE(MID(C545,12,2)),VALUE(MID(C545,15,2)),0))</f>
        <v>40267.7041666667</v>
      </c>
      <c r="U545" s="3" t="str">
        <f aca="false">IFERROR(IF(ISNUMBER(VALUE(TRIM(MID(A545,FIND("-",A545)+1,FIND("km",A545)-FIND("-",A545)-1)))),"Distance + direction + city","Named-region"),"Named-region")</f>
        <v>Distance + direction + city</v>
      </c>
      <c r="V545" s="3" t="str">
        <f aca="false">LOWER(M545)</f>
        <v>mwc</v>
      </c>
      <c r="W545" s="3" t="n">
        <f aca="false">COUNTIFS($A$2:$A$1001,A545,$C$2:$C$1001,C545)</f>
        <v>1</v>
      </c>
      <c r="X545" s="3" t="str">
        <f aca="false">IF(W545&gt;1,"Duplicate","Unique")</f>
        <v>Unique</v>
      </c>
      <c r="Y545" s="3" t="str">
        <f aca="false">IF(B545&lt;6.5,"&lt;6.5",IF(B545&lt;7,"6.5–6.9",IF(B545&lt;7.5,"7.0–7.4",IF(B545&lt;8,"7.5–7.9","8.0+"))))</f>
        <v>6.5–6.9</v>
      </c>
      <c r="Z545" s="3" t="n">
        <f aca="false">IF(T545="","",YEAR(T545))</f>
        <v>2010</v>
      </c>
    </row>
    <row r="546" customFormat="false" ht="13.8" hidden="false" customHeight="false" outlineLevel="0" collapsed="false">
      <c r="A546" s="3" t="s">
        <v>1465</v>
      </c>
      <c r="B546" s="3" t="n">
        <v>6.7</v>
      </c>
      <c r="C546" s="3" t="s">
        <v>1466</v>
      </c>
      <c r="D546" s="3" t="n">
        <v>5</v>
      </c>
      <c r="E546" s="3" t="n">
        <v>6</v>
      </c>
      <c r="F546" s="3"/>
      <c r="G546" s="3" t="n">
        <v>0</v>
      </c>
      <c r="H546" s="3" t="n">
        <v>856</v>
      </c>
      <c r="I546" s="3" t="s">
        <v>22</v>
      </c>
      <c r="J546" s="3" t="n">
        <v>312</v>
      </c>
      <c r="K546" s="3" t="n">
        <v>0</v>
      </c>
      <c r="L546" s="3" t="n">
        <v>34.7</v>
      </c>
      <c r="M546" s="3" t="s">
        <v>127</v>
      </c>
      <c r="N546" s="3" t="n">
        <v>18</v>
      </c>
      <c r="O546" s="3" t="n">
        <v>-36.217</v>
      </c>
      <c r="P546" s="3" t="n">
        <v>-73.257</v>
      </c>
      <c r="Q546" s="3" t="s">
        <v>1391</v>
      </c>
      <c r="R546" s="3"/>
      <c r="S546" s="3"/>
      <c r="T546" s="5" t="n">
        <f aca="false">IF(C546="","",DATE(VALUE(MID(C546,7,4)),VALUE(MID(C546,4,2)),VALUE(MID(C546,1,2)))+TIME(VALUE(MID(C546,12,2)),VALUE(MID(C546,15,2)),0))</f>
        <v>40253.0979166667</v>
      </c>
      <c r="U546" s="3" t="str">
        <f aca="false">IFERROR(IF(ISNUMBER(VALUE(TRIM(MID(A546,FIND("-",A546)+1,FIND("km",A546)-FIND("-",A546)-1)))),"Distance + direction + city","Named-region"),"Named-region")</f>
        <v>Distance + direction + city</v>
      </c>
      <c r="V546" s="3" t="str">
        <f aca="false">LOWER(M546)</f>
        <v>mwc</v>
      </c>
      <c r="W546" s="3" t="n">
        <f aca="false">COUNTIFS($A$2:$A$1001,A546,$C$2:$C$1001,C546)</f>
        <v>1</v>
      </c>
      <c r="X546" s="3" t="str">
        <f aca="false">IF(W546&gt;1,"Duplicate","Unique")</f>
        <v>Unique</v>
      </c>
      <c r="Y546" s="3" t="str">
        <f aca="false">IF(B546&lt;6.5,"&lt;6.5",IF(B546&lt;7,"6.5–6.9",IF(B546&lt;7.5,"7.0–7.4",IF(B546&lt;8,"7.5–7.9","8.0+"))))</f>
        <v>6.5–6.9</v>
      </c>
      <c r="Z546" s="3" t="n">
        <f aca="false">IF(T546="","",YEAR(T546))</f>
        <v>2010</v>
      </c>
    </row>
    <row r="547" customFormat="false" ht="13.8" hidden="false" customHeight="false" outlineLevel="0" collapsed="false">
      <c r="A547" s="3" t="s">
        <v>1467</v>
      </c>
      <c r="B547" s="3" t="n">
        <v>6.5</v>
      </c>
      <c r="C547" s="3" t="s">
        <v>1468</v>
      </c>
      <c r="D547" s="3" t="n">
        <v>6</v>
      </c>
      <c r="E547" s="3" t="n">
        <v>5</v>
      </c>
      <c r="F547" s="3"/>
      <c r="G547" s="3" t="n">
        <v>0</v>
      </c>
      <c r="H547" s="3" t="n">
        <v>810</v>
      </c>
      <c r="I547" s="3" t="s">
        <v>22</v>
      </c>
      <c r="J547" s="3" t="n">
        <v>491</v>
      </c>
      <c r="K547" s="3" t="n">
        <v>0</v>
      </c>
      <c r="L547" s="3" t="n">
        <v>27</v>
      </c>
      <c r="M547" s="3" t="s">
        <v>127</v>
      </c>
      <c r="N547" s="3" t="n">
        <v>32</v>
      </c>
      <c r="O547" s="3" t="n">
        <v>37.745</v>
      </c>
      <c r="P547" s="3" t="n">
        <v>141.59</v>
      </c>
      <c r="Q547" s="3" t="s">
        <v>217</v>
      </c>
      <c r="R547" s="3"/>
      <c r="S547" s="3"/>
      <c r="T547" s="5" t="n">
        <f aca="false">IF(C547="","",DATE(VALUE(MID(C547,7,4)),VALUE(MID(C547,4,2)),VALUE(MID(C547,1,2)))+TIME(VALUE(MID(C547,12,2)),VALUE(MID(C547,15,2)),0))</f>
        <v>40251.3388888889</v>
      </c>
      <c r="U547" s="3" t="str">
        <f aca="false">IFERROR(IF(ISNUMBER(VALUE(TRIM(MID(A547,FIND("-",A547)+1,FIND("km",A547)-FIND("-",A547)-1)))),"Distance + direction + city","Named-region"),"Named-region")</f>
        <v>Distance + direction + city</v>
      </c>
      <c r="V547" s="3" t="str">
        <f aca="false">LOWER(M547)</f>
        <v>mwc</v>
      </c>
      <c r="W547" s="3" t="n">
        <f aca="false">COUNTIFS($A$2:$A$1001,A547,$C$2:$C$1001,C547)</f>
        <v>1</v>
      </c>
      <c r="X547" s="3" t="str">
        <f aca="false">IF(W547&gt;1,"Duplicate","Unique")</f>
        <v>Unique</v>
      </c>
      <c r="Y547" s="3" t="str">
        <f aca="false">IF(B547&lt;6.5,"&lt;6.5",IF(B547&lt;7,"6.5–6.9",IF(B547&lt;7.5,"7.0–7.4",IF(B547&lt;8,"7.5–7.9","8.0+"))))</f>
        <v>6.5–6.9</v>
      </c>
      <c r="Z547" s="3" t="n">
        <f aca="false">IF(T547="","",YEAR(T547))</f>
        <v>2010</v>
      </c>
    </row>
    <row r="548" customFormat="false" ht="13.8" hidden="false" customHeight="false" outlineLevel="0" collapsed="false">
      <c r="A548" s="3" t="s">
        <v>1469</v>
      </c>
      <c r="B548" s="3" t="n">
        <v>7</v>
      </c>
      <c r="C548" s="6" t="s">
        <v>1470</v>
      </c>
      <c r="D548" s="3" t="n">
        <v>7</v>
      </c>
      <c r="E548" s="3" t="n">
        <v>7</v>
      </c>
      <c r="F548" s="3"/>
      <c r="G548" s="3" t="n">
        <v>0</v>
      </c>
      <c r="H548" s="3" t="n">
        <v>874</v>
      </c>
      <c r="I548" s="3" t="s">
        <v>22</v>
      </c>
      <c r="J548" s="3" t="n">
        <v>403</v>
      </c>
      <c r="K548" s="3" t="n">
        <v>0</v>
      </c>
      <c r="L548" s="3" t="n">
        <v>17.1</v>
      </c>
      <c r="M548" s="3" t="s">
        <v>127</v>
      </c>
      <c r="N548" s="3" t="n">
        <v>18</v>
      </c>
      <c r="O548" s="3" t="n">
        <v>-34.326</v>
      </c>
      <c r="P548" s="3" t="n">
        <v>-71.799</v>
      </c>
      <c r="Q548" s="3" t="s">
        <v>1471</v>
      </c>
      <c r="R548" s="3" t="s">
        <v>33</v>
      </c>
      <c r="S548" s="3" t="s">
        <v>373</v>
      </c>
      <c r="T548" s="5" t="n">
        <f aca="false">IF(C548="","",DATE(VALUE(MID(C548,7,4)),VALUE(MID(C548,4,2)),VALUE(MID(C548,1,2)))+TIME(VALUE(MID(C548,12,2)),VALUE(MID(C548,15,2)),0))</f>
        <v>40248.6215277778</v>
      </c>
      <c r="U548" s="3" t="str">
        <f aca="false">IFERROR(IF(ISNUMBER(VALUE(TRIM(MID(A548,FIND("-",A548)+1,FIND("km",A548)-FIND("-",A548)-1)))),"Distance + direction + city","Named-region"),"Named-region")</f>
        <v>Distance + direction + city</v>
      </c>
      <c r="V548" s="3" t="str">
        <f aca="false">LOWER(M548)</f>
        <v>mwc</v>
      </c>
      <c r="W548" s="3" t="n">
        <f aca="false">COUNTIFS($A$2:$A$1001,A548,$C$2:$C$1001,C548)</f>
        <v>1</v>
      </c>
      <c r="X548" s="3" t="str">
        <f aca="false">IF(W548&gt;1,"Duplicate","Unique")</f>
        <v>Unique</v>
      </c>
      <c r="Y548" s="3" t="str">
        <f aca="false">IF(B548&lt;6.5,"&lt;6.5",IF(B548&lt;7,"6.5–6.9",IF(B548&lt;7.5,"7.0–7.4",IF(B548&lt;8,"7.5–7.9","8.0+"))))</f>
        <v>7.0–7.4</v>
      </c>
      <c r="Z548" s="3" t="n">
        <f aca="false">IF(T548="","",YEAR(T548))</f>
        <v>2010</v>
      </c>
    </row>
    <row r="549" customFormat="false" ht="13.8" hidden="false" customHeight="false" outlineLevel="0" collapsed="false">
      <c r="A549" s="3" t="s">
        <v>1472</v>
      </c>
      <c r="B549" s="3" t="n">
        <v>6.9</v>
      </c>
      <c r="C549" s="6" t="s">
        <v>1473</v>
      </c>
      <c r="D549" s="3" t="n">
        <v>7</v>
      </c>
      <c r="E549" s="3" t="n">
        <v>7</v>
      </c>
      <c r="F549" s="3"/>
      <c r="G549" s="3" t="n">
        <v>0</v>
      </c>
      <c r="H549" s="3" t="n">
        <v>1280</v>
      </c>
      <c r="I549" s="3" t="s">
        <v>22</v>
      </c>
      <c r="J549" s="3" t="n">
        <v>415</v>
      </c>
      <c r="K549" s="3" t="n">
        <v>0</v>
      </c>
      <c r="L549" s="3" t="n">
        <v>12.5</v>
      </c>
      <c r="M549" s="3" t="s">
        <v>127</v>
      </c>
      <c r="N549" s="3" t="n">
        <v>11</v>
      </c>
      <c r="O549" s="3" t="n">
        <v>-34.29</v>
      </c>
      <c r="P549" s="3" t="n">
        <v>-71.891</v>
      </c>
      <c r="Q549" s="3" t="s">
        <v>1471</v>
      </c>
      <c r="R549" s="3" t="s">
        <v>33</v>
      </c>
      <c r="S549" s="3" t="s">
        <v>373</v>
      </c>
      <c r="T549" s="5" t="n">
        <f aca="false">IF(C549="","",DATE(VALUE(MID(C549,7,4)),VALUE(MID(C549,4,2)),VALUE(MID(C549,1,2)))+TIME(VALUE(MID(C549,12,2)),VALUE(MID(C549,15,2)),0))</f>
        <v>40248.6104166667</v>
      </c>
      <c r="U549" s="3" t="str">
        <f aca="false">IFERROR(IF(ISNUMBER(VALUE(TRIM(MID(A549,FIND("-",A549)+1,FIND("km",A549)-FIND("-",A549)-1)))),"Distance + direction + city","Named-region"),"Named-region")</f>
        <v>Distance + direction + city</v>
      </c>
      <c r="V549" s="3" t="str">
        <f aca="false">LOWER(M549)</f>
        <v>mwc</v>
      </c>
      <c r="W549" s="3" t="n">
        <f aca="false">COUNTIFS($A$2:$A$1001,A549,$C$2:$C$1001,C549)</f>
        <v>1</v>
      </c>
      <c r="X549" s="3" t="str">
        <f aca="false">IF(W549&gt;1,"Duplicate","Unique")</f>
        <v>Unique</v>
      </c>
      <c r="Y549" s="3" t="str">
        <f aca="false">IF(B549&lt;6.5,"&lt;6.5",IF(B549&lt;7,"6.5–6.9",IF(B549&lt;7.5,"7.0–7.4",IF(B549&lt;8,"7.5–7.9","8.0+"))))</f>
        <v>6.5–6.9</v>
      </c>
      <c r="Z549" s="3" t="n">
        <f aca="false">IF(T549="","",YEAR(T549))</f>
        <v>2010</v>
      </c>
    </row>
    <row r="550" customFormat="false" ht="13.8" hidden="false" customHeight="false" outlineLevel="0" collapsed="false">
      <c r="A550" s="3" t="s">
        <v>1474</v>
      </c>
      <c r="B550" s="3" t="n">
        <v>6.8</v>
      </c>
      <c r="C550" s="6" t="s">
        <v>1475</v>
      </c>
      <c r="D550" s="3" t="n">
        <v>4</v>
      </c>
      <c r="E550" s="3" t="n">
        <v>6</v>
      </c>
      <c r="F550" s="3"/>
      <c r="G550" s="3" t="n">
        <v>0</v>
      </c>
      <c r="H550" s="3" t="n">
        <v>717</v>
      </c>
      <c r="I550" s="3" t="s">
        <v>22</v>
      </c>
      <c r="J550" s="3" t="n">
        <v>401</v>
      </c>
      <c r="K550" s="3" t="n">
        <v>0</v>
      </c>
      <c r="L550" s="3" t="n">
        <v>23.2</v>
      </c>
      <c r="M550" s="3" t="s">
        <v>127</v>
      </c>
      <c r="N550" s="3" t="n">
        <v>26</v>
      </c>
      <c r="O550" s="3" t="n">
        <v>-3.762</v>
      </c>
      <c r="P550" s="3" t="n">
        <v>100.991</v>
      </c>
      <c r="Q550" s="3" t="s">
        <v>143</v>
      </c>
      <c r="R550" s="3"/>
      <c r="S550" s="3" t="s">
        <v>68</v>
      </c>
      <c r="T550" s="5" t="n">
        <f aca="false">IF(C550="","",DATE(VALUE(MID(C550,7,4)),VALUE(MID(C550,4,2)),VALUE(MID(C550,1,2)))+TIME(VALUE(MID(C550,12,2)),VALUE(MID(C550,15,2)),0))</f>
        <v>40242.6715277778</v>
      </c>
      <c r="U550" s="3" t="str">
        <f aca="false">IFERROR(IF(ISNUMBER(VALUE(TRIM(MID(A550,FIND("-",A550)+1,FIND("km",A550)-FIND("-",A550)-1)))),"Distance + direction + city","Named-region"),"Named-region")</f>
        <v>Distance + direction + city</v>
      </c>
      <c r="V550" s="3" t="str">
        <f aca="false">LOWER(M550)</f>
        <v>mwc</v>
      </c>
      <c r="W550" s="3" t="n">
        <f aca="false">COUNTIFS($A$2:$A$1001,A550,$C$2:$C$1001,C550)</f>
        <v>1</v>
      </c>
      <c r="X550" s="3" t="str">
        <f aca="false">IF(W550&gt;1,"Duplicate","Unique")</f>
        <v>Unique</v>
      </c>
      <c r="Y550" s="3" t="str">
        <f aca="false">IF(B550&lt;6.5,"&lt;6.5",IF(B550&lt;7,"6.5–6.9",IF(B550&lt;7.5,"7.0–7.4",IF(B550&lt;8,"7.5–7.9","8.0+"))))</f>
        <v>6.5–6.9</v>
      </c>
      <c r="Z550" s="3" t="n">
        <f aca="false">IF(T550="","",YEAR(T550))</f>
        <v>2010</v>
      </c>
    </row>
    <row r="551" customFormat="false" ht="13.8" hidden="false" customHeight="false" outlineLevel="0" collapsed="false">
      <c r="A551" s="3" t="s">
        <v>1476</v>
      </c>
      <c r="B551" s="3" t="n">
        <v>6.6</v>
      </c>
      <c r="C551" s="6" t="s">
        <v>1477</v>
      </c>
      <c r="D551" s="3" t="n">
        <v>7</v>
      </c>
      <c r="E551" s="3" t="n">
        <v>7</v>
      </c>
      <c r="F551" s="3"/>
      <c r="G551" s="3" t="n">
        <v>0</v>
      </c>
      <c r="H551" s="3" t="n">
        <v>736</v>
      </c>
      <c r="I551" s="3" t="s">
        <v>22</v>
      </c>
      <c r="J551" s="3" t="n">
        <v>255</v>
      </c>
      <c r="K551" s="3" t="n">
        <v>0</v>
      </c>
      <c r="L551" s="3" t="n">
        <v>27.8</v>
      </c>
      <c r="M551" s="3" t="s">
        <v>154</v>
      </c>
      <c r="N551" s="3" t="n">
        <v>18</v>
      </c>
      <c r="O551" s="3" t="n">
        <v>-36.665</v>
      </c>
      <c r="P551" s="3" t="n">
        <v>-73.374</v>
      </c>
      <c r="Q551" s="3" t="s">
        <v>1478</v>
      </c>
      <c r="R551" s="3"/>
      <c r="S551" s="3" t="s">
        <v>373</v>
      </c>
      <c r="T551" s="5" t="n">
        <f aca="false">IF(C551="","",DATE(VALUE(MID(C551,7,4)),VALUE(MID(C551,4,2)),VALUE(MID(C551,1,2)))+TIME(VALUE(MID(C551,12,2)),VALUE(MID(C551,15,2)),0))</f>
        <v>40242.4909722222</v>
      </c>
      <c r="U551" s="3" t="str">
        <f aca="false">IFERROR(IF(ISNUMBER(VALUE(TRIM(MID(A551,FIND("-",A551)+1,FIND("km",A551)-FIND("-",A551)-1)))),"Distance + direction + city","Named-region"),"Named-region")</f>
        <v>Distance + direction + city</v>
      </c>
      <c r="V551" s="3" t="str">
        <f aca="false">LOWER(M551)</f>
        <v>mwb</v>
      </c>
      <c r="W551" s="3" t="n">
        <f aca="false">COUNTIFS($A$2:$A$1001,A551,$C$2:$C$1001,C551)</f>
        <v>1</v>
      </c>
      <c r="X551" s="3" t="str">
        <f aca="false">IF(W551&gt;1,"Duplicate","Unique")</f>
        <v>Unique</v>
      </c>
      <c r="Y551" s="3" t="str">
        <f aca="false">IF(B551&lt;6.5,"&lt;6.5",IF(B551&lt;7,"6.5–6.9",IF(B551&lt;7.5,"7.0–7.4",IF(B551&lt;8,"7.5–7.9","8.0+"))))</f>
        <v>6.5–6.9</v>
      </c>
      <c r="Z551" s="3" t="n">
        <f aca="false">IF(T551="","",YEAR(T551))</f>
        <v>2010</v>
      </c>
    </row>
    <row r="552" customFormat="false" ht="13.8" hidden="false" customHeight="false" outlineLevel="0" collapsed="false">
      <c r="A552" s="3" t="s">
        <v>1479</v>
      </c>
      <c r="B552" s="3" t="n">
        <v>6.5</v>
      </c>
      <c r="C552" s="6" t="s">
        <v>1480</v>
      </c>
      <c r="D552" s="3" t="n">
        <v>0</v>
      </c>
      <c r="E552" s="3" t="n">
        <v>4</v>
      </c>
      <c r="F552" s="3"/>
      <c r="G552" s="3" t="n">
        <v>0</v>
      </c>
      <c r="H552" s="3" t="n">
        <v>650</v>
      </c>
      <c r="I552" s="3" t="s">
        <v>22</v>
      </c>
      <c r="J552" s="3" t="n">
        <v>426</v>
      </c>
      <c r="K552" s="3" t="n">
        <v>0</v>
      </c>
      <c r="L552" s="3" t="n">
        <v>18.7</v>
      </c>
      <c r="M552" s="3" t="s">
        <v>154</v>
      </c>
      <c r="N552" s="3" t="n">
        <v>176</v>
      </c>
      <c r="O552" s="3" t="n">
        <v>-13.571</v>
      </c>
      <c r="P552" s="3" t="n">
        <v>167.227</v>
      </c>
      <c r="Q552" s="3" t="s">
        <v>24</v>
      </c>
      <c r="R552" s="3"/>
      <c r="S552" s="3" t="s">
        <v>25</v>
      </c>
      <c r="T552" s="5" t="n">
        <f aca="false">IF(C552="","",DATE(VALUE(MID(C552,7,4)),VALUE(MID(C552,4,2)),VALUE(MID(C552,1,2)))+TIME(VALUE(MID(C552,12,2)),VALUE(MID(C552,15,2)),0))</f>
        <v>40241.5847222222</v>
      </c>
      <c r="U552" s="3" t="str">
        <f aca="false">IFERROR(IF(ISNUMBER(VALUE(TRIM(MID(A552,FIND("-",A552)+1,FIND("km",A552)-FIND("-",A552)-1)))),"Distance + direction + city","Named-region"),"Named-region")</f>
        <v>Distance + direction + city</v>
      </c>
      <c r="V552" s="3" t="str">
        <f aca="false">LOWER(M552)</f>
        <v>mwb</v>
      </c>
      <c r="W552" s="3" t="n">
        <f aca="false">COUNTIFS($A$2:$A$1001,A552,$C$2:$C$1001,C552)</f>
        <v>1</v>
      </c>
      <c r="X552" s="3" t="str">
        <f aca="false">IF(W552&gt;1,"Duplicate","Unique")</f>
        <v>Unique</v>
      </c>
      <c r="Y552" s="3" t="str">
        <f aca="false">IF(B552&lt;6.5,"&lt;6.5",IF(B552&lt;7,"6.5–6.9",IF(B552&lt;7.5,"7.0–7.4",IF(B552&lt;8,"7.5–7.9","8.0+"))))</f>
        <v>6.5–6.9</v>
      </c>
      <c r="Z552" s="3" t="n">
        <f aca="false">IF(T552="","",YEAR(T552))</f>
        <v>2010</v>
      </c>
    </row>
    <row r="553" customFormat="false" ht="13.8" hidden="false" customHeight="false" outlineLevel="0" collapsed="false">
      <c r="A553" s="3" t="s">
        <v>1481</v>
      </c>
      <c r="B553" s="3" t="n">
        <v>7.4</v>
      </c>
      <c r="C553" s="3" t="s">
        <v>1482</v>
      </c>
      <c r="D553" s="3" t="n">
        <v>0</v>
      </c>
      <c r="E553" s="3" t="n">
        <v>5</v>
      </c>
      <c r="F553" s="3"/>
      <c r="G553" s="3" t="n">
        <v>0</v>
      </c>
      <c r="H553" s="3" t="n">
        <v>842</v>
      </c>
      <c r="I553" s="3" t="s">
        <v>22</v>
      </c>
      <c r="J553" s="3" t="n">
        <v>409</v>
      </c>
      <c r="K553" s="3" t="n">
        <v>0</v>
      </c>
      <c r="L553" s="3" t="n">
        <v>17.6</v>
      </c>
      <c r="M553" s="3" t="s">
        <v>127</v>
      </c>
      <c r="N553" s="3" t="n">
        <v>35</v>
      </c>
      <c r="O553" s="3" t="n">
        <v>-37.773</v>
      </c>
      <c r="P553" s="3" t="n">
        <v>-75.048</v>
      </c>
      <c r="Q553" s="3" t="s">
        <v>1483</v>
      </c>
      <c r="R553" s="3"/>
      <c r="S553" s="3"/>
      <c r="T553" s="5" t="n">
        <f aca="false">IF(C553="","",DATE(VALUE(MID(C553,7,4)),VALUE(MID(C553,4,2)),VALUE(MID(C553,1,2)))+TIME(VALUE(MID(C553,12,2)),VALUE(MID(C553,15,2)),0))</f>
        <v>40236.3340277778</v>
      </c>
      <c r="U553" s="3" t="str">
        <f aca="false">IFERROR(IF(ISNUMBER(VALUE(TRIM(MID(A553,FIND("-",A553)+1,FIND("km",A553)-FIND("-",A553)-1)))),"Distance + direction + city","Named-region"),"Named-region")</f>
        <v>Distance + direction + city</v>
      </c>
      <c r="V553" s="3" t="str">
        <f aca="false">LOWER(M553)</f>
        <v>mwc</v>
      </c>
      <c r="W553" s="3" t="n">
        <f aca="false">COUNTIFS($A$2:$A$1001,A553,$C$2:$C$1001,C553)</f>
        <v>1</v>
      </c>
      <c r="X553" s="3" t="str">
        <f aca="false">IF(W553&gt;1,"Duplicate","Unique")</f>
        <v>Unique</v>
      </c>
      <c r="Y553" s="3" t="str">
        <f aca="false">IF(B553&lt;6.5,"&lt;6.5",IF(B553&lt;7,"6.5–6.9",IF(B553&lt;7.5,"7.0–7.4",IF(B553&lt;8,"7.5–7.9","8.0+"))))</f>
        <v>7.0–7.4</v>
      </c>
      <c r="Z553" s="3" t="n">
        <f aca="false">IF(T553="","",YEAR(T553))</f>
        <v>2010</v>
      </c>
    </row>
    <row r="554" customFormat="false" ht="13.8" hidden="false" customHeight="false" outlineLevel="0" collapsed="false">
      <c r="A554" s="3" t="s">
        <v>1484</v>
      </c>
      <c r="B554" s="3" t="n">
        <v>8.8</v>
      </c>
      <c r="C554" s="3" t="s">
        <v>1485</v>
      </c>
      <c r="D554" s="3" t="n">
        <v>8</v>
      </c>
      <c r="E554" s="3" t="n">
        <v>8</v>
      </c>
      <c r="F554" s="3"/>
      <c r="G554" s="3" t="n">
        <v>0</v>
      </c>
      <c r="H554" s="3" t="n">
        <v>1991</v>
      </c>
      <c r="I554" s="3" t="s">
        <v>1293</v>
      </c>
      <c r="J554" s="3" t="n">
        <v>454</v>
      </c>
      <c r="K554" s="3" t="n">
        <v>0</v>
      </c>
      <c r="L554" s="3" t="n">
        <v>17.8</v>
      </c>
      <c r="M554" s="3" t="s">
        <v>23</v>
      </c>
      <c r="N554" s="3" t="n">
        <v>22.9</v>
      </c>
      <c r="O554" s="3" t="n">
        <v>-36.122</v>
      </c>
      <c r="P554" s="3" t="n">
        <v>-72.898</v>
      </c>
      <c r="Q554" s="3" t="s">
        <v>1486</v>
      </c>
      <c r="R554" s="3" t="s">
        <v>33</v>
      </c>
      <c r="S554" s="3" t="s">
        <v>373</v>
      </c>
      <c r="T554" s="5" t="n">
        <f aca="false">IF(C554="","",DATE(VALUE(MID(C554,7,4)),VALUE(MID(C554,4,2)),VALUE(MID(C554,1,2)))+TIME(VALUE(MID(C554,12,2)),VALUE(MID(C554,15,2)),0))</f>
        <v>40236.2736111111</v>
      </c>
      <c r="U554" s="3" t="str">
        <f aca="false">IFERROR(IF(ISNUMBER(VALUE(TRIM(MID(A554,FIND("-",A554)+1,FIND("km",A554)-FIND("-",A554)-1)))),"Distance + direction + city","Named-region"),"Named-region")</f>
        <v>Distance + direction + city</v>
      </c>
      <c r="V554" s="3" t="str">
        <f aca="false">LOWER(M554)</f>
        <v>mww</v>
      </c>
      <c r="W554" s="3" t="n">
        <f aca="false">COUNTIFS($A$2:$A$1001,A554,$C$2:$C$1001,C554)</f>
        <v>1</v>
      </c>
      <c r="X554" s="3" t="str">
        <f aca="false">IF(W554&gt;1,"Duplicate","Unique")</f>
        <v>Unique</v>
      </c>
      <c r="Y554" s="3" t="str">
        <f aca="false">IF(B554&lt;6.5,"&lt;6.5",IF(B554&lt;7,"6.5–6.9",IF(B554&lt;7.5,"7.0–7.4",IF(B554&lt;8,"7.5–7.9","8.0+"))))</f>
        <v>8.0+</v>
      </c>
      <c r="Z554" s="3" t="n">
        <f aca="false">IF(T554="","",YEAR(T554))</f>
        <v>2010</v>
      </c>
    </row>
    <row r="555" customFormat="false" ht="13.8" hidden="false" customHeight="false" outlineLevel="0" collapsed="false">
      <c r="A555" s="3" t="s">
        <v>1487</v>
      </c>
      <c r="B555" s="3" t="n">
        <v>7</v>
      </c>
      <c r="C555" s="3" t="s">
        <v>1488</v>
      </c>
      <c r="D555" s="3" t="n">
        <v>6</v>
      </c>
      <c r="E555" s="3" t="n">
        <v>6</v>
      </c>
      <c r="F555" s="3"/>
      <c r="G555" s="3" t="n">
        <v>0</v>
      </c>
      <c r="H555" s="3" t="n">
        <v>1180</v>
      </c>
      <c r="I555" s="3" t="s">
        <v>22</v>
      </c>
      <c r="J555" s="3" t="n">
        <v>487</v>
      </c>
      <c r="K555" s="3" t="n">
        <v>0</v>
      </c>
      <c r="L555" s="3" t="n">
        <v>15.7</v>
      </c>
      <c r="M555" s="3" t="s">
        <v>127</v>
      </c>
      <c r="N555" s="3" t="n">
        <v>25</v>
      </c>
      <c r="O555" s="3" t="n">
        <v>25.93</v>
      </c>
      <c r="P555" s="3" t="n">
        <v>128.425</v>
      </c>
      <c r="Q555" s="3" t="s">
        <v>1489</v>
      </c>
      <c r="R555" s="3"/>
      <c r="S555" s="3"/>
      <c r="T555" s="5" t="n">
        <f aca="false">IF(C555="","",DATE(VALUE(MID(C555,7,4)),VALUE(MID(C555,4,2)),VALUE(MID(C555,1,2)))+TIME(VALUE(MID(C555,12,2)),VALUE(MID(C555,15,2)),0))</f>
        <v>40235.8548611111</v>
      </c>
      <c r="U555" s="3" t="str">
        <f aca="false">IFERROR(IF(ISNUMBER(VALUE(TRIM(MID(A555,FIND("-",A555)+1,FIND("km",A555)-FIND("-",A555)-1)))),"Distance + direction + city","Named-region"),"Named-region")</f>
        <v>Distance + direction + city</v>
      </c>
      <c r="V555" s="3" t="str">
        <f aca="false">LOWER(M555)</f>
        <v>mwc</v>
      </c>
      <c r="W555" s="3" t="n">
        <f aca="false">COUNTIFS($A$2:$A$1001,A555,$C$2:$C$1001,C555)</f>
        <v>1</v>
      </c>
      <c r="X555" s="3" t="str">
        <f aca="false">IF(W555&gt;1,"Duplicate","Unique")</f>
        <v>Unique</v>
      </c>
      <c r="Y555" s="3" t="str">
        <f aca="false">IF(B555&lt;6.5,"&lt;6.5",IF(B555&lt;7,"6.5–6.9",IF(B555&lt;7.5,"7.0–7.4",IF(B555&lt;8,"7.5–7.9","8.0+"))))</f>
        <v>7.0–7.4</v>
      </c>
      <c r="Z555" s="3" t="n">
        <f aca="false">IF(T555="","",YEAR(T555))</f>
        <v>2010</v>
      </c>
    </row>
    <row r="556" customFormat="false" ht="13.8" hidden="false" customHeight="false" outlineLevel="0" collapsed="false">
      <c r="A556" s="3" t="s">
        <v>1490</v>
      </c>
      <c r="B556" s="3" t="n">
        <v>7</v>
      </c>
      <c r="C556" s="6" t="s">
        <v>1491</v>
      </c>
      <c r="D556" s="3" t="n">
        <v>9</v>
      </c>
      <c r="E556" s="3" t="n">
        <v>9</v>
      </c>
      <c r="F556" s="3"/>
      <c r="G556" s="3" t="n">
        <v>0</v>
      </c>
      <c r="H556" s="3" t="n">
        <v>1623</v>
      </c>
      <c r="I556" s="3" t="s">
        <v>22</v>
      </c>
      <c r="J556" s="3" t="n">
        <v>500</v>
      </c>
      <c r="K556" s="3" t="n">
        <v>0</v>
      </c>
      <c r="L556" s="3" t="n">
        <v>22.7</v>
      </c>
      <c r="M556" s="3" t="s">
        <v>127</v>
      </c>
      <c r="N556" s="3" t="n">
        <v>13</v>
      </c>
      <c r="O556" s="3" t="n">
        <v>18.443</v>
      </c>
      <c r="P556" s="3" t="n">
        <v>-72.571</v>
      </c>
      <c r="Q556" s="3" t="s">
        <v>1492</v>
      </c>
      <c r="R556" s="3"/>
      <c r="S556" s="3" t="s">
        <v>286</v>
      </c>
      <c r="T556" s="5" t="n">
        <f aca="false">IF(C556="","",DATE(VALUE(MID(C556,7,4)),VALUE(MID(C556,4,2)),VALUE(MID(C556,1,2)))+TIME(VALUE(MID(C556,12,2)),VALUE(MID(C556,15,2)),0))</f>
        <v>40190.9118055556</v>
      </c>
      <c r="U556" s="3" t="str">
        <f aca="false">IFERROR(IF(ISNUMBER(VALUE(TRIM(MID(A556,FIND("-",A556)+1,FIND("km",A556)-FIND("-",A556)-1)))),"Distance + direction + city","Named-region"),"Named-region")</f>
        <v>Distance + direction + city</v>
      </c>
      <c r="V556" s="3" t="str">
        <f aca="false">LOWER(M556)</f>
        <v>mwc</v>
      </c>
      <c r="W556" s="3" t="n">
        <f aca="false">COUNTIFS($A$2:$A$1001,A556,$C$2:$C$1001,C556)</f>
        <v>1</v>
      </c>
      <c r="X556" s="3" t="str">
        <f aca="false">IF(W556&gt;1,"Duplicate","Unique")</f>
        <v>Unique</v>
      </c>
      <c r="Y556" s="3" t="str">
        <f aca="false">IF(B556&lt;6.5,"&lt;6.5",IF(B556&lt;7,"6.5–6.9",IF(B556&lt;7.5,"7.0–7.4",IF(B556&lt;8,"7.5–7.9","8.0+"))))</f>
        <v>7.0–7.4</v>
      </c>
      <c r="Z556" s="3" t="n">
        <f aca="false">IF(T556="","",YEAR(T556))</f>
        <v>2010</v>
      </c>
    </row>
    <row r="557" customFormat="false" ht="13.8" hidden="false" customHeight="false" outlineLevel="0" collapsed="false">
      <c r="A557" s="3" t="s">
        <v>1493</v>
      </c>
      <c r="B557" s="3" t="n">
        <v>6.5</v>
      </c>
      <c r="C557" s="6" t="s">
        <v>1494</v>
      </c>
      <c r="D557" s="3" t="n">
        <v>7</v>
      </c>
      <c r="E557" s="3" t="n">
        <v>7</v>
      </c>
      <c r="F557" s="3"/>
      <c r="G557" s="3" t="n">
        <v>0</v>
      </c>
      <c r="H557" s="3" t="n">
        <v>1360</v>
      </c>
      <c r="I557" s="3" t="s">
        <v>1087</v>
      </c>
      <c r="J557" s="3" t="n">
        <v>51</v>
      </c>
      <c r="K557" s="3" t="n">
        <v>0.3225</v>
      </c>
      <c r="L557" s="3" t="n">
        <v>220</v>
      </c>
      <c r="M557" s="3" t="s">
        <v>485</v>
      </c>
      <c r="N557" s="3" t="n">
        <v>28.737</v>
      </c>
      <c r="O557" s="3" t="n">
        <v>40.652</v>
      </c>
      <c r="P557" s="3" t="n">
        <v>-124.692</v>
      </c>
      <c r="Q557" s="3" t="s">
        <v>760</v>
      </c>
      <c r="R557" s="3" t="s">
        <v>164</v>
      </c>
      <c r="S557" s="3"/>
      <c r="T557" s="5" t="n">
        <f aca="false">IF(C557="","",DATE(VALUE(MID(C557,7,4)),VALUE(MID(C557,4,2)),VALUE(MID(C557,1,2)))+TIME(VALUE(MID(C557,12,2)),VALUE(MID(C557,15,2)),0))</f>
        <v>40188.01875</v>
      </c>
      <c r="U557" s="3" t="str">
        <f aca="false">IFERROR(IF(ISNUMBER(VALUE(TRIM(MID(A557,FIND("-",A557)+1,FIND("km",A557)-FIND("-",A557)-1)))),"Distance + direction + city","Named-region"),"Named-region")</f>
        <v>Distance + direction + city</v>
      </c>
      <c r="V557" s="3" t="str">
        <f aca="false">LOWER(M557)</f>
        <v>mw</v>
      </c>
      <c r="W557" s="3" t="n">
        <f aca="false">COUNTIFS($A$2:$A$1001,A557,$C$2:$C$1001,C557)</f>
        <v>1</v>
      </c>
      <c r="X557" s="3" t="str">
        <f aca="false">IF(W557&gt;1,"Duplicate","Unique")</f>
        <v>Unique</v>
      </c>
      <c r="Y557" s="3" t="str">
        <f aca="false">IF(B557&lt;6.5,"&lt;6.5",IF(B557&lt;7,"6.5–6.9",IF(B557&lt;7.5,"7.0–7.4",IF(B557&lt;8,"7.5–7.9","8.0+"))))</f>
        <v>6.5–6.9</v>
      </c>
      <c r="Z557" s="3" t="n">
        <f aca="false">IF(T557="","",YEAR(T557))</f>
        <v>2010</v>
      </c>
    </row>
    <row r="558" customFormat="false" ht="13.8" hidden="false" customHeight="false" outlineLevel="0" collapsed="false">
      <c r="A558" s="3" t="s">
        <v>1495</v>
      </c>
      <c r="B558" s="3" t="n">
        <v>6.8</v>
      </c>
      <c r="C558" s="6" t="s">
        <v>1496</v>
      </c>
      <c r="D558" s="3" t="n">
        <v>3</v>
      </c>
      <c r="E558" s="3" t="n">
        <v>6</v>
      </c>
      <c r="F558" s="3"/>
      <c r="G558" s="3" t="n">
        <v>0</v>
      </c>
      <c r="H558" s="3" t="n">
        <v>713</v>
      </c>
      <c r="I558" s="3" t="s">
        <v>22</v>
      </c>
      <c r="J558" s="3" t="n">
        <v>338</v>
      </c>
      <c r="K558" s="3" t="n">
        <v>0</v>
      </c>
      <c r="L558" s="3" t="n">
        <v>15</v>
      </c>
      <c r="M558" s="3" t="s">
        <v>127</v>
      </c>
      <c r="N558" s="3" t="n">
        <v>15.4</v>
      </c>
      <c r="O558" s="3" t="n">
        <v>-9.019</v>
      </c>
      <c r="P558" s="3" t="n">
        <v>157.551</v>
      </c>
      <c r="Q558" s="3" t="s">
        <v>921</v>
      </c>
      <c r="R558" s="3"/>
      <c r="S558" s="3"/>
      <c r="T558" s="5" t="n">
        <f aca="false">IF(C558="","",DATE(VALUE(MID(C558,7,4)),VALUE(MID(C558,4,2)),VALUE(MID(C558,1,2)))+TIME(VALUE(MID(C558,12,2)),VALUE(MID(C558,15,2)),0))</f>
        <v>40183.5104166667</v>
      </c>
      <c r="U558" s="3" t="str">
        <f aca="false">IFERROR(IF(ISNUMBER(VALUE(TRIM(MID(A558,FIND("-",A558)+1,FIND("km",A558)-FIND("-",A558)-1)))),"Distance + direction + city","Named-region"),"Named-region")</f>
        <v>Distance + direction + city</v>
      </c>
      <c r="V558" s="3" t="str">
        <f aca="false">LOWER(M558)</f>
        <v>mwc</v>
      </c>
      <c r="W558" s="3" t="n">
        <f aca="false">COUNTIFS($A$2:$A$1001,A558,$C$2:$C$1001,C558)</f>
        <v>1</v>
      </c>
      <c r="X558" s="3" t="str">
        <f aca="false">IF(W558&gt;1,"Duplicate","Unique")</f>
        <v>Unique</v>
      </c>
      <c r="Y558" s="3" t="str">
        <f aca="false">IF(B558&lt;6.5,"&lt;6.5",IF(B558&lt;7,"6.5–6.9",IF(B558&lt;7.5,"7.0–7.4",IF(B558&lt;8,"7.5–7.9","8.0+"))))</f>
        <v>6.5–6.9</v>
      </c>
      <c r="Z558" s="3" t="n">
        <f aca="false">IF(T558="","",YEAR(T558))</f>
        <v>2010</v>
      </c>
    </row>
    <row r="559" customFormat="false" ht="13.8" hidden="false" customHeight="false" outlineLevel="0" collapsed="false">
      <c r="A559" s="3" t="s">
        <v>1497</v>
      </c>
      <c r="B559" s="3" t="n">
        <v>7.1</v>
      </c>
      <c r="C559" s="6" t="s">
        <v>1498</v>
      </c>
      <c r="D559" s="3" t="n">
        <v>5</v>
      </c>
      <c r="E559" s="3" t="n">
        <v>7</v>
      </c>
      <c r="F559" s="3"/>
      <c r="G559" s="3" t="n">
        <v>0</v>
      </c>
      <c r="H559" s="3" t="n">
        <v>780</v>
      </c>
      <c r="I559" s="3" t="s">
        <v>22</v>
      </c>
      <c r="J559" s="3" t="n">
        <v>377</v>
      </c>
      <c r="K559" s="3" t="n">
        <v>0</v>
      </c>
      <c r="L559" s="3" t="n">
        <v>15</v>
      </c>
      <c r="M559" s="3" t="s">
        <v>127</v>
      </c>
      <c r="N559" s="3" t="n">
        <v>10</v>
      </c>
      <c r="O559" s="3" t="n">
        <v>-8.783</v>
      </c>
      <c r="P559" s="3" t="n">
        <v>157.354</v>
      </c>
      <c r="Q559" s="3" t="s">
        <v>921</v>
      </c>
      <c r="R559" s="3"/>
      <c r="S559" s="3" t="s">
        <v>140</v>
      </c>
      <c r="T559" s="5" t="n">
        <f aca="false">IF(C559="","",DATE(VALUE(MID(C559,7,4)),VALUE(MID(C559,4,2)),VALUE(MID(C559,1,2)))+TIME(VALUE(MID(C559,12,2)),VALUE(MID(C559,15,2)),0))</f>
        <v>40181.9416666667</v>
      </c>
      <c r="U559" s="3" t="str">
        <f aca="false">IFERROR(IF(ISNUMBER(VALUE(TRIM(MID(A559,FIND("-",A559)+1,FIND("km",A559)-FIND("-",A559)-1)))),"Distance + direction + city","Named-region"),"Named-region")</f>
        <v>Distance + direction + city</v>
      </c>
      <c r="V559" s="3" t="str">
        <f aca="false">LOWER(M559)</f>
        <v>mwc</v>
      </c>
      <c r="W559" s="3" t="n">
        <f aca="false">COUNTIFS($A$2:$A$1001,A559,$C$2:$C$1001,C559)</f>
        <v>1</v>
      </c>
      <c r="X559" s="3" t="str">
        <f aca="false">IF(W559&gt;1,"Duplicate","Unique")</f>
        <v>Unique</v>
      </c>
      <c r="Y559" s="3" t="str">
        <f aca="false">IF(B559&lt;6.5,"&lt;6.5",IF(B559&lt;7,"6.5–6.9",IF(B559&lt;7.5,"7.0–7.4",IF(B559&lt;8,"7.5–7.9","8.0+"))))</f>
        <v>7.0–7.4</v>
      </c>
      <c r="Z559" s="3" t="n">
        <f aca="false">IF(T559="","",YEAR(T559))</f>
        <v>2010</v>
      </c>
    </row>
    <row r="560" customFormat="false" ht="13.8" hidden="false" customHeight="false" outlineLevel="0" collapsed="false">
      <c r="A560" s="3" t="s">
        <v>1499</v>
      </c>
      <c r="B560" s="3" t="n">
        <v>6.6</v>
      </c>
      <c r="C560" s="6" t="s">
        <v>1500</v>
      </c>
      <c r="D560" s="3" t="n">
        <v>5</v>
      </c>
      <c r="E560" s="3" t="n">
        <v>7</v>
      </c>
      <c r="F560" s="3"/>
      <c r="G560" s="3" t="n">
        <v>0</v>
      </c>
      <c r="H560" s="3" t="n">
        <v>672</v>
      </c>
      <c r="I560" s="3" t="s">
        <v>22</v>
      </c>
      <c r="J560" s="3" t="n">
        <v>282</v>
      </c>
      <c r="K560" s="3" t="n">
        <v>0</v>
      </c>
      <c r="L560" s="3" t="n">
        <v>16.6</v>
      </c>
      <c r="M560" s="3" t="s">
        <v>127</v>
      </c>
      <c r="N560" s="3" t="n">
        <v>10</v>
      </c>
      <c r="O560" s="3" t="n">
        <v>-8.726</v>
      </c>
      <c r="P560" s="3" t="n">
        <v>157.487</v>
      </c>
      <c r="Q560" s="3" t="s">
        <v>921</v>
      </c>
      <c r="R560" s="3"/>
      <c r="S560" s="3" t="s">
        <v>140</v>
      </c>
      <c r="T560" s="5" t="n">
        <f aca="false">IF(C560="","",DATE(VALUE(MID(C560,7,4)),VALUE(MID(C560,4,2)),VALUE(MID(C560,1,2)))+TIME(VALUE(MID(C560,12,2)),VALUE(MID(C560,15,2)),0))</f>
        <v>40181.9083333333</v>
      </c>
      <c r="U560" s="3" t="str">
        <f aca="false">IFERROR(IF(ISNUMBER(VALUE(TRIM(MID(A560,FIND("-",A560)+1,FIND("km",A560)-FIND("-",A560)-1)))),"Distance + direction + city","Named-region"),"Named-region")</f>
        <v>Distance + direction + city</v>
      </c>
      <c r="V560" s="3" t="str">
        <f aca="false">LOWER(M560)</f>
        <v>mwc</v>
      </c>
      <c r="W560" s="3" t="n">
        <f aca="false">COUNTIFS($A$2:$A$1001,A560,$C$2:$C$1001,C560)</f>
        <v>1</v>
      </c>
      <c r="X560" s="3" t="str">
        <f aca="false">IF(W560&gt;1,"Duplicate","Unique")</f>
        <v>Unique</v>
      </c>
      <c r="Y560" s="3" t="str">
        <f aca="false">IF(B560&lt;6.5,"&lt;6.5",IF(B560&lt;7,"6.5–6.9",IF(B560&lt;7.5,"7.0–7.4",IF(B560&lt;8,"7.5–7.9","8.0+"))))</f>
        <v>6.5–6.9</v>
      </c>
      <c r="Z560" s="3" t="n">
        <f aca="false">IF(T560="","",YEAR(T560))</f>
        <v>2010</v>
      </c>
    </row>
    <row r="561" customFormat="false" ht="13.8" hidden="false" customHeight="false" outlineLevel="0" collapsed="false">
      <c r="A561" s="3" t="s">
        <v>1501</v>
      </c>
      <c r="B561" s="3" t="n">
        <v>6.5</v>
      </c>
      <c r="C561" s="3" t="s">
        <v>1502</v>
      </c>
      <c r="D561" s="3" t="n">
        <v>6</v>
      </c>
      <c r="E561" s="3" t="n">
        <v>7</v>
      </c>
      <c r="F561" s="3"/>
      <c r="G561" s="3" t="n">
        <v>0</v>
      </c>
      <c r="H561" s="3" t="n">
        <v>698</v>
      </c>
      <c r="I561" s="3" t="s">
        <v>22</v>
      </c>
      <c r="J561" s="3" t="n">
        <v>390</v>
      </c>
      <c r="K561" s="3" t="n">
        <v>0</v>
      </c>
      <c r="L561" s="3" t="n">
        <v>17.7</v>
      </c>
      <c r="M561" s="3" t="s">
        <v>127</v>
      </c>
      <c r="N561" s="3" t="n">
        <v>27</v>
      </c>
      <c r="O561" s="3" t="n">
        <v>-19.394</v>
      </c>
      <c r="P561" s="3" t="n">
        <v>-70.321</v>
      </c>
      <c r="Q561" s="3" t="s">
        <v>1076</v>
      </c>
      <c r="R561" s="3" t="s">
        <v>33</v>
      </c>
      <c r="S561" s="3" t="s">
        <v>373</v>
      </c>
      <c r="T561" s="5" t="n">
        <f aca="false">IF(C561="","",DATE(VALUE(MID(C561,7,4)),VALUE(MID(C561,4,2)),VALUE(MID(C561,1,2)))+TIME(VALUE(MID(C561,12,2)),VALUE(MID(C561,15,2)),0))</f>
        <v>40130.1284722222</v>
      </c>
      <c r="U561" s="3" t="str">
        <f aca="false">IFERROR(IF(ISNUMBER(VALUE(TRIM(MID(A561,FIND("-",A561)+1,FIND("km",A561)-FIND("-",A561)-1)))),"Distance + direction + city","Named-region"),"Named-region")</f>
        <v>Distance + direction + city</v>
      </c>
      <c r="V561" s="3" t="str">
        <f aca="false">LOWER(M561)</f>
        <v>mwc</v>
      </c>
      <c r="W561" s="3" t="n">
        <f aca="false">COUNTIFS($A$2:$A$1001,A561,$C$2:$C$1001,C561)</f>
        <v>1</v>
      </c>
      <c r="X561" s="3" t="str">
        <f aca="false">IF(W561&gt;1,"Duplicate","Unique")</f>
        <v>Unique</v>
      </c>
      <c r="Y561" s="3" t="str">
        <f aca="false">IF(B561&lt;6.5,"&lt;6.5",IF(B561&lt;7,"6.5–6.9",IF(B561&lt;7.5,"7.0–7.4",IF(B561&lt;8,"7.5–7.9","8.0+"))))</f>
        <v>6.5–6.9</v>
      </c>
      <c r="Z561" s="3" t="n">
        <f aca="false">IF(T561="","",YEAR(T561))</f>
        <v>2009</v>
      </c>
    </row>
    <row r="562" customFormat="false" ht="13.8" hidden="false" customHeight="false" outlineLevel="0" collapsed="false">
      <c r="A562" s="3" t="s">
        <v>1503</v>
      </c>
      <c r="B562" s="3" t="n">
        <v>7.3</v>
      </c>
      <c r="C562" s="6" t="s">
        <v>1504</v>
      </c>
      <c r="D562" s="3" t="n">
        <v>0</v>
      </c>
      <c r="E562" s="3" t="n">
        <v>4</v>
      </c>
      <c r="F562" s="3"/>
      <c r="G562" s="3" t="n">
        <v>0</v>
      </c>
      <c r="H562" s="3" t="n">
        <v>820</v>
      </c>
      <c r="I562" s="3" t="s">
        <v>22</v>
      </c>
      <c r="J562" s="3" t="n">
        <v>430</v>
      </c>
      <c r="K562" s="3" t="n">
        <v>0</v>
      </c>
      <c r="L562" s="3" t="n">
        <v>15</v>
      </c>
      <c r="M562" s="3" t="s">
        <v>127</v>
      </c>
      <c r="N562" s="3" t="n">
        <v>595</v>
      </c>
      <c r="O562" s="3" t="n">
        <v>-17.239</v>
      </c>
      <c r="P562" s="3" t="n">
        <v>178.331</v>
      </c>
      <c r="Q562" s="3" t="s">
        <v>1505</v>
      </c>
      <c r="R562" s="3"/>
      <c r="S562" s="3" t="s">
        <v>146</v>
      </c>
      <c r="T562" s="5" t="n">
        <f aca="false">IF(C562="","",DATE(VALUE(MID(C562,7,4)),VALUE(MID(C562,4,2)),VALUE(MID(C562,1,2)))+TIME(VALUE(MID(C562,12,2)),VALUE(MID(C562,15,2)),0))</f>
        <v>40126.4472222222</v>
      </c>
      <c r="U562" s="3" t="str">
        <f aca="false">IFERROR(IF(ISNUMBER(VALUE(TRIM(MID(A562,FIND("-",A562)+1,FIND("km",A562)-FIND("-",A562)-1)))),"Distance + direction + city","Named-region"),"Named-region")</f>
        <v>Distance + direction + city</v>
      </c>
      <c r="V562" s="3" t="str">
        <f aca="false">LOWER(M562)</f>
        <v>mwc</v>
      </c>
      <c r="W562" s="3" t="n">
        <f aca="false">COUNTIFS($A$2:$A$1001,A562,$C$2:$C$1001,C562)</f>
        <v>1</v>
      </c>
      <c r="X562" s="3" t="str">
        <f aca="false">IF(W562&gt;1,"Duplicate","Unique")</f>
        <v>Unique</v>
      </c>
      <c r="Y562" s="3" t="str">
        <f aca="false">IF(B562&lt;6.5,"&lt;6.5",IF(B562&lt;7,"6.5–6.9",IF(B562&lt;7.5,"7.0–7.4",IF(B562&lt;8,"7.5–7.9","8.0+"))))</f>
        <v>7.0–7.4</v>
      </c>
      <c r="Z562" s="3" t="n">
        <f aca="false">IF(T562="","",YEAR(T562))</f>
        <v>2009</v>
      </c>
    </row>
    <row r="563" customFormat="false" ht="13.8" hidden="false" customHeight="false" outlineLevel="0" collapsed="false">
      <c r="A563" s="3" t="s">
        <v>1506</v>
      </c>
      <c r="B563" s="3" t="n">
        <v>6.6</v>
      </c>
      <c r="C563" s="6" t="s">
        <v>1507</v>
      </c>
      <c r="D563" s="3" t="n">
        <v>7</v>
      </c>
      <c r="E563" s="3" t="n">
        <v>6</v>
      </c>
      <c r="F563" s="3"/>
      <c r="G563" s="3" t="n">
        <v>0</v>
      </c>
      <c r="H563" s="3" t="n">
        <v>677</v>
      </c>
      <c r="I563" s="3" t="s">
        <v>22</v>
      </c>
      <c r="J563" s="3" t="n">
        <v>305</v>
      </c>
      <c r="K563" s="3" t="n">
        <v>0</v>
      </c>
      <c r="L563" s="3" t="n">
        <v>20.4</v>
      </c>
      <c r="M563" s="3" t="s">
        <v>127</v>
      </c>
      <c r="N563" s="3" t="n">
        <v>18</v>
      </c>
      <c r="O563" s="3" t="n">
        <v>-8.207</v>
      </c>
      <c r="P563" s="3" t="n">
        <v>118.631</v>
      </c>
      <c r="Q563" s="3" t="s">
        <v>1508</v>
      </c>
      <c r="R563" s="3"/>
      <c r="S563" s="3" t="s">
        <v>68</v>
      </c>
      <c r="T563" s="5" t="n">
        <f aca="false">IF(C563="","",DATE(VALUE(MID(C563,7,4)),VALUE(MID(C563,4,2)),VALUE(MID(C563,1,2)))+TIME(VALUE(MID(C563,12,2)),VALUE(MID(C563,15,2)),0))</f>
        <v>40125.8201388889</v>
      </c>
      <c r="U563" s="3" t="str">
        <f aca="false">IFERROR(IF(ISNUMBER(VALUE(TRIM(MID(A563,FIND("-",A563)+1,FIND("km",A563)-FIND("-",A563)-1)))),"Distance + direction + city","Named-region"),"Named-region")</f>
        <v>Distance + direction + city</v>
      </c>
      <c r="V563" s="3" t="str">
        <f aca="false">LOWER(M563)</f>
        <v>mwc</v>
      </c>
      <c r="W563" s="3" t="n">
        <f aca="false">COUNTIFS($A$2:$A$1001,A563,$C$2:$C$1001,C563)</f>
        <v>1</v>
      </c>
      <c r="X563" s="3" t="str">
        <f aca="false">IF(W563&gt;1,"Duplicate","Unique")</f>
        <v>Unique</v>
      </c>
      <c r="Y563" s="3" t="str">
        <f aca="false">IF(B563&lt;6.5,"&lt;6.5",IF(B563&lt;7,"6.5–6.9",IF(B563&lt;7.5,"7.0–7.4",IF(B563&lt;8,"7.5–7.9","8.0+"))))</f>
        <v>6.5–6.9</v>
      </c>
      <c r="Z563" s="3" t="n">
        <f aca="false">IF(T563="","",YEAR(T563))</f>
        <v>2009</v>
      </c>
    </row>
    <row r="564" customFormat="false" ht="13.8" hidden="false" customHeight="false" outlineLevel="0" collapsed="false">
      <c r="A564" s="3" t="s">
        <v>1509</v>
      </c>
      <c r="B564" s="3" t="n">
        <v>6.8</v>
      </c>
      <c r="C564" s="3" t="s">
        <v>1510</v>
      </c>
      <c r="D564" s="3" t="n">
        <v>0</v>
      </c>
      <c r="E564" s="3" t="n">
        <v>6</v>
      </c>
      <c r="F564" s="3"/>
      <c r="G564" s="3" t="n">
        <v>0</v>
      </c>
      <c r="H564" s="3" t="n">
        <v>711</v>
      </c>
      <c r="I564" s="3" t="s">
        <v>22</v>
      </c>
      <c r="J564" s="3" t="n">
        <v>424</v>
      </c>
      <c r="K564" s="3" t="n">
        <v>0</v>
      </c>
      <c r="L564" s="3" t="n">
        <v>21.4</v>
      </c>
      <c r="M564" s="3" t="s">
        <v>127</v>
      </c>
      <c r="N564" s="3" t="n">
        <v>34</v>
      </c>
      <c r="O564" s="3" t="n">
        <v>29.218</v>
      </c>
      <c r="P564" s="3" t="n">
        <v>129.782</v>
      </c>
      <c r="Q564" s="3" t="s">
        <v>401</v>
      </c>
      <c r="R564" s="3"/>
      <c r="S564" s="3"/>
      <c r="T564" s="5" t="n">
        <f aca="false">IF(C564="","",DATE(VALUE(MID(C564,7,4)),VALUE(MID(C564,4,2)),VALUE(MID(C564,1,2)))+TIME(VALUE(MID(C564,12,2)),VALUE(MID(C564,15,2)),0))</f>
        <v>40116.29375</v>
      </c>
      <c r="U564" s="3" t="str">
        <f aca="false">IFERROR(IF(ISNUMBER(VALUE(TRIM(MID(A564,FIND("-",A564)+1,FIND("km",A564)-FIND("-",A564)-1)))),"Distance + direction + city","Named-region"),"Named-region")</f>
        <v>Distance + direction + city</v>
      </c>
      <c r="V564" s="3" t="str">
        <f aca="false">LOWER(M564)</f>
        <v>mwc</v>
      </c>
      <c r="W564" s="3" t="n">
        <f aca="false">COUNTIFS($A$2:$A$1001,A564,$C$2:$C$1001,C564)</f>
        <v>1</v>
      </c>
      <c r="X564" s="3" t="str">
        <f aca="false">IF(W564&gt;1,"Duplicate","Unique")</f>
        <v>Unique</v>
      </c>
      <c r="Y564" s="3" t="str">
        <f aca="false">IF(B564&lt;6.5,"&lt;6.5",IF(B564&lt;7,"6.5–6.9",IF(B564&lt;7.5,"7.0–7.4",IF(B564&lt;8,"7.5–7.9","8.0+"))))</f>
        <v>6.5–6.9</v>
      </c>
      <c r="Z564" s="3" t="n">
        <f aca="false">IF(T564="","",YEAR(T564))</f>
        <v>2009</v>
      </c>
    </row>
    <row r="565" customFormat="false" ht="13.8" hidden="false" customHeight="false" outlineLevel="0" collapsed="false">
      <c r="A565" s="3" t="s">
        <v>1511</v>
      </c>
      <c r="B565" s="3" t="n">
        <v>6.9</v>
      </c>
      <c r="C565" s="3" t="s">
        <v>1512</v>
      </c>
      <c r="D565" s="3" t="n">
        <v>4</v>
      </c>
      <c r="E565" s="3" t="n">
        <v>6</v>
      </c>
      <c r="F565" s="3"/>
      <c r="G565" s="3" t="n">
        <v>0</v>
      </c>
      <c r="H565" s="3" t="n">
        <v>972</v>
      </c>
      <c r="I565" s="3" t="s">
        <v>22</v>
      </c>
      <c r="J565" s="3" t="n">
        <v>397</v>
      </c>
      <c r="K565" s="3" t="n">
        <v>0</v>
      </c>
      <c r="L565" s="3" t="n">
        <v>11</v>
      </c>
      <c r="M565" s="3" t="s">
        <v>127</v>
      </c>
      <c r="N565" s="3" t="n">
        <v>130</v>
      </c>
      <c r="O565" s="3" t="n">
        <v>-6.133</v>
      </c>
      <c r="P565" s="3" t="n">
        <v>130.385</v>
      </c>
      <c r="Q565" s="3" t="s">
        <v>1252</v>
      </c>
      <c r="R565" s="3"/>
      <c r="S565" s="3" t="s">
        <v>68</v>
      </c>
      <c r="T565" s="5" t="n">
        <f aca="false">IF(C565="","",DATE(VALUE(MID(C565,7,4)),VALUE(MID(C565,4,2)),VALUE(MID(C565,1,2)))+TIME(VALUE(MID(C565,12,2)),VALUE(MID(C565,15,2)),0))</f>
        <v>40110.6111111111</v>
      </c>
      <c r="U565" s="3" t="str">
        <f aca="false">IFERROR(IF(ISNUMBER(VALUE(TRIM(MID(A565,FIND("-",A565)+1,FIND("km",A565)-FIND("-",A565)-1)))),"Distance + direction + city","Named-region"),"Named-region")</f>
        <v>Distance + direction + city</v>
      </c>
      <c r="V565" s="3" t="str">
        <f aca="false">LOWER(M565)</f>
        <v>mwc</v>
      </c>
      <c r="W565" s="3" t="n">
        <f aca="false">COUNTIFS($A$2:$A$1001,A565,$C$2:$C$1001,C565)</f>
        <v>1</v>
      </c>
      <c r="X565" s="3" t="str">
        <f aca="false">IF(W565&gt;1,"Duplicate","Unique")</f>
        <v>Unique</v>
      </c>
      <c r="Y565" s="3" t="str">
        <f aca="false">IF(B565&lt;6.5,"&lt;6.5",IF(B565&lt;7,"6.5–6.9",IF(B565&lt;7.5,"7.0–7.4",IF(B565&lt;8,"7.5–7.9","8.0+"))))</f>
        <v>6.5–6.9</v>
      </c>
      <c r="Z565" s="3" t="n">
        <f aca="false">IF(T565="","",YEAR(T565))</f>
        <v>2009</v>
      </c>
    </row>
    <row r="566" customFormat="false" ht="13.8" hidden="false" customHeight="false" outlineLevel="0" collapsed="false">
      <c r="A566" s="3" t="s">
        <v>1513</v>
      </c>
      <c r="B566" s="3" t="n">
        <v>6.8</v>
      </c>
      <c r="C566" s="6" t="s">
        <v>1514</v>
      </c>
      <c r="D566" s="3" t="n">
        <v>0</v>
      </c>
      <c r="E566" s="3" t="n">
        <v>5</v>
      </c>
      <c r="F566" s="3"/>
      <c r="G566" s="3" t="n">
        <v>0</v>
      </c>
      <c r="H566" s="3" t="n">
        <v>711</v>
      </c>
      <c r="I566" s="3" t="s">
        <v>22</v>
      </c>
      <c r="J566" s="3" t="n">
        <v>174</v>
      </c>
      <c r="K566" s="3" t="n">
        <v>0</v>
      </c>
      <c r="L566" s="3" t="n">
        <v>30.2</v>
      </c>
      <c r="M566" s="3" t="s">
        <v>127</v>
      </c>
      <c r="N566" s="3" t="n">
        <v>35</v>
      </c>
      <c r="O566" s="3" t="n">
        <v>-13.298</v>
      </c>
      <c r="P566" s="3" t="n">
        <v>165.91</v>
      </c>
      <c r="Q566" s="3" t="s">
        <v>24</v>
      </c>
      <c r="R566" s="3"/>
      <c r="S566" s="3"/>
      <c r="T566" s="5" t="n">
        <f aca="false">IF(C566="","",DATE(VALUE(MID(C566,7,4)),VALUE(MID(C566,4,2)),VALUE(MID(C566,1,2)))+TIME(VALUE(MID(C566,12,2)),VALUE(MID(C566,15,2)),0))</f>
        <v>40094.3527777778</v>
      </c>
      <c r="U566" s="3" t="str">
        <f aca="false">IFERROR(IF(ISNUMBER(VALUE(TRIM(MID(A566,FIND("-",A566)+1,FIND("km",A566)-FIND("-",A566)-1)))),"Distance + direction + city","Named-region"),"Named-region")</f>
        <v>Distance + direction + city</v>
      </c>
      <c r="V566" s="3" t="str">
        <f aca="false">LOWER(M566)</f>
        <v>mwc</v>
      </c>
      <c r="W566" s="3" t="n">
        <f aca="false">COUNTIFS($A$2:$A$1001,A566,$C$2:$C$1001,C566)</f>
        <v>1</v>
      </c>
      <c r="X566" s="3" t="str">
        <f aca="false">IF(W566&gt;1,"Duplicate","Unique")</f>
        <v>Unique</v>
      </c>
      <c r="Y566" s="3" t="str">
        <f aca="false">IF(B566&lt;6.5,"&lt;6.5",IF(B566&lt;7,"6.5–6.9",IF(B566&lt;7.5,"7.0–7.4",IF(B566&lt;8,"7.5–7.9","8.0+"))))</f>
        <v>6.5–6.9</v>
      </c>
      <c r="Z566" s="3" t="n">
        <f aca="false">IF(T566="","",YEAR(T566))</f>
        <v>2009</v>
      </c>
    </row>
    <row r="567" customFormat="false" ht="13.8" hidden="false" customHeight="false" outlineLevel="0" collapsed="false">
      <c r="A567" s="3" t="s">
        <v>1515</v>
      </c>
      <c r="B567" s="3" t="n">
        <v>7.4</v>
      </c>
      <c r="C567" s="6" t="s">
        <v>1516</v>
      </c>
      <c r="D567" s="3" t="n">
        <v>0</v>
      </c>
      <c r="E567" s="3" t="n">
        <v>7</v>
      </c>
      <c r="F567" s="3"/>
      <c r="G567" s="3" t="n">
        <v>0</v>
      </c>
      <c r="H567" s="3" t="n">
        <v>842</v>
      </c>
      <c r="I567" s="3" t="s">
        <v>22</v>
      </c>
      <c r="J567" s="3" t="n">
        <v>314</v>
      </c>
      <c r="K567" s="3" t="n">
        <v>0</v>
      </c>
      <c r="L567" s="3" t="n">
        <v>20.2</v>
      </c>
      <c r="M567" s="3" t="s">
        <v>127</v>
      </c>
      <c r="N567" s="3" t="n">
        <v>31.1</v>
      </c>
      <c r="O567" s="3" t="n">
        <v>-13.093</v>
      </c>
      <c r="P567" s="3" t="n">
        <v>166.497</v>
      </c>
      <c r="Q567" s="3" t="s">
        <v>24</v>
      </c>
      <c r="R567" s="3"/>
      <c r="S567" s="3" t="s">
        <v>25</v>
      </c>
      <c r="T567" s="5" t="n">
        <f aca="false">IF(C567="","",DATE(VALUE(MID(C567,7,4)),VALUE(MID(C567,4,2)),VALUE(MID(C567,1,2)))+TIME(VALUE(MID(C567,12,2)),VALUE(MID(C567,15,2)),0))</f>
        <v>40093.9673611111</v>
      </c>
      <c r="U567" s="3" t="str">
        <f aca="false">IFERROR(IF(ISNUMBER(VALUE(TRIM(MID(A567,FIND("-",A567)+1,FIND("km",A567)-FIND("-",A567)-1)))),"Distance + direction + city","Named-region"),"Named-region")</f>
        <v>Distance + direction + city</v>
      </c>
      <c r="V567" s="3" t="str">
        <f aca="false">LOWER(M567)</f>
        <v>mwc</v>
      </c>
      <c r="W567" s="3" t="n">
        <f aca="false">COUNTIFS($A$2:$A$1001,A567,$C$2:$C$1001,C567)</f>
        <v>1</v>
      </c>
      <c r="X567" s="3" t="str">
        <f aca="false">IF(W567&gt;1,"Duplicate","Unique")</f>
        <v>Unique</v>
      </c>
      <c r="Y567" s="3" t="str">
        <f aca="false">IF(B567&lt;6.5,"&lt;6.5",IF(B567&lt;7,"6.5–6.9",IF(B567&lt;7.5,"7.0–7.4",IF(B567&lt;8,"7.5–7.9","8.0+"))))</f>
        <v>7.0–7.4</v>
      </c>
      <c r="Z567" s="3" t="n">
        <f aca="false">IF(T567="","",YEAR(T567))</f>
        <v>2009</v>
      </c>
    </row>
    <row r="568" customFormat="false" ht="13.8" hidden="false" customHeight="false" outlineLevel="0" collapsed="false">
      <c r="A568" s="3" t="s">
        <v>1517</v>
      </c>
      <c r="B568" s="3" t="n">
        <v>7.8</v>
      </c>
      <c r="C568" s="6" t="s">
        <v>1518</v>
      </c>
      <c r="D568" s="3" t="n">
        <v>0</v>
      </c>
      <c r="E568" s="3" t="n">
        <v>6</v>
      </c>
      <c r="F568" s="3"/>
      <c r="G568" s="3" t="n">
        <v>0</v>
      </c>
      <c r="H568" s="3" t="n">
        <v>936</v>
      </c>
      <c r="I568" s="3" t="s">
        <v>22</v>
      </c>
      <c r="J568" s="3" t="n">
        <v>195</v>
      </c>
      <c r="K568" s="3" t="n">
        <v>0</v>
      </c>
      <c r="L568" s="3" t="n">
        <v>20.3</v>
      </c>
      <c r="M568" s="3" t="s">
        <v>127</v>
      </c>
      <c r="N568" s="3" t="n">
        <v>35</v>
      </c>
      <c r="O568" s="3" t="n">
        <v>-12.517</v>
      </c>
      <c r="P568" s="3" t="n">
        <v>166.382</v>
      </c>
      <c r="Q568" s="3" t="s">
        <v>24</v>
      </c>
      <c r="R568" s="3"/>
      <c r="S568" s="3"/>
      <c r="T568" s="5" t="n">
        <f aca="false">IF(C568="","",DATE(VALUE(MID(C568,7,4)),VALUE(MID(C568,4,2)),VALUE(MID(C568,1,2)))+TIME(VALUE(MID(C568,12,2)),VALUE(MID(C568,15,2)),0))</f>
        <v>40093.9291666667</v>
      </c>
      <c r="U568" s="3" t="str">
        <f aca="false">IFERROR(IF(ISNUMBER(VALUE(TRIM(MID(A568,FIND("-",A568)+1,FIND("km",A568)-FIND("-",A568)-1)))),"Distance + direction + city","Named-region"),"Named-region")</f>
        <v>Distance + direction + city</v>
      </c>
      <c r="V568" s="3" t="str">
        <f aca="false">LOWER(M568)</f>
        <v>mwc</v>
      </c>
      <c r="W568" s="3" t="n">
        <f aca="false">COUNTIFS($A$2:$A$1001,A568,$C$2:$C$1001,C568)</f>
        <v>1</v>
      </c>
      <c r="X568" s="3" t="str">
        <f aca="false">IF(W568&gt;1,"Duplicate","Unique")</f>
        <v>Unique</v>
      </c>
      <c r="Y568" s="3" t="str">
        <f aca="false">IF(B568&lt;6.5,"&lt;6.5",IF(B568&lt;7,"6.5–6.9",IF(B568&lt;7.5,"7.0–7.4",IF(B568&lt;8,"7.5–7.9","8.0+"))))</f>
        <v>7.5–7.9</v>
      </c>
      <c r="Z568" s="3" t="n">
        <f aca="false">IF(T568="","",YEAR(T568))</f>
        <v>2009</v>
      </c>
    </row>
    <row r="569" customFormat="false" ht="13.8" hidden="false" customHeight="false" outlineLevel="0" collapsed="false">
      <c r="A569" s="3" t="s">
        <v>1519</v>
      </c>
      <c r="B569" s="3" t="n">
        <v>7.7</v>
      </c>
      <c r="C569" s="6" t="s">
        <v>1520</v>
      </c>
      <c r="D569" s="3" t="n">
        <v>4</v>
      </c>
      <c r="E569" s="3" t="n">
        <v>7</v>
      </c>
      <c r="F569" s="3"/>
      <c r="G569" s="3" t="n">
        <v>0</v>
      </c>
      <c r="H569" s="3" t="n">
        <v>916</v>
      </c>
      <c r="I569" s="3" t="s">
        <v>22</v>
      </c>
      <c r="J569" s="3" t="n">
        <v>283</v>
      </c>
      <c r="K569" s="3" t="n">
        <v>0</v>
      </c>
      <c r="L569" s="3" t="n">
        <v>23.2</v>
      </c>
      <c r="M569" s="3" t="s">
        <v>23</v>
      </c>
      <c r="N569" s="3" t="n">
        <v>45</v>
      </c>
      <c r="O569" s="3" t="n">
        <v>-13.006</v>
      </c>
      <c r="P569" s="3" t="n">
        <v>166.51</v>
      </c>
      <c r="Q569" s="3" t="s">
        <v>24</v>
      </c>
      <c r="R569" s="3"/>
      <c r="S569" s="3" t="s">
        <v>25</v>
      </c>
      <c r="T569" s="5" t="n">
        <f aca="false">IF(C569="","",DATE(VALUE(MID(C569,7,4)),VALUE(MID(C569,4,2)),VALUE(MID(C569,1,2)))+TIME(VALUE(MID(C569,12,2)),VALUE(MID(C569,15,2)),0))</f>
        <v>40093.91875</v>
      </c>
      <c r="U569" s="3" t="str">
        <f aca="false">IFERROR(IF(ISNUMBER(VALUE(TRIM(MID(A569,FIND("-",A569)+1,FIND("km",A569)-FIND("-",A569)-1)))),"Distance + direction + city","Named-region"),"Named-region")</f>
        <v>Distance + direction + city</v>
      </c>
      <c r="V569" s="3" t="str">
        <f aca="false">LOWER(M569)</f>
        <v>mww</v>
      </c>
      <c r="W569" s="3" t="n">
        <f aca="false">COUNTIFS($A$2:$A$1001,A569,$C$2:$C$1001,C569)</f>
        <v>1</v>
      </c>
      <c r="X569" s="3" t="str">
        <f aca="false">IF(W569&gt;1,"Duplicate","Unique")</f>
        <v>Unique</v>
      </c>
      <c r="Y569" s="3" t="str">
        <f aca="false">IF(B569&lt;6.5,"&lt;6.5",IF(B569&lt;7,"6.5–6.9",IF(B569&lt;7.5,"7.0–7.4",IF(B569&lt;8,"7.5–7.9","8.0+"))))</f>
        <v>7.5–7.9</v>
      </c>
      <c r="Z569" s="3" t="n">
        <f aca="false">IF(T569="","",YEAR(T569))</f>
        <v>2009</v>
      </c>
    </row>
    <row r="570" customFormat="false" ht="13.8" hidden="false" customHeight="false" outlineLevel="0" collapsed="false">
      <c r="A570" s="3" t="s">
        <v>1521</v>
      </c>
      <c r="B570" s="3" t="n">
        <v>6.6</v>
      </c>
      <c r="C570" s="6" t="s">
        <v>1522</v>
      </c>
      <c r="D570" s="3" t="n">
        <v>7</v>
      </c>
      <c r="E570" s="3" t="n">
        <v>7</v>
      </c>
      <c r="F570" s="3"/>
      <c r="G570" s="3" t="n">
        <v>0</v>
      </c>
      <c r="H570" s="3" t="n">
        <v>787</v>
      </c>
      <c r="I570" s="3" t="s">
        <v>22</v>
      </c>
      <c r="J570" s="3" t="n">
        <v>417</v>
      </c>
      <c r="K570" s="3" t="n">
        <v>0</v>
      </c>
      <c r="L570" s="3" t="n">
        <v>30.1</v>
      </c>
      <c r="M570" s="3" t="s">
        <v>127</v>
      </c>
      <c r="N570" s="3" t="n">
        <v>9</v>
      </c>
      <c r="O570" s="3" t="n">
        <v>-2.482</v>
      </c>
      <c r="P570" s="3" t="n">
        <v>101.524</v>
      </c>
      <c r="Q570" s="3" t="s">
        <v>809</v>
      </c>
      <c r="R570" s="3"/>
      <c r="S570" s="3" t="s">
        <v>68</v>
      </c>
      <c r="T570" s="5" t="n">
        <f aca="false">IF(C570="","",DATE(VALUE(MID(C570,7,4)),VALUE(MID(C570,4,2)),VALUE(MID(C570,1,2)))+TIME(VALUE(MID(C570,12,2)),VALUE(MID(C570,15,2)),0))</f>
        <v>40087.0777777778</v>
      </c>
      <c r="U570" s="3" t="str">
        <f aca="false">IFERROR(IF(ISNUMBER(VALUE(TRIM(MID(A570,FIND("-",A570)+1,FIND("km",A570)-FIND("-",A570)-1)))),"Distance + direction + city","Named-region"),"Named-region")</f>
        <v>Distance + direction + city</v>
      </c>
      <c r="V570" s="3" t="str">
        <f aca="false">LOWER(M570)</f>
        <v>mwc</v>
      </c>
      <c r="W570" s="3" t="n">
        <f aca="false">COUNTIFS($A$2:$A$1001,A570,$C$2:$C$1001,C570)</f>
        <v>1</v>
      </c>
      <c r="X570" s="3" t="str">
        <f aca="false">IF(W570&gt;1,"Duplicate","Unique")</f>
        <v>Unique</v>
      </c>
      <c r="Y570" s="3" t="str">
        <f aca="false">IF(B570&lt;6.5,"&lt;6.5",IF(B570&lt;7,"6.5–6.9",IF(B570&lt;7.5,"7.0–7.4",IF(B570&lt;8,"7.5–7.9","8.0+"))))</f>
        <v>6.5–6.9</v>
      </c>
      <c r="Z570" s="3" t="n">
        <f aca="false">IF(T570="","",YEAR(T570))</f>
        <v>2009</v>
      </c>
    </row>
    <row r="571" customFormat="false" ht="13.8" hidden="false" customHeight="false" outlineLevel="0" collapsed="false">
      <c r="A571" s="3" t="s">
        <v>1523</v>
      </c>
      <c r="B571" s="3" t="n">
        <v>7.6</v>
      </c>
      <c r="C571" s="3" t="s">
        <v>1524</v>
      </c>
      <c r="D571" s="3" t="n">
        <v>8</v>
      </c>
      <c r="E571" s="3" t="n">
        <v>8</v>
      </c>
      <c r="F571" s="3"/>
      <c r="G571" s="3" t="n">
        <v>0</v>
      </c>
      <c r="H571" s="3" t="n">
        <v>1639</v>
      </c>
      <c r="I571" s="3" t="s">
        <v>22</v>
      </c>
      <c r="J571" s="3" t="n">
        <v>498</v>
      </c>
      <c r="K571" s="3" t="n">
        <v>0</v>
      </c>
      <c r="L571" s="3" t="n">
        <v>14</v>
      </c>
      <c r="M571" s="3" t="s">
        <v>127</v>
      </c>
      <c r="N571" s="3" t="n">
        <v>81</v>
      </c>
      <c r="O571" s="3" t="n">
        <v>-0.72</v>
      </c>
      <c r="P571" s="3" t="n">
        <v>99.867</v>
      </c>
      <c r="Q571" s="3" t="s">
        <v>220</v>
      </c>
      <c r="R571" s="3"/>
      <c r="S571" s="3" t="s">
        <v>68</v>
      </c>
      <c r="T571" s="5" t="n">
        <f aca="false">IF(C571="","",DATE(VALUE(MID(C571,7,4)),VALUE(MID(C571,4,2)),VALUE(MID(C571,1,2)))+TIME(VALUE(MID(C571,12,2)),VALUE(MID(C571,15,2)),0))</f>
        <v>40086.4277777778</v>
      </c>
      <c r="U571" s="3" t="str">
        <f aca="false">IFERROR(IF(ISNUMBER(VALUE(TRIM(MID(A571,FIND("-",A571)+1,FIND("km",A571)-FIND("-",A571)-1)))),"Distance + direction + city","Named-region"),"Named-region")</f>
        <v>Distance + direction + city</v>
      </c>
      <c r="V571" s="3" t="str">
        <f aca="false">LOWER(M571)</f>
        <v>mwc</v>
      </c>
      <c r="W571" s="3" t="n">
        <f aca="false">COUNTIFS($A$2:$A$1001,A571,$C$2:$C$1001,C571)</f>
        <v>1</v>
      </c>
      <c r="X571" s="3" t="str">
        <f aca="false">IF(W571&gt;1,"Duplicate","Unique")</f>
        <v>Unique</v>
      </c>
      <c r="Y571" s="3" t="str">
        <f aca="false">IF(B571&lt;6.5,"&lt;6.5",IF(B571&lt;7,"6.5–6.9",IF(B571&lt;7.5,"7.0–7.4",IF(B571&lt;8,"7.5–7.9","8.0+"))))</f>
        <v>7.5–7.9</v>
      </c>
      <c r="Z571" s="3" t="n">
        <f aca="false">IF(T571="","",YEAR(T571))</f>
        <v>2009</v>
      </c>
    </row>
    <row r="572" customFormat="false" ht="13.8" hidden="false" customHeight="false" outlineLevel="0" collapsed="false">
      <c r="A572" s="3" t="s">
        <v>1525</v>
      </c>
      <c r="B572" s="3" t="n">
        <v>8.1</v>
      </c>
      <c r="C572" s="3" t="s">
        <v>1526</v>
      </c>
      <c r="D572" s="3" t="n">
        <v>7</v>
      </c>
      <c r="E572" s="3" t="n">
        <v>6</v>
      </c>
      <c r="F572" s="3"/>
      <c r="G572" s="3" t="n">
        <v>0</v>
      </c>
      <c r="H572" s="3" t="n">
        <v>1055</v>
      </c>
      <c r="I572" s="3" t="s">
        <v>22</v>
      </c>
      <c r="J572" s="3" t="n">
        <v>520</v>
      </c>
      <c r="K572" s="3" t="n">
        <v>0</v>
      </c>
      <c r="L572" s="3" t="n">
        <v>20.8</v>
      </c>
      <c r="M572" s="3" t="s">
        <v>127</v>
      </c>
      <c r="N572" s="3" t="n">
        <v>18</v>
      </c>
      <c r="O572" s="3" t="n">
        <v>-15.489</v>
      </c>
      <c r="P572" s="3" t="n">
        <v>-172.095</v>
      </c>
      <c r="Q572" s="3" t="s">
        <v>1527</v>
      </c>
      <c r="R572" s="3"/>
      <c r="S572" s="3"/>
      <c r="T572" s="5" t="n">
        <f aca="false">IF(C572="","",DATE(VALUE(MID(C572,7,4)),VALUE(MID(C572,4,2)),VALUE(MID(C572,1,2)))+TIME(VALUE(MID(C572,12,2)),VALUE(MID(C572,15,2)),0))</f>
        <v>40085.7416666667</v>
      </c>
      <c r="U572" s="3" t="str">
        <f aca="false">IFERROR(IF(ISNUMBER(VALUE(TRIM(MID(A572,FIND("-",A572)+1,FIND("km",A572)-FIND("-",A572)-1)))),"Distance + direction + city","Named-region"),"Named-region")</f>
        <v>Distance + direction + city</v>
      </c>
      <c r="V572" s="3" t="str">
        <f aca="false">LOWER(M572)</f>
        <v>mwc</v>
      </c>
      <c r="W572" s="3" t="n">
        <f aca="false">COUNTIFS($A$2:$A$1001,A572,$C$2:$C$1001,C572)</f>
        <v>1</v>
      </c>
      <c r="X572" s="3" t="str">
        <f aca="false">IF(W572&gt;1,"Duplicate","Unique")</f>
        <v>Unique</v>
      </c>
      <c r="Y572" s="3" t="str">
        <f aca="false">IF(B572&lt;6.5,"&lt;6.5",IF(B572&lt;7,"6.5–6.9",IF(B572&lt;7.5,"7.0–7.4",IF(B572&lt;8,"7.5–7.9","8.0+"))))</f>
        <v>8.0+</v>
      </c>
      <c r="Z572" s="3" t="n">
        <f aca="false">IF(T572="","",YEAR(T572))</f>
        <v>2009</v>
      </c>
    </row>
    <row r="573" customFormat="false" ht="13.8" hidden="false" customHeight="false" outlineLevel="0" collapsed="false">
      <c r="A573" s="3" t="s">
        <v>1528</v>
      </c>
      <c r="B573" s="3" t="n">
        <v>7</v>
      </c>
      <c r="C573" s="6" t="s">
        <v>1529</v>
      </c>
      <c r="D573" s="3" t="n">
        <v>7</v>
      </c>
      <c r="E573" s="3" t="n">
        <v>7</v>
      </c>
      <c r="F573" s="3"/>
      <c r="G573" s="3" t="n">
        <v>0</v>
      </c>
      <c r="H573" s="3" t="n">
        <v>1175</v>
      </c>
      <c r="I573" s="3" t="s">
        <v>22</v>
      </c>
      <c r="J573" s="3" t="n">
        <v>312</v>
      </c>
      <c r="K573" s="3" t="n">
        <v>0</v>
      </c>
      <c r="L573" s="3" t="n">
        <v>16.3</v>
      </c>
      <c r="M573" s="3" t="s">
        <v>127</v>
      </c>
      <c r="N573" s="3" t="n">
        <v>46</v>
      </c>
      <c r="O573" s="3" t="n">
        <v>-7.782</v>
      </c>
      <c r="P573" s="3" t="n">
        <v>107.297</v>
      </c>
      <c r="Q573" s="3" t="s">
        <v>1530</v>
      </c>
      <c r="R573" s="3"/>
      <c r="S573" s="3" t="s">
        <v>68</v>
      </c>
      <c r="T573" s="5" t="n">
        <f aca="false">IF(C573="","",DATE(VALUE(MID(C573,7,4)),VALUE(MID(C573,4,2)),VALUE(MID(C573,1,2)))+TIME(VALUE(MID(C573,12,2)),VALUE(MID(C573,15,2)),0))</f>
        <v>40058.3298611111</v>
      </c>
      <c r="U573" s="3" t="str">
        <f aca="false">IFERROR(IF(ISNUMBER(VALUE(TRIM(MID(A573,FIND("-",A573)+1,FIND("km",A573)-FIND("-",A573)-1)))),"Distance + direction + city","Named-region"),"Named-region")</f>
        <v>Distance + direction + city</v>
      </c>
      <c r="V573" s="3" t="str">
        <f aca="false">LOWER(M573)</f>
        <v>mwc</v>
      </c>
      <c r="W573" s="3" t="n">
        <f aca="false">COUNTIFS($A$2:$A$1001,A573,$C$2:$C$1001,C573)</f>
        <v>1</v>
      </c>
      <c r="X573" s="3" t="str">
        <f aca="false">IF(W573&gt;1,"Duplicate","Unique")</f>
        <v>Unique</v>
      </c>
      <c r="Y573" s="3" t="str">
        <f aca="false">IF(B573&lt;6.5,"&lt;6.5",IF(B573&lt;7,"6.5–6.9",IF(B573&lt;7.5,"7.0–7.4",IF(B573&lt;8,"7.5–7.9","8.0+"))))</f>
        <v>7.0–7.4</v>
      </c>
      <c r="Z573" s="3" t="n">
        <f aca="false">IF(T573="","",YEAR(T573))</f>
        <v>2009</v>
      </c>
    </row>
    <row r="574" customFormat="false" ht="13.8" hidden="false" customHeight="false" outlineLevel="0" collapsed="false">
      <c r="A574" s="3" t="s">
        <v>1531</v>
      </c>
      <c r="B574" s="3" t="n">
        <v>6.7</v>
      </c>
      <c r="C574" s="3" t="s">
        <v>1532</v>
      </c>
      <c r="D574" s="3" t="n">
        <v>5</v>
      </c>
      <c r="E574" s="3" t="n">
        <v>6</v>
      </c>
      <c r="F574" s="3"/>
      <c r="G574" s="3" t="n">
        <v>0</v>
      </c>
      <c r="H574" s="3" t="n">
        <v>753</v>
      </c>
      <c r="I574" s="3" t="s">
        <v>22</v>
      </c>
      <c r="J574" s="3" t="n">
        <v>369</v>
      </c>
      <c r="K574" s="3" t="n">
        <v>0</v>
      </c>
      <c r="L574" s="3" t="n">
        <v>14.9</v>
      </c>
      <c r="M574" s="3" t="s">
        <v>127</v>
      </c>
      <c r="N574" s="3" t="n">
        <v>20</v>
      </c>
      <c r="O574" s="3" t="n">
        <v>-1.479</v>
      </c>
      <c r="P574" s="3" t="n">
        <v>99.49</v>
      </c>
      <c r="Q574" s="3" t="s">
        <v>1533</v>
      </c>
      <c r="R574" s="3"/>
      <c r="S574" s="3" t="s">
        <v>68</v>
      </c>
      <c r="T574" s="5" t="n">
        <f aca="false">IF(C574="","",DATE(VALUE(MID(C574,7,4)),VALUE(MID(C574,4,2)),VALUE(MID(C574,1,2)))+TIME(VALUE(MID(C574,12,2)),VALUE(MID(C574,15,2)),0))</f>
        <v>40041.3180555556</v>
      </c>
      <c r="U574" s="3" t="str">
        <f aca="false">IFERROR(IF(ISNUMBER(VALUE(TRIM(MID(A574,FIND("-",A574)+1,FIND("km",A574)-FIND("-",A574)-1)))),"Distance + direction + city","Named-region"),"Named-region")</f>
        <v>Distance + direction + city</v>
      </c>
      <c r="V574" s="3" t="str">
        <f aca="false">LOWER(M574)</f>
        <v>mwc</v>
      </c>
      <c r="W574" s="3" t="n">
        <f aca="false">COUNTIFS($A$2:$A$1001,A574,$C$2:$C$1001,C574)</f>
        <v>1</v>
      </c>
      <c r="X574" s="3" t="str">
        <f aca="false">IF(W574&gt;1,"Duplicate","Unique")</f>
        <v>Unique</v>
      </c>
      <c r="Y574" s="3" t="str">
        <f aca="false">IF(B574&lt;6.5,"&lt;6.5",IF(B574&lt;7,"6.5–6.9",IF(B574&lt;7.5,"7.0–7.4",IF(B574&lt;8,"7.5–7.9","8.0+"))))</f>
        <v>6.5–6.9</v>
      </c>
      <c r="Z574" s="3" t="n">
        <f aca="false">IF(T574="","",YEAR(T574))</f>
        <v>2009</v>
      </c>
    </row>
    <row r="575" customFormat="false" ht="13.8" hidden="false" customHeight="false" outlineLevel="0" collapsed="false">
      <c r="A575" s="3" t="s">
        <v>1534</v>
      </c>
      <c r="B575" s="3" t="n">
        <v>6.6</v>
      </c>
      <c r="C575" s="6" t="s">
        <v>1535</v>
      </c>
      <c r="D575" s="3" t="n">
        <v>4</v>
      </c>
      <c r="E575" s="3" t="n">
        <v>5</v>
      </c>
      <c r="F575" s="3"/>
      <c r="G575" s="3" t="n">
        <v>0</v>
      </c>
      <c r="H575" s="3" t="n">
        <v>703</v>
      </c>
      <c r="I575" s="3" t="s">
        <v>22</v>
      </c>
      <c r="J575" s="3" t="n">
        <v>336</v>
      </c>
      <c r="K575" s="3" t="n">
        <v>0</v>
      </c>
      <c r="L575" s="3" t="n">
        <v>14.1</v>
      </c>
      <c r="M575" s="3" t="s">
        <v>127</v>
      </c>
      <c r="N575" s="3" t="n">
        <v>53</v>
      </c>
      <c r="O575" s="3" t="n">
        <v>32.821</v>
      </c>
      <c r="P575" s="3" t="n">
        <v>140.395</v>
      </c>
      <c r="Q575" s="3" t="s">
        <v>1536</v>
      </c>
      <c r="R575" s="3"/>
      <c r="S575" s="3"/>
      <c r="T575" s="5" t="n">
        <f aca="false">IF(C575="","",DATE(VALUE(MID(C575,7,4)),VALUE(MID(C575,4,2)),VALUE(MID(C575,1,2)))+TIME(VALUE(MID(C575,12,2)),VALUE(MID(C575,15,2)),0))</f>
        <v>40037.95</v>
      </c>
      <c r="U575" s="3" t="str">
        <f aca="false">IFERROR(IF(ISNUMBER(VALUE(TRIM(MID(A575,FIND("-",A575)+1,FIND("km",A575)-FIND("-",A575)-1)))),"Distance + direction + city","Named-region"),"Named-region")</f>
        <v>Distance + direction + city</v>
      </c>
      <c r="V575" s="3" t="str">
        <f aca="false">LOWER(M575)</f>
        <v>mwc</v>
      </c>
      <c r="W575" s="3" t="n">
        <f aca="false">COUNTIFS($A$2:$A$1001,A575,$C$2:$C$1001,C575)</f>
        <v>1</v>
      </c>
      <c r="X575" s="3" t="str">
        <f aca="false">IF(W575&gt;1,"Duplicate","Unique")</f>
        <v>Unique</v>
      </c>
      <c r="Y575" s="3" t="str">
        <f aca="false">IF(B575&lt;6.5,"&lt;6.5",IF(B575&lt;7,"6.5–6.9",IF(B575&lt;7.5,"7.0–7.4",IF(B575&lt;8,"7.5–7.9","8.0+"))))</f>
        <v>6.5–6.9</v>
      </c>
      <c r="Z575" s="3" t="n">
        <f aca="false">IF(T575="","",YEAR(T575))</f>
        <v>2009</v>
      </c>
    </row>
    <row r="576" customFormat="false" ht="13.8" hidden="false" customHeight="false" outlineLevel="0" collapsed="false">
      <c r="A576" s="3" t="s">
        <v>1537</v>
      </c>
      <c r="B576" s="3" t="n">
        <v>7.5</v>
      </c>
      <c r="C576" s="6" t="s">
        <v>1538</v>
      </c>
      <c r="D576" s="3" t="n">
        <v>7</v>
      </c>
      <c r="E576" s="3" t="n">
        <v>6</v>
      </c>
      <c r="F576" s="3"/>
      <c r="G576" s="3" t="n">
        <v>0</v>
      </c>
      <c r="H576" s="3" t="n">
        <v>1248</v>
      </c>
      <c r="I576" s="3" t="s">
        <v>22</v>
      </c>
      <c r="J576" s="3" t="n">
        <v>303</v>
      </c>
      <c r="K576" s="3" t="n">
        <v>0</v>
      </c>
      <c r="L576" s="3" t="n">
        <v>18.2</v>
      </c>
      <c r="M576" s="3" t="s">
        <v>127</v>
      </c>
      <c r="N576" s="3" t="n">
        <v>24</v>
      </c>
      <c r="O576" s="3" t="n">
        <v>14.099</v>
      </c>
      <c r="P576" s="3" t="n">
        <v>92.902</v>
      </c>
      <c r="Q576" s="3" t="s">
        <v>1464</v>
      </c>
      <c r="R576" s="3"/>
      <c r="S576" s="3"/>
      <c r="T576" s="5" t="n">
        <f aca="false">IF(C576="","",DATE(VALUE(MID(C576,7,4)),VALUE(MID(C576,4,2)),VALUE(MID(C576,1,2)))+TIME(VALUE(MID(C576,12,2)),VALUE(MID(C576,15,2)),0))</f>
        <v>40035.8298611111</v>
      </c>
      <c r="U576" s="3" t="str">
        <f aca="false">IFERROR(IF(ISNUMBER(VALUE(TRIM(MID(A576,FIND("-",A576)+1,FIND("km",A576)-FIND("-",A576)-1)))),"Distance + direction + city","Named-region"),"Named-region")</f>
        <v>Distance + direction + city</v>
      </c>
      <c r="V576" s="3" t="str">
        <f aca="false">LOWER(M576)</f>
        <v>mwc</v>
      </c>
      <c r="W576" s="3" t="n">
        <f aca="false">COUNTIFS($A$2:$A$1001,A576,$C$2:$C$1001,C576)</f>
        <v>1</v>
      </c>
      <c r="X576" s="3" t="str">
        <f aca="false">IF(W576&gt;1,"Duplicate","Unique")</f>
        <v>Unique</v>
      </c>
      <c r="Y576" s="3" t="str">
        <f aca="false">IF(B576&lt;6.5,"&lt;6.5",IF(B576&lt;7,"6.5–6.9",IF(B576&lt;7.5,"7.0–7.4",IF(B576&lt;8,"7.5–7.9","8.0+"))))</f>
        <v>7.5–7.9</v>
      </c>
      <c r="Z576" s="3" t="n">
        <f aca="false">IF(T576="","",YEAR(T576))</f>
        <v>2009</v>
      </c>
    </row>
    <row r="577" customFormat="false" ht="13.8" hidden="false" customHeight="false" outlineLevel="0" collapsed="false">
      <c r="A577" s="3" t="s">
        <v>1539</v>
      </c>
      <c r="B577" s="3" t="n">
        <v>7.1</v>
      </c>
      <c r="C577" s="6" t="s">
        <v>1540</v>
      </c>
      <c r="D577" s="3" t="n">
        <v>5</v>
      </c>
      <c r="E577" s="3" t="n">
        <v>4</v>
      </c>
      <c r="F577" s="3"/>
      <c r="G577" s="3" t="n">
        <v>0</v>
      </c>
      <c r="H577" s="3" t="n">
        <v>1005</v>
      </c>
      <c r="I577" s="3" t="s">
        <v>22</v>
      </c>
      <c r="J577" s="3" t="n">
        <v>447</v>
      </c>
      <c r="K577" s="3" t="n">
        <v>0</v>
      </c>
      <c r="L577" s="3" t="n">
        <v>14.2</v>
      </c>
      <c r="M577" s="3" t="s">
        <v>127</v>
      </c>
      <c r="N577" s="3" t="n">
        <v>292</v>
      </c>
      <c r="O577" s="3" t="n">
        <v>33.167</v>
      </c>
      <c r="P577" s="3" t="n">
        <v>137.944</v>
      </c>
      <c r="Q577" s="3" t="s">
        <v>1541</v>
      </c>
      <c r="R577" s="3"/>
      <c r="S577" s="3"/>
      <c r="T577" s="5" t="n">
        <f aca="false">IF(C577="","",DATE(VALUE(MID(C577,7,4)),VALUE(MID(C577,4,2)),VALUE(MID(C577,1,2)))+TIME(VALUE(MID(C577,12,2)),VALUE(MID(C577,15,2)),0))</f>
        <v>40034.4548611111</v>
      </c>
      <c r="U577" s="3" t="str">
        <f aca="false">IFERROR(IF(ISNUMBER(VALUE(TRIM(MID(A577,FIND("-",A577)+1,FIND("km",A577)-FIND("-",A577)-1)))),"Distance + direction + city","Named-region"),"Named-region")</f>
        <v>Distance + direction + city</v>
      </c>
      <c r="V577" s="3" t="str">
        <f aca="false">LOWER(M577)</f>
        <v>mwc</v>
      </c>
      <c r="W577" s="3" t="n">
        <f aca="false">COUNTIFS($A$2:$A$1001,A577,$C$2:$C$1001,C577)</f>
        <v>1</v>
      </c>
      <c r="X577" s="3" t="str">
        <f aca="false">IF(W577&gt;1,"Duplicate","Unique")</f>
        <v>Unique</v>
      </c>
      <c r="Y577" s="3" t="str">
        <f aca="false">IF(B577&lt;6.5,"&lt;6.5",IF(B577&lt;7,"6.5–6.9",IF(B577&lt;7.5,"7.0–7.4",IF(B577&lt;8,"7.5–7.9","8.0+"))))</f>
        <v>7.0–7.4</v>
      </c>
      <c r="Z577" s="3" t="n">
        <f aca="false">IF(T577="","",YEAR(T577))</f>
        <v>2009</v>
      </c>
    </row>
    <row r="578" customFormat="false" ht="13.8" hidden="false" customHeight="false" outlineLevel="0" collapsed="false">
      <c r="A578" s="3" t="s">
        <v>1542</v>
      </c>
      <c r="B578" s="3" t="n">
        <v>6.9</v>
      </c>
      <c r="C578" s="6" t="s">
        <v>1543</v>
      </c>
      <c r="D578" s="3" t="n">
        <v>5</v>
      </c>
      <c r="E578" s="3" t="n">
        <v>7</v>
      </c>
      <c r="F578" s="3"/>
      <c r="G578" s="3" t="n">
        <v>0</v>
      </c>
      <c r="H578" s="3" t="n">
        <v>1202</v>
      </c>
      <c r="I578" s="3" t="s">
        <v>22</v>
      </c>
      <c r="J578" s="3" t="n">
        <v>243</v>
      </c>
      <c r="K578" s="3" t="n">
        <v>0</v>
      </c>
      <c r="L578" s="3" t="n">
        <v>35</v>
      </c>
      <c r="M578" s="3" t="s">
        <v>127</v>
      </c>
      <c r="N578" s="3" t="n">
        <v>10</v>
      </c>
      <c r="O578" s="3" t="n">
        <v>29.039</v>
      </c>
      <c r="P578" s="3" t="n">
        <v>-112.903</v>
      </c>
      <c r="Q578" s="3" t="s">
        <v>1544</v>
      </c>
      <c r="R578" s="3" t="s">
        <v>164</v>
      </c>
      <c r="S578" s="3" t="s">
        <v>165</v>
      </c>
      <c r="T578" s="5" t="n">
        <f aca="false">IF(C578="","",DATE(VALUE(MID(C578,7,4)),VALUE(MID(C578,4,2)),VALUE(MID(C578,1,2)))+TIME(VALUE(MID(C578,12,2)),VALUE(MID(C578,15,2)),0))</f>
        <v>40028.7493055556</v>
      </c>
      <c r="U578" s="3" t="str">
        <f aca="false">IFERROR(IF(ISNUMBER(VALUE(TRIM(MID(A578,FIND("-",A578)+1,FIND("km",A578)-FIND("-",A578)-1)))),"Distance + direction + city","Named-region"),"Named-region")</f>
        <v>Distance + direction + city</v>
      </c>
      <c r="V578" s="3" t="str">
        <f aca="false">LOWER(M578)</f>
        <v>mwc</v>
      </c>
      <c r="W578" s="3" t="n">
        <f aca="false">COUNTIFS($A$2:$A$1001,A578,$C$2:$C$1001,C578)</f>
        <v>1</v>
      </c>
      <c r="X578" s="3" t="str">
        <f aca="false">IF(W578&gt;1,"Duplicate","Unique")</f>
        <v>Unique</v>
      </c>
      <c r="Y578" s="3" t="str">
        <f aca="false">IF(B578&lt;6.5,"&lt;6.5",IF(B578&lt;7,"6.5–6.9",IF(B578&lt;7.5,"7.0–7.4",IF(B578&lt;8,"7.5–7.9","8.0+"))))</f>
        <v>6.5–6.9</v>
      </c>
      <c r="Z578" s="3" t="n">
        <f aca="false">IF(T578="","",YEAR(T578))</f>
        <v>2009</v>
      </c>
    </row>
    <row r="579" customFormat="false" ht="13.8" hidden="false" customHeight="false" outlineLevel="0" collapsed="false">
      <c r="A579" s="3" t="s">
        <v>1545</v>
      </c>
      <c r="B579" s="3" t="n">
        <v>7.8</v>
      </c>
      <c r="C579" s="3" t="s">
        <v>1546</v>
      </c>
      <c r="D579" s="3" t="n">
        <v>6</v>
      </c>
      <c r="E579" s="3" t="n">
        <v>8</v>
      </c>
      <c r="F579" s="3"/>
      <c r="G579" s="3" t="n">
        <v>0</v>
      </c>
      <c r="H579" s="3" t="n">
        <v>1165</v>
      </c>
      <c r="I579" s="3" t="s">
        <v>22</v>
      </c>
      <c r="J579" s="3" t="n">
        <v>434</v>
      </c>
      <c r="K579" s="3" t="n">
        <v>0</v>
      </c>
      <c r="L579" s="3" t="n">
        <v>16.8</v>
      </c>
      <c r="M579" s="3" t="s">
        <v>127</v>
      </c>
      <c r="N579" s="3" t="n">
        <v>12</v>
      </c>
      <c r="O579" s="3" t="n">
        <v>-45.762</v>
      </c>
      <c r="P579" s="3" t="n">
        <v>166.562</v>
      </c>
      <c r="Q579" s="3" t="s">
        <v>1547</v>
      </c>
      <c r="R579" s="3"/>
      <c r="S579" s="3" t="s">
        <v>774</v>
      </c>
      <c r="T579" s="5" t="n">
        <f aca="false">IF(C579="","",DATE(VALUE(MID(C579,7,4)),VALUE(MID(C579,4,2)),VALUE(MID(C579,1,2)))+TIME(VALUE(MID(C579,12,2)),VALUE(MID(C579,15,2)),0))</f>
        <v>40009.3902777778</v>
      </c>
      <c r="U579" s="3" t="str">
        <f aca="false">IFERROR(IF(ISNUMBER(VALUE(TRIM(MID(A579,FIND("-",A579)+1,FIND("km",A579)-FIND("-",A579)-1)))),"Distance + direction + city","Named-region"),"Named-region")</f>
        <v>Distance + direction + city</v>
      </c>
      <c r="V579" s="3" t="str">
        <f aca="false">LOWER(M579)</f>
        <v>mwc</v>
      </c>
      <c r="W579" s="3" t="n">
        <f aca="false">COUNTIFS($A$2:$A$1001,A579,$C$2:$C$1001,C579)</f>
        <v>1</v>
      </c>
      <c r="X579" s="3" t="str">
        <f aca="false">IF(W579&gt;1,"Duplicate","Unique")</f>
        <v>Unique</v>
      </c>
      <c r="Y579" s="3" t="str">
        <f aca="false">IF(B579&lt;6.5,"&lt;6.5",IF(B579&lt;7,"6.5–6.9",IF(B579&lt;7.5,"7.0–7.4",IF(B579&lt;8,"7.5–7.9","8.0+"))))</f>
        <v>7.5–7.9</v>
      </c>
      <c r="Z579" s="3" t="n">
        <f aca="false">IF(T579="","",YEAR(T579))</f>
        <v>2009</v>
      </c>
    </row>
    <row r="580" customFormat="false" ht="13.8" hidden="false" customHeight="false" outlineLevel="0" collapsed="false">
      <c r="A580" s="3" t="s">
        <v>1548</v>
      </c>
      <c r="B580" s="3" t="n">
        <v>6.7</v>
      </c>
      <c r="C580" s="3" t="s">
        <v>1549</v>
      </c>
      <c r="D580" s="3" t="n">
        <v>5</v>
      </c>
      <c r="E580" s="3" t="n">
        <v>5</v>
      </c>
      <c r="F580" s="3"/>
      <c r="G580" s="3" t="n">
        <v>0</v>
      </c>
      <c r="H580" s="3" t="n">
        <v>693</v>
      </c>
      <c r="I580" s="3" t="s">
        <v>22</v>
      </c>
      <c r="J580" s="3" t="n">
        <v>269</v>
      </c>
      <c r="K580" s="3" t="n">
        <v>0</v>
      </c>
      <c r="L580" s="3" t="n">
        <v>13.8</v>
      </c>
      <c r="M580" s="3" t="s">
        <v>127</v>
      </c>
      <c r="N580" s="3" t="n">
        <v>64</v>
      </c>
      <c r="O580" s="3" t="n">
        <v>-5.157</v>
      </c>
      <c r="P580" s="3" t="n">
        <v>153.782</v>
      </c>
      <c r="Q580" s="3" t="s">
        <v>625</v>
      </c>
      <c r="R580" s="3"/>
      <c r="S580" s="3" t="s">
        <v>85</v>
      </c>
      <c r="T580" s="5" t="n">
        <f aca="false">IF(C580="","",DATE(VALUE(MID(C580,7,4)),VALUE(MID(C580,4,2)),VALUE(MID(C580,1,2)))+TIME(VALUE(MID(C580,12,2)),VALUE(MID(C580,15,2)),0))</f>
        <v>39987.5965277778</v>
      </c>
      <c r="U580" s="3" t="str">
        <f aca="false">IFERROR(IF(ISNUMBER(VALUE(TRIM(MID(A580,FIND("-",A580)+1,FIND("km",A580)-FIND("-",A580)-1)))),"Distance + direction + city","Named-region"),"Named-region")</f>
        <v>Distance + direction + city</v>
      </c>
      <c r="V580" s="3" t="str">
        <f aca="false">LOWER(M580)</f>
        <v>mwc</v>
      </c>
      <c r="W580" s="3" t="n">
        <f aca="false">COUNTIFS($A$2:$A$1001,A580,$C$2:$C$1001,C580)</f>
        <v>1</v>
      </c>
      <c r="X580" s="3" t="str">
        <f aca="false">IF(W580&gt;1,"Duplicate","Unique")</f>
        <v>Unique</v>
      </c>
      <c r="Y580" s="3" t="str">
        <f aca="false">IF(B580&lt;6.5,"&lt;6.5",IF(B580&lt;7,"6.5–6.9",IF(B580&lt;7.5,"7.0–7.4",IF(B580&lt;8,"7.5–7.9","8.0+"))))</f>
        <v>6.5–6.9</v>
      </c>
      <c r="Z580" s="3" t="n">
        <f aca="false">IF(T580="","",YEAR(T580))</f>
        <v>2009</v>
      </c>
    </row>
    <row r="581" customFormat="false" ht="13.8" hidden="false" customHeight="false" outlineLevel="0" collapsed="false">
      <c r="A581" s="3" t="s">
        <v>1550</v>
      </c>
      <c r="B581" s="3" t="n">
        <v>7.3</v>
      </c>
      <c r="C581" s="3" t="s">
        <v>1551</v>
      </c>
      <c r="D581" s="3" t="n">
        <v>7</v>
      </c>
      <c r="E581" s="3" t="n">
        <v>8</v>
      </c>
      <c r="F581" s="3"/>
      <c r="G581" s="3" t="n">
        <v>0</v>
      </c>
      <c r="H581" s="3" t="n">
        <v>1560</v>
      </c>
      <c r="I581" s="3" t="s">
        <v>22</v>
      </c>
      <c r="J581" s="3" t="n">
        <v>464</v>
      </c>
      <c r="K581" s="3" t="n">
        <v>0</v>
      </c>
      <c r="L581" s="3" t="n">
        <v>27.2</v>
      </c>
      <c r="M581" s="3" t="s">
        <v>127</v>
      </c>
      <c r="N581" s="3" t="n">
        <v>19</v>
      </c>
      <c r="O581" s="3" t="n">
        <v>16.731</v>
      </c>
      <c r="P581" s="3" t="n">
        <v>-86.217</v>
      </c>
      <c r="Q581" s="3" t="s">
        <v>1552</v>
      </c>
      <c r="R581" s="3"/>
      <c r="S581" s="3"/>
      <c r="T581" s="5" t="n">
        <f aca="false">IF(C581="","",DATE(VALUE(MID(C581,7,4)),VALUE(MID(C581,4,2)),VALUE(MID(C581,1,2)))+TIME(VALUE(MID(C581,12,2)),VALUE(MID(C581,15,2)),0))</f>
        <v>39961.35</v>
      </c>
      <c r="U581" s="3" t="str">
        <f aca="false">IFERROR(IF(ISNUMBER(VALUE(TRIM(MID(A581,FIND("-",A581)+1,FIND("km",A581)-FIND("-",A581)-1)))),"Distance + direction + city","Named-region"),"Named-region")</f>
        <v>Distance + direction + city</v>
      </c>
      <c r="V581" s="3" t="str">
        <f aca="false">LOWER(M581)</f>
        <v>mwc</v>
      </c>
      <c r="W581" s="3" t="n">
        <f aca="false">COUNTIFS($A$2:$A$1001,A581,$C$2:$C$1001,C581)</f>
        <v>1</v>
      </c>
      <c r="X581" s="3" t="str">
        <f aca="false">IF(W581&gt;1,"Duplicate","Unique")</f>
        <v>Unique</v>
      </c>
      <c r="Y581" s="3" t="str">
        <f aca="false">IF(B581&lt;6.5,"&lt;6.5",IF(B581&lt;7,"6.5–6.9",IF(B581&lt;7.5,"7.0–7.4",IF(B581&lt;8,"7.5–7.9","8.0+"))))</f>
        <v>7.0–7.4</v>
      </c>
      <c r="Z581" s="3" t="n">
        <f aca="false">IF(T581="","",YEAR(T581))</f>
        <v>2009</v>
      </c>
    </row>
    <row r="582" customFormat="false" ht="13.8" hidden="false" customHeight="false" outlineLevel="0" collapsed="false">
      <c r="A582" s="3" t="s">
        <v>1553</v>
      </c>
      <c r="B582" s="3" t="n">
        <v>7.6</v>
      </c>
      <c r="C582" s="3" t="s">
        <v>1554</v>
      </c>
      <c r="D582" s="3" t="n">
        <v>7</v>
      </c>
      <c r="E582" s="3" t="n">
        <v>5</v>
      </c>
      <c r="F582" s="3"/>
      <c r="G582" s="3" t="n">
        <v>0</v>
      </c>
      <c r="H582" s="3" t="n">
        <v>916</v>
      </c>
      <c r="I582" s="3" t="s">
        <v>22</v>
      </c>
      <c r="J582" s="3" t="n">
        <v>504</v>
      </c>
      <c r="K582" s="3" t="n">
        <v>0</v>
      </c>
      <c r="L582" s="3" t="n">
        <v>14</v>
      </c>
      <c r="M582" s="3" t="s">
        <v>127</v>
      </c>
      <c r="N582" s="3" t="n">
        <v>31</v>
      </c>
      <c r="O582" s="3" t="n">
        <v>-23.043</v>
      </c>
      <c r="P582" s="3" t="n">
        <v>-174.66</v>
      </c>
      <c r="Q582" s="3" t="s">
        <v>1555</v>
      </c>
      <c r="R582" s="3"/>
      <c r="S582" s="3"/>
      <c r="T582" s="5" t="n">
        <f aca="false">IF(C582="","",DATE(VALUE(MID(C582,7,4)),VALUE(MID(C582,4,2)),VALUE(MID(C582,1,2)))+TIME(VALUE(MID(C582,12,2)),VALUE(MID(C582,15,2)),0))</f>
        <v>39891.7618055556</v>
      </c>
      <c r="U582" s="3" t="str">
        <f aca="false">IFERROR(IF(ISNUMBER(VALUE(TRIM(MID(A582,FIND("-",A582)+1,FIND("km",A582)-FIND("-",A582)-1)))),"Distance + direction + city","Named-region"),"Named-region")</f>
        <v>Distance + direction + city</v>
      </c>
      <c r="V582" s="3" t="str">
        <f aca="false">LOWER(M582)</f>
        <v>mwc</v>
      </c>
      <c r="W582" s="3" t="n">
        <f aca="false">COUNTIFS($A$2:$A$1001,A582,$C$2:$C$1001,C582)</f>
        <v>1</v>
      </c>
      <c r="X582" s="3" t="str">
        <f aca="false">IF(W582&gt;1,"Duplicate","Unique")</f>
        <v>Unique</v>
      </c>
      <c r="Y582" s="3" t="str">
        <f aca="false">IF(B582&lt;6.5,"&lt;6.5",IF(B582&lt;7,"6.5–6.9",IF(B582&lt;7.5,"7.0–7.4",IF(B582&lt;8,"7.5–7.9","8.0+"))))</f>
        <v>7.5–7.9</v>
      </c>
      <c r="Z582" s="3" t="n">
        <f aca="false">IF(T582="","",YEAR(T582))</f>
        <v>2009</v>
      </c>
    </row>
    <row r="583" customFormat="false" ht="13.8" hidden="false" customHeight="false" outlineLevel="0" collapsed="false">
      <c r="A583" s="3" t="s">
        <v>1556</v>
      </c>
      <c r="B583" s="3" t="n">
        <v>7.2</v>
      </c>
      <c r="C583" s="6" t="s">
        <v>1557</v>
      </c>
      <c r="D583" s="3" t="n">
        <v>3</v>
      </c>
      <c r="E583" s="3" t="n">
        <v>7</v>
      </c>
      <c r="F583" s="3"/>
      <c r="G583" s="3" t="n">
        <v>0</v>
      </c>
      <c r="H583" s="3" t="n">
        <v>802</v>
      </c>
      <c r="I583" s="3" t="s">
        <v>22</v>
      </c>
      <c r="J583" s="3" t="n">
        <v>432</v>
      </c>
      <c r="K583" s="3" t="n">
        <v>0</v>
      </c>
      <c r="L583" s="3" t="n">
        <v>18.6</v>
      </c>
      <c r="M583" s="3" t="s">
        <v>127</v>
      </c>
      <c r="N583" s="3" t="n">
        <v>20</v>
      </c>
      <c r="O583" s="3" t="n">
        <v>3.886</v>
      </c>
      <c r="P583" s="3" t="n">
        <v>126.387</v>
      </c>
      <c r="Q583" s="3" t="s">
        <v>856</v>
      </c>
      <c r="R583" s="3"/>
      <c r="S583" s="3" t="s">
        <v>68</v>
      </c>
      <c r="T583" s="5" t="n">
        <f aca="false">IF(C583="","",DATE(VALUE(MID(C583,7,4)),VALUE(MID(C583,4,2)),VALUE(MID(C583,1,2)))+TIME(VALUE(MID(C583,12,2)),VALUE(MID(C583,15,2)),0))</f>
        <v>39855.7319444444</v>
      </c>
      <c r="U583" s="3" t="str">
        <f aca="false">IFERROR(IF(ISNUMBER(VALUE(TRIM(MID(A583,FIND("-",A583)+1,FIND("km",A583)-FIND("-",A583)-1)))),"Distance + direction + city","Named-region"),"Named-region")</f>
        <v>Distance + direction + city</v>
      </c>
      <c r="V583" s="3" t="str">
        <f aca="false">LOWER(M583)</f>
        <v>mwc</v>
      </c>
      <c r="W583" s="3" t="n">
        <f aca="false">COUNTIFS($A$2:$A$1001,A583,$C$2:$C$1001,C583)</f>
        <v>1</v>
      </c>
      <c r="X583" s="3" t="str">
        <f aca="false">IF(W583&gt;1,"Duplicate","Unique")</f>
        <v>Unique</v>
      </c>
      <c r="Y583" s="3" t="str">
        <f aca="false">IF(B583&lt;6.5,"&lt;6.5",IF(B583&lt;7,"6.5–6.9",IF(B583&lt;7.5,"7.0–7.4",IF(B583&lt;8,"7.5–7.9","8.0+"))))</f>
        <v>7.0–7.4</v>
      </c>
      <c r="Z583" s="3" t="n">
        <f aca="false">IF(T583="","",YEAR(T583))</f>
        <v>2009</v>
      </c>
    </row>
    <row r="584" customFormat="false" ht="13.8" hidden="false" customHeight="false" outlineLevel="0" collapsed="false">
      <c r="A584" s="3" t="s">
        <v>1558</v>
      </c>
      <c r="B584" s="3" t="n">
        <v>7.4</v>
      </c>
      <c r="C584" s="6" t="s">
        <v>1559</v>
      </c>
      <c r="D584" s="3" t="n">
        <v>7</v>
      </c>
      <c r="E584" s="3" t="n">
        <v>7</v>
      </c>
      <c r="F584" s="3"/>
      <c r="G584" s="3" t="n">
        <v>0</v>
      </c>
      <c r="H584" s="3" t="n">
        <v>846</v>
      </c>
      <c r="I584" s="3" t="s">
        <v>22</v>
      </c>
      <c r="J584" s="3" t="n">
        <v>314</v>
      </c>
      <c r="K584" s="3" t="n">
        <v>0</v>
      </c>
      <c r="L584" s="3" t="n">
        <v>21.1</v>
      </c>
      <c r="M584" s="3" t="s">
        <v>127</v>
      </c>
      <c r="N584" s="3" t="n">
        <v>23</v>
      </c>
      <c r="O584" s="3" t="n">
        <v>-0.691</v>
      </c>
      <c r="P584" s="3" t="n">
        <v>133.305</v>
      </c>
      <c r="Q584" s="3" t="s">
        <v>1275</v>
      </c>
      <c r="R584" s="3"/>
      <c r="S584" s="3" t="s">
        <v>68</v>
      </c>
      <c r="T584" s="5" t="n">
        <f aca="false">IF(C584="","",DATE(VALUE(MID(C584,7,4)),VALUE(MID(C584,4,2)),VALUE(MID(C584,1,2)))+TIME(VALUE(MID(C584,12,2)),VALUE(MID(C584,15,2)),0))</f>
        <v>39816.9395833333</v>
      </c>
      <c r="U584" s="3" t="str">
        <f aca="false">IFERROR(IF(ISNUMBER(VALUE(TRIM(MID(A584,FIND("-",A584)+1,FIND("km",A584)-FIND("-",A584)-1)))),"Distance + direction + city","Named-region"),"Named-region")</f>
        <v>Distance + direction + city</v>
      </c>
      <c r="V584" s="3" t="str">
        <f aca="false">LOWER(M584)</f>
        <v>mwc</v>
      </c>
      <c r="W584" s="3" t="n">
        <f aca="false">COUNTIFS($A$2:$A$1001,A584,$C$2:$C$1001,C584)</f>
        <v>1</v>
      </c>
      <c r="X584" s="3" t="str">
        <f aca="false">IF(W584&gt;1,"Duplicate","Unique")</f>
        <v>Unique</v>
      </c>
      <c r="Y584" s="3" t="str">
        <f aca="false">IF(B584&lt;6.5,"&lt;6.5",IF(B584&lt;7,"6.5–6.9",IF(B584&lt;7.5,"7.0–7.4",IF(B584&lt;8,"7.5–7.9","8.0+"))))</f>
        <v>7.0–7.4</v>
      </c>
      <c r="Z584" s="3" t="n">
        <f aca="false">IF(T584="","",YEAR(T584))</f>
        <v>2009</v>
      </c>
    </row>
    <row r="585" customFormat="false" ht="13.8" hidden="false" customHeight="false" outlineLevel="0" collapsed="false">
      <c r="A585" s="3" t="s">
        <v>1560</v>
      </c>
      <c r="B585" s="3" t="n">
        <v>6.6</v>
      </c>
      <c r="C585" s="6" t="s">
        <v>1561</v>
      </c>
      <c r="D585" s="3" t="n">
        <v>5</v>
      </c>
      <c r="E585" s="3" t="n">
        <v>4</v>
      </c>
      <c r="F585" s="3"/>
      <c r="G585" s="3" t="n">
        <v>0</v>
      </c>
      <c r="H585" s="3" t="n">
        <v>765</v>
      </c>
      <c r="I585" s="3" t="s">
        <v>22</v>
      </c>
      <c r="J585" s="3" t="n">
        <v>344</v>
      </c>
      <c r="K585" s="3" t="n">
        <v>0</v>
      </c>
      <c r="L585" s="3" t="n">
        <v>22.6</v>
      </c>
      <c r="M585" s="3" t="s">
        <v>127</v>
      </c>
      <c r="N585" s="3" t="n">
        <v>204.8</v>
      </c>
      <c r="O585" s="3" t="n">
        <v>36.419</v>
      </c>
      <c r="P585" s="3" t="n">
        <v>70.743</v>
      </c>
      <c r="Q585" s="3" t="s">
        <v>91</v>
      </c>
      <c r="R585" s="3" t="s">
        <v>80</v>
      </c>
      <c r="S585" s="3" t="s">
        <v>92</v>
      </c>
      <c r="T585" s="5" t="n">
        <f aca="false">IF(C585="","",DATE(VALUE(MID(C585,7,4)),VALUE(MID(C585,4,2)),VALUE(MID(C585,1,2)))+TIME(VALUE(MID(C585,12,2)),VALUE(MID(C585,15,2)),0))</f>
        <v>39816.8493055556</v>
      </c>
      <c r="U585" s="3" t="str">
        <f aca="false">IFERROR(IF(ISNUMBER(VALUE(TRIM(MID(A585,FIND("-",A585)+1,FIND("km",A585)-FIND("-",A585)-1)))),"Distance + direction + city","Named-region"),"Named-region")</f>
        <v>Distance + direction + city</v>
      </c>
      <c r="V585" s="3" t="str">
        <f aca="false">LOWER(M585)</f>
        <v>mwc</v>
      </c>
      <c r="W585" s="3" t="n">
        <f aca="false">COUNTIFS($A$2:$A$1001,A585,$C$2:$C$1001,C585)</f>
        <v>1</v>
      </c>
      <c r="X585" s="3" t="str">
        <f aca="false">IF(W585&gt;1,"Duplicate","Unique")</f>
        <v>Unique</v>
      </c>
      <c r="Y585" s="3" t="str">
        <f aca="false">IF(B585&lt;6.5,"&lt;6.5",IF(B585&lt;7,"6.5–6.9",IF(B585&lt;7.5,"7.0–7.4",IF(B585&lt;8,"7.5–7.9","8.0+"))))</f>
        <v>6.5–6.9</v>
      </c>
      <c r="Z585" s="3" t="n">
        <f aca="false">IF(T585="","",YEAR(T585))</f>
        <v>2009</v>
      </c>
    </row>
    <row r="586" customFormat="false" ht="13.8" hidden="false" customHeight="false" outlineLevel="0" collapsed="false">
      <c r="A586" s="3" t="s">
        <v>1562</v>
      </c>
      <c r="B586" s="3" t="n">
        <v>7.7</v>
      </c>
      <c r="C586" s="6" t="s">
        <v>1563</v>
      </c>
      <c r="D586" s="3" t="n">
        <v>5</v>
      </c>
      <c r="E586" s="3" t="n">
        <v>7</v>
      </c>
      <c r="F586" s="3"/>
      <c r="G586" s="3" t="n">
        <v>0</v>
      </c>
      <c r="H586" s="3" t="n">
        <v>918</v>
      </c>
      <c r="I586" s="3" t="s">
        <v>22</v>
      </c>
      <c r="J586" s="3" t="n">
        <v>288</v>
      </c>
      <c r="K586" s="3" t="n">
        <v>0</v>
      </c>
      <c r="L586" s="3" t="n">
        <v>29.8</v>
      </c>
      <c r="M586" s="3" t="s">
        <v>127</v>
      </c>
      <c r="N586" s="3" t="n">
        <v>17</v>
      </c>
      <c r="O586" s="3" t="n">
        <v>-0.414</v>
      </c>
      <c r="P586" s="3" t="n">
        <v>132.885</v>
      </c>
      <c r="Q586" s="3" t="s">
        <v>1275</v>
      </c>
      <c r="R586" s="3"/>
      <c r="S586" s="3" t="s">
        <v>68</v>
      </c>
      <c r="T586" s="5" t="n">
        <f aca="false">IF(C586="","",DATE(VALUE(MID(C586,7,4)),VALUE(MID(C586,4,2)),VALUE(MID(C586,1,2)))+TIME(VALUE(MID(C586,12,2)),VALUE(MID(C586,15,2)),0))</f>
        <v>39816.8215277778</v>
      </c>
      <c r="U586" s="3" t="str">
        <f aca="false">IFERROR(IF(ISNUMBER(VALUE(TRIM(MID(A586,FIND("-",A586)+1,FIND("km",A586)-FIND("-",A586)-1)))),"Distance + direction + city","Named-region"),"Named-region")</f>
        <v>Distance + direction + city</v>
      </c>
      <c r="V586" s="3" t="str">
        <f aca="false">LOWER(M586)</f>
        <v>mwc</v>
      </c>
      <c r="W586" s="3" t="n">
        <f aca="false">COUNTIFS($A$2:$A$1001,A586,$C$2:$C$1001,C586)</f>
        <v>1</v>
      </c>
      <c r="X586" s="3" t="str">
        <f aca="false">IF(W586&gt;1,"Duplicate","Unique")</f>
        <v>Unique</v>
      </c>
      <c r="Y586" s="3" t="str">
        <f aca="false">IF(B586&lt;6.5,"&lt;6.5",IF(B586&lt;7,"6.5–6.9",IF(B586&lt;7.5,"7.0–7.4",IF(B586&lt;8,"7.5–7.9","8.0+"))))</f>
        <v>7.5–7.9</v>
      </c>
      <c r="Z586" s="3" t="n">
        <f aca="false">IF(T586="","",YEAR(T586))</f>
        <v>2009</v>
      </c>
    </row>
    <row r="587" customFormat="false" ht="13.8" hidden="false" customHeight="false" outlineLevel="0" collapsed="false">
      <c r="A587" s="3" t="s">
        <v>1564</v>
      </c>
      <c r="B587" s="3" t="n">
        <v>7.4</v>
      </c>
      <c r="C587" s="3" t="s">
        <v>1565</v>
      </c>
      <c r="D587" s="3" t="n">
        <v>9</v>
      </c>
      <c r="E587" s="3" t="n">
        <v>7</v>
      </c>
      <c r="F587" s="3"/>
      <c r="G587" s="3" t="n">
        <v>0</v>
      </c>
      <c r="H587" s="3" t="n">
        <v>848</v>
      </c>
      <c r="I587" s="3" t="s">
        <v>22</v>
      </c>
      <c r="J587" s="3" t="n">
        <v>365</v>
      </c>
      <c r="K587" s="3" t="n">
        <v>0</v>
      </c>
      <c r="L587" s="3" t="n">
        <v>33.7</v>
      </c>
      <c r="M587" s="3" t="s">
        <v>23</v>
      </c>
      <c r="N587" s="3" t="n">
        <v>30</v>
      </c>
      <c r="O587" s="3" t="n">
        <v>1.271</v>
      </c>
      <c r="P587" s="3" t="n">
        <v>122.091</v>
      </c>
      <c r="Q587" s="3" t="s">
        <v>1566</v>
      </c>
      <c r="R587" s="3"/>
      <c r="S587" s="3" t="s">
        <v>68</v>
      </c>
      <c r="T587" s="5" t="n">
        <f aca="false">IF(C587="","",DATE(VALUE(MID(C587,7,4)),VALUE(MID(C587,4,2)),VALUE(MID(C587,1,2)))+TIME(VALUE(MID(C587,12,2)),VALUE(MID(C587,15,2)),0))</f>
        <v>39768.7097222222</v>
      </c>
      <c r="U587" s="3" t="str">
        <f aca="false">IFERROR(IF(ISNUMBER(VALUE(TRIM(MID(A587,FIND("-",A587)+1,FIND("km",A587)-FIND("-",A587)-1)))),"Distance + direction + city","Named-region"),"Named-region")</f>
        <v>Distance + direction + city</v>
      </c>
      <c r="V587" s="3" t="str">
        <f aca="false">LOWER(M587)</f>
        <v>mww</v>
      </c>
      <c r="W587" s="3" t="n">
        <f aca="false">COUNTIFS($A$2:$A$1001,A587,$C$2:$C$1001,C587)</f>
        <v>1</v>
      </c>
      <c r="X587" s="3" t="str">
        <f aca="false">IF(W587&gt;1,"Duplicate","Unique")</f>
        <v>Unique</v>
      </c>
      <c r="Y587" s="3" t="str">
        <f aca="false">IF(B587&lt;6.5,"&lt;6.5",IF(B587&lt;7,"6.5–6.9",IF(B587&lt;7.5,"7.0–7.4",IF(B587&lt;8,"7.5–7.9","8.0+"))))</f>
        <v>7.0–7.4</v>
      </c>
      <c r="Z587" s="3" t="n">
        <f aca="false">IF(T587="","",YEAR(T587))</f>
        <v>2008</v>
      </c>
    </row>
    <row r="588" customFormat="false" ht="13.8" hidden="false" customHeight="false" outlineLevel="0" collapsed="false">
      <c r="A588" s="3" t="s">
        <v>1567</v>
      </c>
      <c r="B588" s="3" t="n">
        <v>6.7</v>
      </c>
      <c r="C588" s="3" t="s">
        <v>1568</v>
      </c>
      <c r="D588" s="3" t="n">
        <v>5</v>
      </c>
      <c r="E588" s="3" t="n">
        <v>6</v>
      </c>
      <c r="F588" s="3"/>
      <c r="G588" s="3" t="n">
        <v>0</v>
      </c>
      <c r="H588" s="3" t="n">
        <v>731</v>
      </c>
      <c r="I588" s="3" t="s">
        <v>22</v>
      </c>
      <c r="J588" s="3" t="n">
        <v>481</v>
      </c>
      <c r="K588" s="3" t="n">
        <v>0</v>
      </c>
      <c r="L588" s="3" t="n">
        <v>28.6</v>
      </c>
      <c r="M588" s="3" t="s">
        <v>127</v>
      </c>
      <c r="N588" s="3" t="n">
        <v>24</v>
      </c>
      <c r="O588" s="3" t="n">
        <v>14.423</v>
      </c>
      <c r="P588" s="3" t="n">
        <v>-92.364</v>
      </c>
      <c r="Q588" s="3" t="s">
        <v>1569</v>
      </c>
      <c r="R588" s="3"/>
      <c r="S588" s="3" t="s">
        <v>165</v>
      </c>
      <c r="T588" s="5" t="n">
        <f aca="false">IF(C588="","",DATE(VALUE(MID(C588,7,4)),VALUE(MID(C588,4,2)),VALUE(MID(C588,1,2)))+TIME(VALUE(MID(C588,12,2)),VALUE(MID(C588,15,2)),0))</f>
        <v>39737.8201388889</v>
      </c>
      <c r="U588" s="3" t="str">
        <f aca="false">IFERROR(IF(ISNUMBER(VALUE(TRIM(MID(A588,FIND("-",A588)+1,FIND("km",A588)-FIND("-",A588)-1)))),"Distance + direction + city","Named-region"),"Named-region")</f>
        <v>Distance + direction + city</v>
      </c>
      <c r="V588" s="3" t="str">
        <f aca="false">LOWER(M588)</f>
        <v>mwc</v>
      </c>
      <c r="W588" s="3" t="n">
        <f aca="false">COUNTIFS($A$2:$A$1001,A588,$C$2:$C$1001,C588)</f>
        <v>1</v>
      </c>
      <c r="X588" s="3" t="str">
        <f aca="false">IF(W588&gt;1,"Duplicate","Unique")</f>
        <v>Unique</v>
      </c>
      <c r="Y588" s="3" t="str">
        <f aca="false">IF(B588&lt;6.5,"&lt;6.5",IF(B588&lt;7,"6.5–6.9",IF(B588&lt;7.5,"7.0–7.4",IF(B588&lt;8,"7.5–7.9","8.0+"))))</f>
        <v>6.5–6.9</v>
      </c>
      <c r="Z588" s="3" t="n">
        <f aca="false">IF(T588="","",YEAR(T588))</f>
        <v>2008</v>
      </c>
    </row>
    <row r="589" customFormat="false" ht="13.8" hidden="false" customHeight="false" outlineLevel="0" collapsed="false">
      <c r="A589" s="3" t="s">
        <v>1570</v>
      </c>
      <c r="B589" s="3" t="n">
        <v>6.7</v>
      </c>
      <c r="C589" s="6" t="s">
        <v>1571</v>
      </c>
      <c r="D589" s="3" t="n">
        <v>0</v>
      </c>
      <c r="E589" s="3" t="n">
        <v>6</v>
      </c>
      <c r="F589" s="3"/>
      <c r="G589" s="3" t="n">
        <v>0</v>
      </c>
      <c r="H589" s="3" t="n">
        <v>691</v>
      </c>
      <c r="I589" s="3" t="s">
        <v>22</v>
      </c>
      <c r="J589" s="3" t="n">
        <v>529</v>
      </c>
      <c r="K589" s="3" t="n">
        <v>0</v>
      </c>
      <c r="L589" s="3" t="n">
        <v>22.3</v>
      </c>
      <c r="M589" s="3" t="s">
        <v>127</v>
      </c>
      <c r="N589" s="3" t="n">
        <v>27.4</v>
      </c>
      <c r="O589" s="3" t="n">
        <v>39.533</v>
      </c>
      <c r="P589" s="3" t="n">
        <v>73.824</v>
      </c>
      <c r="Q589" s="3" t="s">
        <v>1572</v>
      </c>
      <c r="R589" s="3" t="s">
        <v>80</v>
      </c>
      <c r="S589" s="3" t="s">
        <v>1573</v>
      </c>
      <c r="T589" s="5" t="n">
        <f aca="false">IF(C589="","",DATE(VALUE(MID(C589,7,4)),VALUE(MID(C589,4,2)),VALUE(MID(C589,1,2)))+TIME(VALUE(MID(C589,12,2)),VALUE(MID(C589,15,2)),0))</f>
        <v>39726.6611111111</v>
      </c>
      <c r="U589" s="3" t="str">
        <f aca="false">IFERROR(IF(ISNUMBER(VALUE(TRIM(MID(A589,FIND("-",A589)+1,FIND("km",A589)-FIND("-",A589)-1)))),"Distance + direction + city","Named-region"),"Named-region")</f>
        <v>Distance + direction + city</v>
      </c>
      <c r="V589" s="3" t="str">
        <f aca="false">LOWER(M589)</f>
        <v>mwc</v>
      </c>
      <c r="W589" s="3" t="n">
        <f aca="false">COUNTIFS($A$2:$A$1001,A589,$C$2:$C$1001,C589)</f>
        <v>1</v>
      </c>
      <c r="X589" s="3" t="str">
        <f aca="false">IF(W589&gt;1,"Duplicate","Unique")</f>
        <v>Unique</v>
      </c>
      <c r="Y589" s="3" t="str">
        <f aca="false">IF(B589&lt;6.5,"&lt;6.5",IF(B589&lt;7,"6.5–6.9",IF(B589&lt;7.5,"7.0–7.4",IF(B589&lt;8,"7.5–7.9","8.0+"))))</f>
        <v>6.5–6.9</v>
      </c>
      <c r="Z589" s="3" t="n">
        <f aca="false">IF(T589="","",YEAR(T589))</f>
        <v>2008</v>
      </c>
    </row>
    <row r="590" customFormat="false" ht="13.8" hidden="false" customHeight="false" outlineLevel="0" collapsed="false">
      <c r="A590" s="3" t="s">
        <v>1574</v>
      </c>
      <c r="B590" s="3" t="n">
        <v>6.8</v>
      </c>
      <c r="C590" s="6" t="s">
        <v>1575</v>
      </c>
      <c r="D590" s="3" t="n">
        <v>0</v>
      </c>
      <c r="E590" s="3" t="n">
        <v>6</v>
      </c>
      <c r="F590" s="3"/>
      <c r="G590" s="3" t="n">
        <v>0</v>
      </c>
      <c r="H590" s="3" t="n">
        <v>711</v>
      </c>
      <c r="I590" s="3" t="s">
        <v>22</v>
      </c>
      <c r="J590" s="3" t="n">
        <v>500</v>
      </c>
      <c r="K590" s="3" t="n">
        <v>0</v>
      </c>
      <c r="L590" s="3" t="n">
        <v>22.2</v>
      </c>
      <c r="M590" s="3" t="s">
        <v>127</v>
      </c>
      <c r="N590" s="3" t="n">
        <v>25</v>
      </c>
      <c r="O590" s="3" t="n">
        <v>41.892</v>
      </c>
      <c r="P590" s="3" t="n">
        <v>143.754</v>
      </c>
      <c r="Q590" s="3" t="s">
        <v>1224</v>
      </c>
      <c r="R590" s="3"/>
      <c r="S590" s="3"/>
      <c r="T590" s="5" t="n">
        <f aca="false">IF(C590="","",DATE(VALUE(MID(C590,7,4)),VALUE(MID(C590,4,2)),VALUE(MID(C590,1,2)))+TIME(VALUE(MID(C590,12,2)),VALUE(MID(C590,15,2)),0))</f>
        <v>39702.0138888889</v>
      </c>
      <c r="U590" s="3" t="str">
        <f aca="false">IFERROR(IF(ISNUMBER(VALUE(TRIM(MID(A590,FIND("-",A590)+1,FIND("km",A590)-FIND("-",A590)-1)))),"Distance + direction + city","Named-region"),"Named-region")</f>
        <v>Distance + direction + city</v>
      </c>
      <c r="V590" s="3" t="str">
        <f aca="false">LOWER(M590)</f>
        <v>mwc</v>
      </c>
      <c r="W590" s="3" t="n">
        <f aca="false">COUNTIFS($A$2:$A$1001,A590,$C$2:$C$1001,C590)</f>
        <v>1</v>
      </c>
      <c r="X590" s="3" t="str">
        <f aca="false">IF(W590&gt;1,"Duplicate","Unique")</f>
        <v>Unique</v>
      </c>
      <c r="Y590" s="3" t="str">
        <f aca="false">IF(B590&lt;6.5,"&lt;6.5",IF(B590&lt;7,"6.5–6.9",IF(B590&lt;7.5,"7.0–7.4",IF(B590&lt;8,"7.5–7.9","8.0+"))))</f>
        <v>6.5–6.9</v>
      </c>
      <c r="Z590" s="3" t="n">
        <f aca="false">IF(T590="","",YEAR(T590))</f>
        <v>2008</v>
      </c>
    </row>
    <row r="591" customFormat="false" ht="13.8" hidden="false" customHeight="false" outlineLevel="0" collapsed="false">
      <c r="A591" s="3" t="s">
        <v>1576</v>
      </c>
      <c r="B591" s="3" t="n">
        <v>6.6</v>
      </c>
      <c r="C591" s="6" t="s">
        <v>1577</v>
      </c>
      <c r="D591" s="3" t="n">
        <v>0</v>
      </c>
      <c r="E591" s="3" t="n">
        <v>6</v>
      </c>
      <c r="F591" s="3"/>
      <c r="G591" s="3" t="n">
        <v>0</v>
      </c>
      <c r="H591" s="3" t="n">
        <v>670</v>
      </c>
      <c r="I591" s="3" t="s">
        <v>22</v>
      </c>
      <c r="J591" s="3" t="n">
        <v>463</v>
      </c>
      <c r="K591" s="3" t="n">
        <v>0</v>
      </c>
      <c r="L591" s="3" t="n">
        <v>14.1</v>
      </c>
      <c r="M591" s="3" t="s">
        <v>127</v>
      </c>
      <c r="N591" s="3" t="n">
        <v>96</v>
      </c>
      <c r="O591" s="3" t="n">
        <v>1.885</v>
      </c>
      <c r="P591" s="3" t="n">
        <v>127.363</v>
      </c>
      <c r="Q591" s="3" t="s">
        <v>128</v>
      </c>
      <c r="R591" s="3"/>
      <c r="S591" s="3" t="s">
        <v>68</v>
      </c>
      <c r="T591" s="5" t="n">
        <f aca="false">IF(C591="","",DATE(VALUE(MID(C591,7,4)),VALUE(MID(C591,4,2)),VALUE(MID(C591,1,2)))+TIME(VALUE(MID(C591,12,2)),VALUE(MID(C591,15,2)),0))</f>
        <v>39702</v>
      </c>
      <c r="U591" s="3" t="str">
        <f aca="false">IFERROR(IF(ISNUMBER(VALUE(TRIM(MID(A591,FIND("-",A591)+1,FIND("km",A591)-FIND("-",A591)-1)))),"Distance + direction + city","Named-region"),"Named-region")</f>
        <v>Distance + direction + city</v>
      </c>
      <c r="V591" s="3" t="str">
        <f aca="false">LOWER(M591)</f>
        <v>mwc</v>
      </c>
      <c r="W591" s="3" t="n">
        <f aca="false">COUNTIFS($A$2:$A$1001,A591,$C$2:$C$1001,C591)</f>
        <v>1</v>
      </c>
      <c r="X591" s="3" t="str">
        <f aca="false">IF(W591&gt;1,"Duplicate","Unique")</f>
        <v>Unique</v>
      </c>
      <c r="Y591" s="3" t="str">
        <f aca="false">IF(B591&lt;6.5,"&lt;6.5",IF(B591&lt;7,"6.5–6.9",IF(B591&lt;7.5,"7.0–7.4",IF(B591&lt;8,"7.5–7.9","8.0+"))))</f>
        <v>6.5–6.9</v>
      </c>
      <c r="Z591" s="3" t="n">
        <f aca="false">IF(T591="","",YEAR(T591))</f>
        <v>2008</v>
      </c>
    </row>
    <row r="592" customFormat="false" ht="13.8" hidden="false" customHeight="false" outlineLevel="0" collapsed="false">
      <c r="A592" s="3" t="s">
        <v>1578</v>
      </c>
      <c r="B592" s="3" t="n">
        <v>6.9</v>
      </c>
      <c r="C592" s="6" t="s">
        <v>1579</v>
      </c>
      <c r="D592" s="3" t="n">
        <v>0</v>
      </c>
      <c r="E592" s="3" t="n">
        <v>6</v>
      </c>
      <c r="F592" s="3"/>
      <c r="G592" s="3" t="n">
        <v>0</v>
      </c>
      <c r="H592" s="3" t="n">
        <v>732</v>
      </c>
      <c r="I592" s="3" t="s">
        <v>22</v>
      </c>
      <c r="J592" s="3" t="n">
        <v>531</v>
      </c>
      <c r="K592" s="3" t="n">
        <v>0</v>
      </c>
      <c r="L592" s="3" t="n">
        <v>14.9</v>
      </c>
      <c r="M592" s="3" t="s">
        <v>127</v>
      </c>
      <c r="N592" s="3" t="n">
        <v>110</v>
      </c>
      <c r="O592" s="3" t="n">
        <v>-13.501</v>
      </c>
      <c r="P592" s="3" t="n">
        <v>166.967</v>
      </c>
      <c r="Q592" s="3" t="s">
        <v>24</v>
      </c>
      <c r="R592" s="3"/>
      <c r="S592" s="3" t="s">
        <v>25</v>
      </c>
      <c r="T592" s="5" t="n">
        <f aca="false">IF(C592="","",DATE(VALUE(MID(C592,7,4)),VALUE(MID(C592,4,2)),VALUE(MID(C592,1,2)))+TIME(VALUE(MID(C592,12,2)),VALUE(MID(C592,15,2)),0))</f>
        <v>39699.7861111111</v>
      </c>
      <c r="U592" s="3" t="str">
        <f aca="false">IFERROR(IF(ISNUMBER(VALUE(TRIM(MID(A592,FIND("-",A592)+1,FIND("km",A592)-FIND("-",A592)-1)))),"Distance + direction + city","Named-region"),"Named-region")</f>
        <v>Distance + direction + city</v>
      </c>
      <c r="V592" s="3" t="str">
        <f aca="false">LOWER(M592)</f>
        <v>mwc</v>
      </c>
      <c r="W592" s="3" t="n">
        <f aca="false">COUNTIFS($A$2:$A$1001,A592,$C$2:$C$1001,C592)</f>
        <v>1</v>
      </c>
      <c r="X592" s="3" t="str">
        <f aca="false">IF(W592&gt;1,"Duplicate","Unique")</f>
        <v>Unique</v>
      </c>
      <c r="Y592" s="3" t="str">
        <f aca="false">IF(B592&lt;6.5,"&lt;6.5",IF(B592&lt;7,"6.5–6.9",IF(B592&lt;7.5,"7.0–7.4",IF(B592&lt;8,"7.5–7.9","8.0+"))))</f>
        <v>6.5–6.9</v>
      </c>
      <c r="Z592" s="3" t="n">
        <f aca="false">IF(T592="","",YEAR(T592))</f>
        <v>2008</v>
      </c>
    </row>
    <row r="593" customFormat="false" ht="13.8" hidden="false" customHeight="false" outlineLevel="0" collapsed="false">
      <c r="A593" s="3" t="s">
        <v>1580</v>
      </c>
      <c r="B593" s="3" t="n">
        <v>6.7</v>
      </c>
      <c r="C593" s="3" t="s">
        <v>1581</v>
      </c>
      <c r="D593" s="3" t="n">
        <v>4</v>
      </c>
      <c r="E593" s="3" t="n">
        <v>7</v>
      </c>
      <c r="F593" s="3"/>
      <c r="G593" s="3" t="n">
        <v>0</v>
      </c>
      <c r="H593" s="3" t="n">
        <v>692</v>
      </c>
      <c r="I593" s="3" t="s">
        <v>22</v>
      </c>
      <c r="J593" s="3" t="n">
        <v>325</v>
      </c>
      <c r="K593" s="3" t="n">
        <v>0</v>
      </c>
      <c r="L593" s="3" t="n">
        <v>28</v>
      </c>
      <c r="M593" s="3" t="s">
        <v>127</v>
      </c>
      <c r="N593" s="3" t="n">
        <v>12</v>
      </c>
      <c r="O593" s="3" t="n">
        <v>30.901</v>
      </c>
      <c r="P593" s="3" t="n">
        <v>83.52</v>
      </c>
      <c r="Q593" s="3" t="s">
        <v>1582</v>
      </c>
      <c r="R593" s="3" t="s">
        <v>80</v>
      </c>
      <c r="S593" s="3" t="s">
        <v>184</v>
      </c>
      <c r="T593" s="5" t="n">
        <f aca="false">IF(C593="","",DATE(VALUE(MID(C593,7,4)),VALUE(MID(C593,4,2)),VALUE(MID(C593,1,2)))+TIME(VALUE(MID(C593,12,2)),VALUE(MID(C593,15,2)),0))</f>
        <v>39685.55625</v>
      </c>
      <c r="U593" s="3" t="str">
        <f aca="false">IFERROR(IF(ISNUMBER(VALUE(TRIM(MID(A593,FIND("-",A593)+1,FIND("km",A593)-FIND("-",A593)-1)))),"Distance + direction + city","Named-region"),"Named-region")</f>
        <v>Distance + direction + city</v>
      </c>
      <c r="V593" s="3" t="str">
        <f aca="false">LOWER(M593)</f>
        <v>mwc</v>
      </c>
      <c r="W593" s="3" t="n">
        <f aca="false">COUNTIFS($A$2:$A$1001,A593,$C$2:$C$1001,C593)</f>
        <v>1</v>
      </c>
      <c r="X593" s="3" t="str">
        <f aca="false">IF(W593&gt;1,"Duplicate","Unique")</f>
        <v>Unique</v>
      </c>
      <c r="Y593" s="3" t="str">
        <f aca="false">IF(B593&lt;6.5,"&lt;6.5",IF(B593&lt;7,"6.5–6.9",IF(B593&lt;7.5,"7.0–7.4",IF(B593&lt;8,"7.5–7.9","8.0+"))))</f>
        <v>6.5–6.9</v>
      </c>
      <c r="Z593" s="3" t="n">
        <f aca="false">IF(T593="","",YEAR(T593))</f>
        <v>2008</v>
      </c>
    </row>
    <row r="594" customFormat="false" ht="13.8" hidden="false" customHeight="false" outlineLevel="0" collapsed="false">
      <c r="A594" s="3" t="s">
        <v>1583</v>
      </c>
      <c r="B594" s="3" t="n">
        <v>6.8</v>
      </c>
      <c r="C594" s="3" t="s">
        <v>1584</v>
      </c>
      <c r="D594" s="3" t="n">
        <v>8</v>
      </c>
      <c r="E594" s="3" t="n">
        <v>7</v>
      </c>
      <c r="F594" s="3"/>
      <c r="G594" s="3" t="n">
        <v>0</v>
      </c>
      <c r="H594" s="3" t="n">
        <v>1046</v>
      </c>
      <c r="I594" s="3" t="s">
        <v>22</v>
      </c>
      <c r="J594" s="3" t="n">
        <v>633</v>
      </c>
      <c r="K594" s="3" t="n">
        <v>0</v>
      </c>
      <c r="L594" s="3" t="n">
        <v>20.2</v>
      </c>
      <c r="M594" s="3" t="s">
        <v>127</v>
      </c>
      <c r="N594" s="3" t="n">
        <v>108</v>
      </c>
      <c r="O594" s="3" t="n">
        <v>39.802</v>
      </c>
      <c r="P594" s="3" t="n">
        <v>141.464</v>
      </c>
      <c r="Q594" s="3" t="s">
        <v>1585</v>
      </c>
      <c r="R594" s="3" t="s">
        <v>80</v>
      </c>
      <c r="S594" s="3" t="s">
        <v>322</v>
      </c>
      <c r="T594" s="5" t="n">
        <f aca="false">IF(C594="","",DATE(VALUE(MID(C594,7,4)),VALUE(MID(C594,4,2)),VALUE(MID(C594,1,2)))+TIME(VALUE(MID(C594,12,2)),VALUE(MID(C594,15,2)),0))</f>
        <v>39652.6430555556</v>
      </c>
      <c r="U594" s="3" t="str">
        <f aca="false">IFERROR(IF(ISNUMBER(VALUE(TRIM(MID(A594,FIND("-",A594)+1,FIND("km",A594)-FIND("-",A594)-1)))),"Distance + direction + city","Named-region"),"Named-region")</f>
        <v>Distance + direction + city</v>
      </c>
      <c r="V594" s="3" t="str">
        <f aca="false">LOWER(M594)</f>
        <v>mwc</v>
      </c>
      <c r="W594" s="3" t="n">
        <f aca="false">COUNTIFS($A$2:$A$1001,A594,$C$2:$C$1001,C594)</f>
        <v>1</v>
      </c>
      <c r="X594" s="3" t="str">
        <f aca="false">IF(W594&gt;1,"Duplicate","Unique")</f>
        <v>Unique</v>
      </c>
      <c r="Y594" s="3" t="str">
        <f aca="false">IF(B594&lt;6.5,"&lt;6.5",IF(B594&lt;7,"6.5–6.9",IF(B594&lt;7.5,"7.0–7.4",IF(B594&lt;8,"7.5–7.9","8.0+"))))</f>
        <v>6.5–6.9</v>
      </c>
      <c r="Z594" s="3" t="n">
        <f aca="false">IF(T594="","",YEAR(T594))</f>
        <v>2008</v>
      </c>
    </row>
    <row r="595" customFormat="false" ht="13.8" hidden="false" customHeight="false" outlineLevel="0" collapsed="false">
      <c r="A595" s="3" t="s">
        <v>1586</v>
      </c>
      <c r="B595" s="3" t="n">
        <v>7</v>
      </c>
      <c r="C595" s="3" t="s">
        <v>1587</v>
      </c>
      <c r="D595" s="3" t="n">
        <v>5</v>
      </c>
      <c r="E595" s="3" t="n">
        <v>5</v>
      </c>
      <c r="F595" s="3"/>
      <c r="G595" s="3" t="n">
        <v>0</v>
      </c>
      <c r="H595" s="3" t="n">
        <v>840</v>
      </c>
      <c r="I595" s="3" t="s">
        <v>22</v>
      </c>
      <c r="J595" s="3" t="n">
        <v>577</v>
      </c>
      <c r="K595" s="3" t="n">
        <v>0</v>
      </c>
      <c r="L595" s="3" t="n">
        <v>18.2</v>
      </c>
      <c r="M595" s="3" t="s">
        <v>127</v>
      </c>
      <c r="N595" s="3" t="n">
        <v>22</v>
      </c>
      <c r="O595" s="3" t="n">
        <v>37.552</v>
      </c>
      <c r="P595" s="3" t="n">
        <v>142.214</v>
      </c>
      <c r="Q595" s="3" t="s">
        <v>217</v>
      </c>
      <c r="R595" s="3"/>
      <c r="S595" s="3"/>
      <c r="T595" s="5" t="n">
        <f aca="false">IF(C595="","",DATE(VALUE(MID(C595,7,4)),VALUE(MID(C595,4,2)),VALUE(MID(C595,1,2)))+TIME(VALUE(MID(C595,12,2)),VALUE(MID(C595,15,2)),0))</f>
        <v>39648.1104166667</v>
      </c>
      <c r="U595" s="3" t="str">
        <f aca="false">IFERROR(IF(ISNUMBER(VALUE(TRIM(MID(A595,FIND("-",A595)+1,FIND("km",A595)-FIND("-",A595)-1)))),"Distance + direction + city","Named-region"),"Named-region")</f>
        <v>Distance + direction + city</v>
      </c>
      <c r="V595" s="3" t="str">
        <f aca="false">LOWER(M595)</f>
        <v>mwc</v>
      </c>
      <c r="W595" s="3" t="n">
        <f aca="false">COUNTIFS($A$2:$A$1001,A595,$C$2:$C$1001,C595)</f>
        <v>1</v>
      </c>
      <c r="X595" s="3" t="str">
        <f aca="false">IF(W595&gt;1,"Duplicate","Unique")</f>
        <v>Unique</v>
      </c>
      <c r="Y595" s="3" t="str">
        <f aca="false">IF(B595&lt;6.5,"&lt;6.5",IF(B595&lt;7,"6.5–6.9",IF(B595&lt;7.5,"7.0–7.4",IF(B595&lt;8,"7.5–7.9","8.0+"))))</f>
        <v>7.0–7.4</v>
      </c>
      <c r="Z595" s="3" t="n">
        <f aca="false">IF(T595="","",YEAR(T595))</f>
        <v>2008</v>
      </c>
    </row>
    <row r="596" customFormat="false" ht="13.8" hidden="false" customHeight="false" outlineLevel="0" collapsed="false">
      <c r="A596" s="3" t="s">
        <v>1588</v>
      </c>
      <c r="B596" s="3" t="n">
        <v>6.9</v>
      </c>
      <c r="C596" s="3" t="s">
        <v>1587</v>
      </c>
      <c r="D596" s="3" t="n">
        <v>5</v>
      </c>
      <c r="E596" s="3" t="n">
        <v>5</v>
      </c>
      <c r="F596" s="3"/>
      <c r="G596" s="3" t="n">
        <v>0</v>
      </c>
      <c r="H596" s="3" t="n">
        <v>825</v>
      </c>
      <c r="I596" s="3" t="s">
        <v>1589</v>
      </c>
      <c r="J596" s="3" t="n">
        <v>0</v>
      </c>
      <c r="K596" s="3" t="n">
        <v>0</v>
      </c>
      <c r="L596" s="3" t="n">
        <v>0</v>
      </c>
      <c r="M596" s="3" t="s">
        <v>23</v>
      </c>
      <c r="N596" s="3" t="n">
        <v>25.5</v>
      </c>
      <c r="O596" s="3" t="n">
        <v>37.55</v>
      </c>
      <c r="P596" s="3" t="n">
        <v>142.714</v>
      </c>
      <c r="Q596" s="3" t="s">
        <v>217</v>
      </c>
      <c r="R596" s="3"/>
      <c r="S596" s="3"/>
      <c r="T596" s="5" t="n">
        <f aca="false">IF(C596="","",DATE(VALUE(MID(C596,7,4)),VALUE(MID(C596,4,2)),VALUE(MID(C596,1,2)))+TIME(VALUE(MID(C596,12,2)),VALUE(MID(C596,15,2)),0))</f>
        <v>39648.1104166667</v>
      </c>
      <c r="U596" s="3" t="str">
        <f aca="false">IFERROR(IF(ISNUMBER(VALUE(TRIM(MID(A596,FIND("-",A596)+1,FIND("km",A596)-FIND("-",A596)-1)))),"Distance + direction + city","Named-region"),"Named-region")</f>
        <v>Distance + direction + city</v>
      </c>
      <c r="V596" s="3" t="str">
        <f aca="false">LOWER(M596)</f>
        <v>mww</v>
      </c>
      <c r="W596" s="3" t="n">
        <f aca="false">COUNTIFS($A$2:$A$1001,A596,$C$2:$C$1001,C596)</f>
        <v>1</v>
      </c>
      <c r="X596" s="3" t="str">
        <f aca="false">IF(W596&gt;1,"Duplicate","Unique")</f>
        <v>Unique</v>
      </c>
      <c r="Y596" s="3" t="str">
        <f aca="false">IF(B596&lt;6.5,"&lt;6.5",IF(B596&lt;7,"6.5–6.9",IF(B596&lt;7.5,"7.0–7.4",IF(B596&lt;8,"7.5–7.9","8.0+"))))</f>
        <v>6.5–6.9</v>
      </c>
      <c r="Z596" s="3" t="n">
        <f aca="false">IF(T596="","",YEAR(T596))</f>
        <v>2008</v>
      </c>
    </row>
    <row r="597" customFormat="false" ht="13.8" hidden="false" customHeight="false" outlineLevel="0" collapsed="false">
      <c r="A597" s="3" t="s">
        <v>1590</v>
      </c>
      <c r="B597" s="3" t="n">
        <v>6.6</v>
      </c>
      <c r="C597" s="3" t="s">
        <v>1591</v>
      </c>
      <c r="D597" s="3" t="n">
        <v>4</v>
      </c>
      <c r="E597" s="3" t="n">
        <v>5</v>
      </c>
      <c r="F597" s="3"/>
      <c r="G597" s="3" t="n">
        <v>0</v>
      </c>
      <c r="H597" s="3" t="n">
        <v>680</v>
      </c>
      <c r="I597" s="3" t="s">
        <v>22</v>
      </c>
      <c r="J597" s="3" t="n">
        <v>630</v>
      </c>
      <c r="K597" s="3" t="n">
        <v>0</v>
      </c>
      <c r="L597" s="3" t="n">
        <v>18.4</v>
      </c>
      <c r="M597" s="3" t="s">
        <v>127</v>
      </c>
      <c r="N597" s="3" t="n">
        <v>17</v>
      </c>
      <c r="O597" s="3" t="n">
        <v>11.005</v>
      </c>
      <c r="P597" s="3" t="n">
        <v>91.824</v>
      </c>
      <c r="Q597" s="3" t="s">
        <v>1464</v>
      </c>
      <c r="R597" s="3"/>
      <c r="S597" s="3"/>
      <c r="T597" s="5" t="n">
        <f aca="false">IF(C597="","",DATE(VALUE(MID(C597,7,4)),VALUE(MID(C597,4,2)),VALUE(MID(C597,1,2)))+TIME(VALUE(MID(C597,12,2)),VALUE(MID(C597,15,2)),0))</f>
        <v>39626.4861111111</v>
      </c>
      <c r="U597" s="3" t="str">
        <f aca="false">IFERROR(IF(ISNUMBER(VALUE(TRIM(MID(A597,FIND("-",A597)+1,FIND("km",A597)-FIND("-",A597)-1)))),"Distance + direction + city","Named-region"),"Named-region")</f>
        <v>Distance + direction + city</v>
      </c>
      <c r="V597" s="3" t="str">
        <f aca="false">LOWER(M597)</f>
        <v>mwc</v>
      </c>
      <c r="W597" s="3" t="n">
        <f aca="false">COUNTIFS($A$2:$A$1001,A597,$C$2:$C$1001,C597)</f>
        <v>1</v>
      </c>
      <c r="X597" s="3" t="str">
        <f aca="false">IF(W597&gt;1,"Duplicate","Unique")</f>
        <v>Unique</v>
      </c>
      <c r="Y597" s="3" t="str">
        <f aca="false">IF(B597&lt;6.5,"&lt;6.5",IF(B597&lt;7,"6.5–6.9",IF(B597&lt;7.5,"7.0–7.4",IF(B597&lt;8,"7.5–7.9","8.0+"))))</f>
        <v>6.5–6.9</v>
      </c>
      <c r="Z597" s="3" t="n">
        <f aca="false">IF(T597="","",YEAR(T597))</f>
        <v>2008</v>
      </c>
    </row>
    <row r="598" customFormat="false" ht="13.8" hidden="false" customHeight="false" outlineLevel="0" collapsed="false">
      <c r="A598" s="3" t="s">
        <v>1592</v>
      </c>
      <c r="B598" s="3" t="n">
        <v>6.9</v>
      </c>
      <c r="C598" s="3" t="s">
        <v>1593</v>
      </c>
      <c r="D598" s="3" t="n">
        <v>7</v>
      </c>
      <c r="E598" s="3" t="n">
        <v>8</v>
      </c>
      <c r="F598" s="3"/>
      <c r="G598" s="3" t="n">
        <v>0</v>
      </c>
      <c r="H598" s="3" t="n">
        <v>888</v>
      </c>
      <c r="I598" s="3" t="s">
        <v>22</v>
      </c>
      <c r="J598" s="3" t="n">
        <v>654</v>
      </c>
      <c r="K598" s="3" t="n">
        <v>0</v>
      </c>
      <c r="L598" s="3" t="n">
        <v>17.1</v>
      </c>
      <c r="M598" s="3" t="s">
        <v>127</v>
      </c>
      <c r="N598" s="3" t="n">
        <v>7.8</v>
      </c>
      <c r="O598" s="3" t="n">
        <v>39.03</v>
      </c>
      <c r="P598" s="3" t="n">
        <v>140.881</v>
      </c>
      <c r="Q598" s="3" t="s">
        <v>1594</v>
      </c>
      <c r="R598" s="3" t="s">
        <v>80</v>
      </c>
      <c r="S598" s="3" t="s">
        <v>322</v>
      </c>
      <c r="T598" s="5" t="n">
        <f aca="false">IF(C598="","",DATE(VALUE(MID(C598,7,4)),VALUE(MID(C598,4,2)),VALUE(MID(C598,1,2)))+TIME(VALUE(MID(C598,12,2)),VALUE(MID(C598,15,2)),0))</f>
        <v>39612.9881944444</v>
      </c>
      <c r="U598" s="3" t="str">
        <f aca="false">IFERROR(IF(ISNUMBER(VALUE(TRIM(MID(A598,FIND("-",A598)+1,FIND("km",A598)-FIND("-",A598)-1)))),"Distance + direction + city","Named-region"),"Named-region")</f>
        <v>Distance + direction + city</v>
      </c>
      <c r="V598" s="3" t="str">
        <f aca="false">LOWER(M598)</f>
        <v>mwc</v>
      </c>
      <c r="W598" s="3" t="n">
        <f aca="false">COUNTIFS($A$2:$A$1001,A598,$C$2:$C$1001,C598)</f>
        <v>1</v>
      </c>
      <c r="X598" s="3" t="str">
        <f aca="false">IF(W598&gt;1,"Duplicate","Unique")</f>
        <v>Unique</v>
      </c>
      <c r="Y598" s="3" t="str">
        <f aca="false">IF(B598&lt;6.5,"&lt;6.5",IF(B598&lt;7,"6.5–6.9",IF(B598&lt;7.5,"7.0–7.4",IF(B598&lt;8,"7.5–7.9","8.0+"))))</f>
        <v>6.5–6.9</v>
      </c>
      <c r="Z598" s="3" t="n">
        <f aca="false">IF(T598="","",YEAR(T598))</f>
        <v>2008</v>
      </c>
    </row>
    <row r="599" customFormat="false" ht="13.8" hidden="false" customHeight="false" outlineLevel="0" collapsed="false">
      <c r="A599" s="3" t="s">
        <v>1595</v>
      </c>
      <c r="B599" s="3" t="n">
        <v>7.9</v>
      </c>
      <c r="C599" s="6" t="s">
        <v>1596</v>
      </c>
      <c r="D599" s="3" t="n">
        <v>9</v>
      </c>
      <c r="E599" s="3" t="n">
        <v>9</v>
      </c>
      <c r="F599" s="3"/>
      <c r="G599" s="3" t="n">
        <v>0</v>
      </c>
      <c r="H599" s="3" t="n">
        <v>1870</v>
      </c>
      <c r="I599" s="3" t="s">
        <v>22</v>
      </c>
      <c r="J599" s="3" t="n">
        <v>774</v>
      </c>
      <c r="K599" s="3" t="n">
        <v>0</v>
      </c>
      <c r="L599" s="3" t="n">
        <v>11.3</v>
      </c>
      <c r="M599" s="3" t="s">
        <v>127</v>
      </c>
      <c r="N599" s="3" t="n">
        <v>19</v>
      </c>
      <c r="O599" s="3" t="n">
        <v>31.002</v>
      </c>
      <c r="P599" s="3" t="n">
        <v>103.322</v>
      </c>
      <c r="Q599" s="3" t="s">
        <v>1597</v>
      </c>
      <c r="R599" s="3" t="s">
        <v>80</v>
      </c>
      <c r="S599" s="3" t="s">
        <v>184</v>
      </c>
      <c r="T599" s="5" t="n">
        <f aca="false">IF(C599="","",DATE(VALUE(MID(C599,7,4)),VALUE(MID(C599,4,2)),VALUE(MID(C599,1,2)))+TIME(VALUE(MID(C599,12,2)),VALUE(MID(C599,15,2)),0))</f>
        <v>39580.2694444444</v>
      </c>
      <c r="U599" s="3" t="str">
        <f aca="false">IFERROR(IF(ISNUMBER(VALUE(TRIM(MID(A599,FIND("-",A599)+1,FIND("km",A599)-FIND("-",A599)-1)))),"Distance + direction + city","Named-region"),"Named-region")</f>
        <v>Distance + direction + city</v>
      </c>
      <c r="V599" s="3" t="str">
        <f aca="false">LOWER(M599)</f>
        <v>mwc</v>
      </c>
      <c r="W599" s="3" t="n">
        <f aca="false">COUNTIFS($A$2:$A$1001,A599,$C$2:$C$1001,C599)</f>
        <v>1</v>
      </c>
      <c r="X599" s="3" t="str">
        <f aca="false">IF(W599&gt;1,"Duplicate","Unique")</f>
        <v>Unique</v>
      </c>
      <c r="Y599" s="3" t="str">
        <f aca="false">IF(B599&lt;6.5,"&lt;6.5",IF(B599&lt;7,"6.5–6.9",IF(B599&lt;7.5,"7.0–7.4",IF(B599&lt;8,"7.5–7.9","8.0+"))))</f>
        <v>7.5–7.9</v>
      </c>
      <c r="Z599" s="3" t="n">
        <f aca="false">IF(T599="","",YEAR(T599))</f>
        <v>2008</v>
      </c>
    </row>
    <row r="600" customFormat="false" ht="13.8" hidden="false" customHeight="false" outlineLevel="0" collapsed="false">
      <c r="A600" s="3" t="s">
        <v>1598</v>
      </c>
      <c r="B600" s="3" t="n">
        <v>6.9</v>
      </c>
      <c r="C600" s="6" t="s">
        <v>1599</v>
      </c>
      <c r="D600" s="3" t="n">
        <v>5</v>
      </c>
      <c r="E600" s="3" t="n">
        <v>5</v>
      </c>
      <c r="F600" s="3"/>
      <c r="G600" s="3" t="n">
        <v>0</v>
      </c>
      <c r="H600" s="3" t="n">
        <v>910</v>
      </c>
      <c r="I600" s="3" t="s">
        <v>22</v>
      </c>
      <c r="J600" s="3" t="n">
        <v>519</v>
      </c>
      <c r="K600" s="3" t="n">
        <v>0</v>
      </c>
      <c r="L600" s="3" t="n">
        <v>21.1</v>
      </c>
      <c r="M600" s="3" t="s">
        <v>127</v>
      </c>
      <c r="N600" s="3" t="n">
        <v>27</v>
      </c>
      <c r="O600" s="3" t="n">
        <v>36.164</v>
      </c>
      <c r="P600" s="3" t="n">
        <v>141.526</v>
      </c>
      <c r="Q600" s="3" t="s">
        <v>1375</v>
      </c>
      <c r="R600" s="3"/>
      <c r="S600" s="3"/>
      <c r="T600" s="5" t="n">
        <f aca="false">IF(C600="","",DATE(VALUE(MID(C600,7,4)),VALUE(MID(C600,4,2)),VALUE(MID(C600,1,2)))+TIME(VALUE(MID(C600,12,2)),VALUE(MID(C600,15,2)),0))</f>
        <v>39575.6979166667</v>
      </c>
      <c r="U600" s="3" t="str">
        <f aca="false">IFERROR(IF(ISNUMBER(VALUE(TRIM(MID(A600,FIND("-",A600)+1,FIND("km",A600)-FIND("-",A600)-1)))),"Distance + direction + city","Named-region"),"Named-region")</f>
        <v>Distance + direction + city</v>
      </c>
      <c r="V600" s="3" t="str">
        <f aca="false">LOWER(M600)</f>
        <v>mwc</v>
      </c>
      <c r="W600" s="3" t="n">
        <f aca="false">COUNTIFS($A$2:$A$1001,A600,$C$2:$C$1001,C600)</f>
        <v>1</v>
      </c>
      <c r="X600" s="3" t="str">
        <f aca="false">IF(W600&gt;1,"Duplicate","Unique")</f>
        <v>Unique</v>
      </c>
      <c r="Y600" s="3" t="str">
        <f aca="false">IF(B600&lt;6.5,"&lt;6.5",IF(B600&lt;7,"6.5–6.9",IF(B600&lt;7.5,"7.0–7.4",IF(B600&lt;8,"7.5–7.9","8.0+"))))</f>
        <v>6.5–6.9</v>
      </c>
      <c r="Z600" s="3" t="n">
        <f aca="false">IF(T600="","",YEAR(T600))</f>
        <v>2008</v>
      </c>
    </row>
    <row r="601" customFormat="false" ht="13.8" hidden="false" customHeight="false" outlineLevel="0" collapsed="false">
      <c r="A601" s="3" t="s">
        <v>1600</v>
      </c>
      <c r="B601" s="3" t="n">
        <v>7.3</v>
      </c>
      <c r="C601" s="6" t="s">
        <v>1601</v>
      </c>
      <c r="D601" s="3" t="n">
        <v>0</v>
      </c>
      <c r="E601" s="3" t="n">
        <v>6</v>
      </c>
      <c r="F601" s="3"/>
      <c r="G601" s="3" t="n">
        <v>0</v>
      </c>
      <c r="H601" s="3" t="n">
        <v>820</v>
      </c>
      <c r="I601" s="3" t="s">
        <v>22</v>
      </c>
      <c r="J601" s="3" t="n">
        <v>486</v>
      </c>
      <c r="K601" s="3" t="n">
        <v>0</v>
      </c>
      <c r="L601" s="3" t="n">
        <v>13.4</v>
      </c>
      <c r="M601" s="3" t="s">
        <v>127</v>
      </c>
      <c r="N601" s="3" t="n">
        <v>33</v>
      </c>
      <c r="O601" s="3" t="n">
        <v>-20.071</v>
      </c>
      <c r="P601" s="3" t="n">
        <v>168.892</v>
      </c>
      <c r="Q601" s="3" t="s">
        <v>177</v>
      </c>
      <c r="R601" s="3"/>
      <c r="S601" s="3"/>
      <c r="T601" s="5" t="n">
        <f aca="false">IF(C601="","",DATE(VALUE(MID(C601,7,4)),VALUE(MID(C601,4,2)),VALUE(MID(C601,1,2)))+TIME(VALUE(MID(C601,12,2)),VALUE(MID(C601,15,2)),0))</f>
        <v>39547.5319444445</v>
      </c>
      <c r="U601" s="3" t="str">
        <f aca="false">IFERROR(IF(ISNUMBER(VALUE(TRIM(MID(A601,FIND("-",A601)+1,FIND("km",A601)-FIND("-",A601)-1)))),"Distance + direction + city","Named-region"),"Named-region")</f>
        <v>Distance + direction + city</v>
      </c>
      <c r="V601" s="3" t="str">
        <f aca="false">LOWER(M601)</f>
        <v>mwc</v>
      </c>
      <c r="W601" s="3" t="n">
        <f aca="false">COUNTIFS($A$2:$A$1001,A601,$C$2:$C$1001,C601)</f>
        <v>1</v>
      </c>
      <c r="X601" s="3" t="str">
        <f aca="false">IF(W601&gt;1,"Duplicate","Unique")</f>
        <v>Unique</v>
      </c>
      <c r="Y601" s="3" t="str">
        <f aca="false">IF(B601&lt;6.5,"&lt;6.5",IF(B601&lt;7,"6.5–6.9",IF(B601&lt;7.5,"7.0–7.4",IF(B601&lt;8,"7.5–7.9","8.0+"))))</f>
        <v>7.0–7.4</v>
      </c>
      <c r="Z601" s="3" t="n">
        <f aca="false">IF(T601="","",YEAR(T601))</f>
        <v>2008</v>
      </c>
    </row>
    <row r="602" customFormat="false" ht="13.8" hidden="false" customHeight="false" outlineLevel="0" collapsed="false">
      <c r="A602" s="3" t="s">
        <v>1602</v>
      </c>
      <c r="B602" s="3" t="n">
        <v>7.2</v>
      </c>
      <c r="C602" s="3" t="s">
        <v>1603</v>
      </c>
      <c r="D602" s="3" t="n">
        <v>0</v>
      </c>
      <c r="E602" s="3" t="n">
        <v>7</v>
      </c>
      <c r="F602" s="3"/>
      <c r="G602" s="3" t="n">
        <v>0</v>
      </c>
      <c r="H602" s="3" t="n">
        <v>798</v>
      </c>
      <c r="I602" s="3" t="s">
        <v>22</v>
      </c>
      <c r="J602" s="3" t="n">
        <v>532</v>
      </c>
      <c r="K602" s="3" t="n">
        <v>0</v>
      </c>
      <c r="L602" s="3" t="n">
        <v>25.9</v>
      </c>
      <c r="M602" s="3" t="s">
        <v>127</v>
      </c>
      <c r="N602" s="3" t="n">
        <v>10</v>
      </c>
      <c r="O602" s="3" t="n">
        <v>35.49</v>
      </c>
      <c r="P602" s="3" t="n">
        <v>81.467</v>
      </c>
      <c r="Q602" s="3" t="s">
        <v>1097</v>
      </c>
      <c r="R602" s="3" t="s">
        <v>80</v>
      </c>
      <c r="S602" s="3" t="s">
        <v>184</v>
      </c>
      <c r="T602" s="5" t="n">
        <f aca="false">IF(C602="","",DATE(VALUE(MID(C602,7,4)),VALUE(MID(C602,4,2)),VALUE(MID(C602,1,2)))+TIME(VALUE(MID(C602,12,2)),VALUE(MID(C602,15,2)),0))</f>
        <v>39527.9388888889</v>
      </c>
      <c r="U602" s="3" t="str">
        <f aca="false">IFERROR(IF(ISNUMBER(VALUE(TRIM(MID(A602,FIND("-",A602)+1,FIND("km",A602)-FIND("-",A602)-1)))),"Distance + direction + city","Named-region"),"Named-region")</f>
        <v>Distance + direction + city</v>
      </c>
      <c r="V602" s="3" t="str">
        <f aca="false">LOWER(M602)</f>
        <v>mwc</v>
      </c>
      <c r="W602" s="3" t="n">
        <f aca="false">COUNTIFS($A$2:$A$1001,A602,$C$2:$C$1001,C602)</f>
        <v>1</v>
      </c>
      <c r="X602" s="3" t="str">
        <f aca="false">IF(W602&gt;1,"Duplicate","Unique")</f>
        <v>Unique</v>
      </c>
      <c r="Y602" s="3" t="str">
        <f aca="false">IF(B602&lt;6.5,"&lt;6.5",IF(B602&lt;7,"6.5–6.9",IF(B602&lt;7.5,"7.0–7.4",IF(B602&lt;8,"7.5–7.9","8.0+"))))</f>
        <v>7.0–7.4</v>
      </c>
      <c r="Z602" s="3" t="n">
        <f aca="false">IF(T602="","",YEAR(T602))</f>
        <v>2008</v>
      </c>
    </row>
    <row r="603" customFormat="false" ht="13.8" hidden="false" customHeight="false" outlineLevel="0" collapsed="false">
      <c r="A603" s="3" t="s">
        <v>1604</v>
      </c>
      <c r="B603" s="3" t="n">
        <v>6.9</v>
      </c>
      <c r="C603" s="6" t="s">
        <v>1605</v>
      </c>
      <c r="D603" s="3" t="n">
        <v>4</v>
      </c>
      <c r="E603" s="3" t="n">
        <v>5</v>
      </c>
      <c r="F603" s="3"/>
      <c r="G603" s="3" t="n">
        <v>0</v>
      </c>
      <c r="H603" s="3" t="n">
        <v>740</v>
      </c>
      <c r="I603" s="3" t="s">
        <v>22</v>
      </c>
      <c r="J603" s="3" t="n">
        <v>544</v>
      </c>
      <c r="K603" s="3" t="n">
        <v>0</v>
      </c>
      <c r="L603" s="3" t="n">
        <v>25.9</v>
      </c>
      <c r="M603" s="3" t="s">
        <v>127</v>
      </c>
      <c r="N603" s="3" t="n">
        <v>24</v>
      </c>
      <c r="O603" s="3" t="n">
        <v>13.351</v>
      </c>
      <c r="P603" s="3" t="n">
        <v>125.63</v>
      </c>
      <c r="Q603" s="3" t="s">
        <v>1606</v>
      </c>
      <c r="R603" s="3"/>
      <c r="S603" s="3"/>
      <c r="T603" s="5" t="n">
        <f aca="false">IF(C603="","",DATE(VALUE(MID(C603,7,4)),VALUE(MID(C603,4,2)),VALUE(MID(C603,1,2)))+TIME(VALUE(MID(C603,12,2)),VALUE(MID(C603,15,2)),0))</f>
        <v>39510.5909722222</v>
      </c>
      <c r="U603" s="3" t="str">
        <f aca="false">IFERROR(IF(ISNUMBER(VALUE(TRIM(MID(A603,FIND("-",A603)+1,FIND("km",A603)-FIND("-",A603)-1)))),"Distance + direction + city","Named-region"),"Named-region")</f>
        <v>Named-region</v>
      </c>
      <c r="V603" s="3" t="str">
        <f aca="false">LOWER(M603)</f>
        <v>mwc</v>
      </c>
      <c r="W603" s="3" t="n">
        <f aca="false">COUNTIFS($A$2:$A$1001,A603,$C$2:$C$1001,C603)</f>
        <v>1</v>
      </c>
      <c r="X603" s="3" t="str">
        <f aca="false">IF(W603&gt;1,"Duplicate","Unique")</f>
        <v>Unique</v>
      </c>
      <c r="Y603" s="3" t="str">
        <f aca="false">IF(B603&lt;6.5,"&lt;6.5",IF(B603&lt;7,"6.5–6.9",IF(B603&lt;7.5,"7.0–7.4",IF(B603&lt;8,"7.5–7.9","8.0+"))))</f>
        <v>6.5–6.9</v>
      </c>
      <c r="Z603" s="3" t="n">
        <f aca="false">IF(T603="","",YEAR(T603))</f>
        <v>2008</v>
      </c>
    </row>
    <row r="604" customFormat="false" ht="13.8" hidden="false" customHeight="false" outlineLevel="0" collapsed="false">
      <c r="A604" s="3" t="s">
        <v>1607</v>
      </c>
      <c r="B604" s="3" t="n">
        <v>6.7</v>
      </c>
      <c r="C604" s="3" t="s">
        <v>1608</v>
      </c>
      <c r="D604" s="3" t="n">
        <v>5</v>
      </c>
      <c r="E604" s="3" t="n">
        <v>6</v>
      </c>
      <c r="F604" s="3"/>
      <c r="G604" s="3" t="n">
        <v>0</v>
      </c>
      <c r="H604" s="3" t="n">
        <v>696</v>
      </c>
      <c r="I604" s="3" t="s">
        <v>22</v>
      </c>
      <c r="J604" s="3" t="n">
        <v>543</v>
      </c>
      <c r="K604" s="3" t="n">
        <v>0</v>
      </c>
      <c r="L604" s="3" t="n">
        <v>15.1</v>
      </c>
      <c r="M604" s="3" t="s">
        <v>127</v>
      </c>
      <c r="N604" s="3" t="n">
        <v>25</v>
      </c>
      <c r="O604" s="3" t="n">
        <v>-2.245</v>
      </c>
      <c r="P604" s="3" t="n">
        <v>99.808</v>
      </c>
      <c r="Q604" s="3" t="s">
        <v>1533</v>
      </c>
      <c r="R604" s="3"/>
      <c r="S604" s="3" t="s">
        <v>68</v>
      </c>
      <c r="T604" s="5" t="n">
        <f aca="false">IF(C604="","",DATE(VALUE(MID(C604,7,4)),VALUE(MID(C604,4,2)),VALUE(MID(C604,1,2)))+TIME(VALUE(MID(C604,12,2)),VALUE(MID(C604,15,2)),0))</f>
        <v>39503.8763888889</v>
      </c>
      <c r="U604" s="3" t="str">
        <f aca="false">IFERROR(IF(ISNUMBER(VALUE(TRIM(MID(A604,FIND("-",A604)+1,FIND("km",A604)-FIND("-",A604)-1)))),"Distance + direction + city","Named-region"),"Named-region")</f>
        <v>Distance + direction + city</v>
      </c>
      <c r="V604" s="3" t="str">
        <f aca="false">LOWER(M604)</f>
        <v>mwc</v>
      </c>
      <c r="W604" s="3" t="n">
        <f aca="false">COUNTIFS($A$2:$A$1001,A604,$C$2:$C$1001,C604)</f>
        <v>1</v>
      </c>
      <c r="X604" s="3" t="str">
        <f aca="false">IF(W604&gt;1,"Duplicate","Unique")</f>
        <v>Unique</v>
      </c>
      <c r="Y604" s="3" t="str">
        <f aca="false">IF(B604&lt;6.5,"&lt;6.5",IF(B604&lt;7,"6.5–6.9",IF(B604&lt;7.5,"7.0–7.4",IF(B604&lt;8,"7.5–7.9","8.0+"))))</f>
        <v>6.5–6.9</v>
      </c>
      <c r="Z604" s="3" t="n">
        <f aca="false">IF(T604="","",YEAR(T604))</f>
        <v>2008</v>
      </c>
    </row>
    <row r="605" customFormat="false" ht="13.8" hidden="false" customHeight="false" outlineLevel="0" collapsed="false">
      <c r="A605" s="3" t="s">
        <v>1609</v>
      </c>
      <c r="B605" s="3" t="n">
        <v>6.6</v>
      </c>
      <c r="C605" s="3" t="s">
        <v>1610</v>
      </c>
      <c r="D605" s="3" t="n">
        <v>4</v>
      </c>
      <c r="E605" s="3" t="n">
        <v>6</v>
      </c>
      <c r="F605" s="3"/>
      <c r="G605" s="3" t="n">
        <v>0</v>
      </c>
      <c r="H605" s="3" t="n">
        <v>674</v>
      </c>
      <c r="I605" s="3" t="s">
        <v>22</v>
      </c>
      <c r="J605" s="3" t="n">
        <v>421</v>
      </c>
      <c r="K605" s="3" t="n">
        <v>0</v>
      </c>
      <c r="L605" s="3" t="n">
        <v>17.7</v>
      </c>
      <c r="M605" s="3" t="s">
        <v>127</v>
      </c>
      <c r="N605" s="3" t="n">
        <v>25</v>
      </c>
      <c r="O605" s="3" t="n">
        <v>-2.332</v>
      </c>
      <c r="P605" s="3" t="n">
        <v>99.891</v>
      </c>
      <c r="Q605" s="3" t="s">
        <v>1533</v>
      </c>
      <c r="R605" s="3"/>
      <c r="S605" s="3" t="s">
        <v>68</v>
      </c>
      <c r="T605" s="5" t="n">
        <f aca="false">IF(C605="","",DATE(VALUE(MID(C605,7,4)),VALUE(MID(C605,4,2)),VALUE(MID(C605,1,2)))+TIME(VALUE(MID(C605,12,2)),VALUE(MID(C605,15,2)),0))</f>
        <v>39503.7541666667</v>
      </c>
      <c r="U605" s="3" t="str">
        <f aca="false">IFERROR(IF(ISNUMBER(VALUE(TRIM(MID(A605,FIND("-",A605)+1,FIND("km",A605)-FIND("-",A605)-1)))),"Distance + direction + city","Named-region"),"Named-region")</f>
        <v>Distance + direction + city</v>
      </c>
      <c r="V605" s="3" t="str">
        <f aca="false">LOWER(M605)</f>
        <v>mwc</v>
      </c>
      <c r="W605" s="3" t="n">
        <f aca="false">COUNTIFS($A$2:$A$1001,A605,$C$2:$C$1001,C605)</f>
        <v>1</v>
      </c>
      <c r="X605" s="3" t="str">
        <f aca="false">IF(W605&gt;1,"Duplicate","Unique")</f>
        <v>Unique</v>
      </c>
      <c r="Y605" s="3" t="str">
        <f aca="false">IF(B605&lt;6.5,"&lt;6.5",IF(B605&lt;7,"6.5–6.9",IF(B605&lt;7.5,"7.0–7.4",IF(B605&lt;8,"7.5–7.9","8.0+"))))</f>
        <v>6.5–6.9</v>
      </c>
      <c r="Z605" s="3" t="n">
        <f aca="false">IF(T605="","",YEAR(T605))</f>
        <v>2008</v>
      </c>
    </row>
    <row r="606" customFormat="false" ht="13.8" hidden="false" customHeight="false" outlineLevel="0" collapsed="false">
      <c r="A606" s="3" t="s">
        <v>1611</v>
      </c>
      <c r="B606" s="3" t="n">
        <v>7.2</v>
      </c>
      <c r="C606" s="3" t="s">
        <v>1612</v>
      </c>
      <c r="D606" s="3" t="n">
        <v>4</v>
      </c>
      <c r="E606" s="3" t="n">
        <v>7</v>
      </c>
      <c r="F606" s="3"/>
      <c r="G606" s="3" t="n">
        <v>0</v>
      </c>
      <c r="H606" s="3" t="n">
        <v>832</v>
      </c>
      <c r="I606" s="3" t="s">
        <v>22</v>
      </c>
      <c r="J606" s="3" t="n">
        <v>505</v>
      </c>
      <c r="K606" s="3" t="n">
        <v>0</v>
      </c>
      <c r="L606" s="3" t="n">
        <v>18.4</v>
      </c>
      <c r="M606" s="3" t="s">
        <v>127</v>
      </c>
      <c r="N606" s="3" t="n">
        <v>25</v>
      </c>
      <c r="O606" s="3" t="n">
        <v>-2.486</v>
      </c>
      <c r="P606" s="3" t="n">
        <v>99.972</v>
      </c>
      <c r="Q606" s="3" t="s">
        <v>809</v>
      </c>
      <c r="R606" s="3"/>
      <c r="S606" s="3" t="s">
        <v>68</v>
      </c>
      <c r="T606" s="5" t="n">
        <f aca="false">IF(C606="","",DATE(VALUE(MID(C606,7,4)),VALUE(MID(C606,4,2)),VALUE(MID(C606,1,2)))+TIME(VALUE(MID(C606,12,2)),VALUE(MID(C606,15,2)),0))</f>
        <v>39503.3583333333</v>
      </c>
      <c r="U606" s="3" t="str">
        <f aca="false">IFERROR(IF(ISNUMBER(VALUE(TRIM(MID(A606,FIND("-",A606)+1,FIND("km",A606)-FIND("-",A606)-1)))),"Distance + direction + city","Named-region"),"Named-region")</f>
        <v>Distance + direction + city</v>
      </c>
      <c r="V606" s="3" t="str">
        <f aca="false">LOWER(M606)</f>
        <v>mwc</v>
      </c>
      <c r="W606" s="3" t="n">
        <f aca="false">COUNTIFS($A$2:$A$1001,A606,$C$2:$C$1001,C606)</f>
        <v>1</v>
      </c>
      <c r="X606" s="3" t="str">
        <f aca="false">IF(W606&gt;1,"Duplicate","Unique")</f>
        <v>Unique</v>
      </c>
      <c r="Y606" s="3" t="str">
        <f aca="false">IF(B606&lt;6.5,"&lt;6.5",IF(B606&lt;7,"6.5–6.9",IF(B606&lt;7.5,"7.0–7.4",IF(B606&lt;8,"7.5–7.9","8.0+"))))</f>
        <v>7.0–7.4</v>
      </c>
      <c r="Z606" s="3" t="n">
        <f aca="false">IF(T606="","",YEAR(T606))</f>
        <v>2008</v>
      </c>
    </row>
    <row r="607" customFormat="false" ht="13.8" hidden="false" customHeight="false" outlineLevel="0" collapsed="false">
      <c r="A607" s="3" t="s">
        <v>1613</v>
      </c>
      <c r="B607" s="3" t="n">
        <v>6.5</v>
      </c>
      <c r="C607" s="3" t="s">
        <v>1614</v>
      </c>
      <c r="D607" s="3" t="n">
        <v>4</v>
      </c>
      <c r="E607" s="3" t="n">
        <v>6</v>
      </c>
      <c r="F607" s="3"/>
      <c r="G607" s="3" t="n">
        <v>0</v>
      </c>
      <c r="H607" s="3" t="n">
        <v>654</v>
      </c>
      <c r="I607" s="3" t="s">
        <v>22</v>
      </c>
      <c r="J607" s="3" t="n">
        <v>429</v>
      </c>
      <c r="K607" s="3" t="n">
        <v>0</v>
      </c>
      <c r="L607" s="3" t="n">
        <v>28.3</v>
      </c>
      <c r="M607" s="3" t="s">
        <v>127</v>
      </c>
      <c r="N607" s="3" t="n">
        <v>22</v>
      </c>
      <c r="O607" s="3" t="n">
        <v>-2.405</v>
      </c>
      <c r="P607" s="3" t="n">
        <v>99.931</v>
      </c>
      <c r="Q607" s="3" t="s">
        <v>809</v>
      </c>
      <c r="R607" s="3"/>
      <c r="S607" s="3" t="s">
        <v>68</v>
      </c>
      <c r="T607" s="5" t="n">
        <f aca="false">IF(C607="","",DATE(VALUE(MID(C607,7,4)),VALUE(MID(C607,4,2)),VALUE(MID(C607,1,2)))+TIME(VALUE(MID(C607,12,2)),VALUE(MID(C607,15,2)),0))</f>
        <v>39502.6152777778</v>
      </c>
      <c r="U607" s="3" t="str">
        <f aca="false">IFERROR(IF(ISNUMBER(VALUE(TRIM(MID(A607,FIND("-",A607)+1,FIND("km",A607)-FIND("-",A607)-1)))),"Distance + direction + city","Named-region"),"Named-region")</f>
        <v>Distance + direction + city</v>
      </c>
      <c r="V607" s="3" t="str">
        <f aca="false">LOWER(M607)</f>
        <v>mwc</v>
      </c>
      <c r="W607" s="3" t="n">
        <f aca="false">COUNTIFS($A$2:$A$1001,A607,$C$2:$C$1001,C607)</f>
        <v>1</v>
      </c>
      <c r="X607" s="3" t="str">
        <f aca="false">IF(W607&gt;1,"Duplicate","Unique")</f>
        <v>Unique</v>
      </c>
      <c r="Y607" s="3" t="str">
        <f aca="false">IF(B607&lt;6.5,"&lt;6.5",IF(B607&lt;7,"6.5–6.9",IF(B607&lt;7.5,"7.0–7.4",IF(B607&lt;8,"7.5–7.9","8.0+"))))</f>
        <v>6.5–6.9</v>
      </c>
      <c r="Z607" s="3" t="n">
        <f aca="false">IF(T607="","",YEAR(T607))</f>
        <v>2008</v>
      </c>
    </row>
    <row r="608" customFormat="false" ht="13.8" hidden="false" customHeight="false" outlineLevel="0" collapsed="false">
      <c r="A608" s="3" t="s">
        <v>1615</v>
      </c>
      <c r="B608" s="3" t="n">
        <v>7.4</v>
      </c>
      <c r="C608" s="3" t="s">
        <v>1616</v>
      </c>
      <c r="D608" s="3" t="n">
        <v>5</v>
      </c>
      <c r="E608" s="3" t="n">
        <v>7</v>
      </c>
      <c r="F608" s="3"/>
      <c r="G608" s="3" t="n">
        <v>0</v>
      </c>
      <c r="H608" s="3" t="n">
        <v>914</v>
      </c>
      <c r="I608" s="3" t="s">
        <v>22</v>
      </c>
      <c r="J608" s="3" t="n">
        <v>607</v>
      </c>
      <c r="K608" s="3" t="n">
        <v>0</v>
      </c>
      <c r="L608" s="3" t="n">
        <v>16.4</v>
      </c>
      <c r="M608" s="3" t="s">
        <v>127</v>
      </c>
      <c r="N608" s="3" t="n">
        <v>26</v>
      </c>
      <c r="O608" s="3" t="n">
        <v>2.768</v>
      </c>
      <c r="P608" s="3" t="n">
        <v>95.964</v>
      </c>
      <c r="Q608" s="3" t="s">
        <v>317</v>
      </c>
      <c r="R608" s="3"/>
      <c r="S608" s="3" t="s">
        <v>68</v>
      </c>
      <c r="T608" s="5" t="n">
        <f aca="false">IF(C608="","",DATE(VALUE(MID(C608,7,4)),VALUE(MID(C608,4,2)),VALUE(MID(C608,1,2)))+TIME(VALUE(MID(C608,12,2)),VALUE(MID(C608,15,2)),0))</f>
        <v>39498.3388888889</v>
      </c>
      <c r="U608" s="3" t="str">
        <f aca="false">IFERROR(IF(ISNUMBER(VALUE(TRIM(MID(A608,FIND("-",A608)+1,FIND("km",A608)-FIND("-",A608)-1)))),"Distance + direction + city","Named-region"),"Named-region")</f>
        <v>Distance + direction + city</v>
      </c>
      <c r="V608" s="3" t="str">
        <f aca="false">LOWER(M608)</f>
        <v>mwc</v>
      </c>
      <c r="W608" s="3" t="n">
        <f aca="false">COUNTIFS($A$2:$A$1001,A608,$C$2:$C$1001,C608)</f>
        <v>1</v>
      </c>
      <c r="X608" s="3" t="str">
        <f aca="false">IF(W608&gt;1,"Duplicate","Unique")</f>
        <v>Unique</v>
      </c>
      <c r="Y608" s="3" t="str">
        <f aca="false">IF(B608&lt;6.5,"&lt;6.5",IF(B608&lt;7,"6.5–6.9",IF(B608&lt;7.5,"7.0–7.4",IF(B608&lt;8,"7.5–7.9","8.0+"))))</f>
        <v>7.0–7.4</v>
      </c>
      <c r="Z608" s="3" t="n">
        <f aca="false">IF(T608="","",YEAR(T608))</f>
        <v>2008</v>
      </c>
    </row>
    <row r="609" customFormat="false" ht="13.8" hidden="false" customHeight="false" outlineLevel="0" collapsed="false">
      <c r="A609" s="3" t="s">
        <v>1617</v>
      </c>
      <c r="B609" s="3" t="n">
        <v>6.5</v>
      </c>
      <c r="C609" s="3" t="s">
        <v>1618</v>
      </c>
      <c r="D609" s="3" t="n">
        <v>8</v>
      </c>
      <c r="E609" s="3" t="n">
        <v>5</v>
      </c>
      <c r="F609" s="3"/>
      <c r="G609" s="3" t="n">
        <v>0</v>
      </c>
      <c r="H609" s="3" t="n">
        <v>692</v>
      </c>
      <c r="I609" s="3" t="s">
        <v>22</v>
      </c>
      <c r="J609" s="3" t="n">
        <v>650</v>
      </c>
      <c r="K609" s="3" t="n">
        <v>0</v>
      </c>
      <c r="L609" s="3" t="n">
        <v>30.7</v>
      </c>
      <c r="M609" s="3" t="s">
        <v>127</v>
      </c>
      <c r="N609" s="3" t="n">
        <v>28</v>
      </c>
      <c r="O609" s="3" t="n">
        <v>36.345</v>
      </c>
      <c r="P609" s="3" t="n">
        <v>21.863</v>
      </c>
      <c r="Q609" s="3" t="s">
        <v>1619</v>
      </c>
      <c r="R609" s="3" t="s">
        <v>361</v>
      </c>
      <c r="S609" s="3"/>
      <c r="T609" s="5" t="n">
        <f aca="false">IF(C609="","",DATE(VALUE(MID(C609,7,4)),VALUE(MID(C609,4,2)),VALUE(MID(C609,1,2)))+TIME(VALUE(MID(C609,12,2)),VALUE(MID(C609,15,2)),0))</f>
        <v>39492.5055555556</v>
      </c>
      <c r="U609" s="3" t="str">
        <f aca="false">IFERROR(IF(ISNUMBER(VALUE(TRIM(MID(A609,FIND("-",A609)+1,FIND("km",A609)-FIND("-",A609)-1)))),"Distance + direction + city","Named-region"),"Named-region")</f>
        <v>Distance + direction + city</v>
      </c>
      <c r="V609" s="3" t="str">
        <f aca="false">LOWER(M609)</f>
        <v>mwc</v>
      </c>
      <c r="W609" s="3" t="n">
        <f aca="false">COUNTIFS($A$2:$A$1001,A609,$C$2:$C$1001,C609)</f>
        <v>1</v>
      </c>
      <c r="X609" s="3" t="str">
        <f aca="false">IF(W609&gt;1,"Duplicate","Unique")</f>
        <v>Unique</v>
      </c>
      <c r="Y609" s="3" t="str">
        <f aca="false">IF(B609&lt;6.5,"&lt;6.5",IF(B609&lt;7,"6.5–6.9",IF(B609&lt;7.5,"7.0–7.4",IF(B609&lt;8,"7.5–7.9","8.0+"))))</f>
        <v>6.5–6.9</v>
      </c>
      <c r="Z609" s="3" t="n">
        <f aca="false">IF(T609="","",YEAR(T609))</f>
        <v>2008</v>
      </c>
    </row>
    <row r="610" customFormat="false" ht="13.8" hidden="false" customHeight="false" outlineLevel="0" collapsed="false">
      <c r="A610" s="3" t="s">
        <v>1620</v>
      </c>
      <c r="B610" s="3" t="n">
        <v>6.9</v>
      </c>
      <c r="C610" s="3" t="s">
        <v>1621</v>
      </c>
      <c r="D610" s="3" t="n">
        <v>6</v>
      </c>
      <c r="E610" s="3" t="n">
        <v>6</v>
      </c>
      <c r="F610" s="3"/>
      <c r="G610" s="3" t="n">
        <v>0</v>
      </c>
      <c r="H610" s="3" t="n">
        <v>941</v>
      </c>
      <c r="I610" s="3" t="s">
        <v>22</v>
      </c>
      <c r="J610" s="3" t="n">
        <v>645</v>
      </c>
      <c r="K610" s="3" t="n">
        <v>0</v>
      </c>
      <c r="L610" s="3" t="n">
        <v>30.6</v>
      </c>
      <c r="M610" s="3" t="s">
        <v>127</v>
      </c>
      <c r="N610" s="3" t="n">
        <v>29</v>
      </c>
      <c r="O610" s="3" t="n">
        <v>36.501</v>
      </c>
      <c r="P610" s="3" t="n">
        <v>21.67</v>
      </c>
      <c r="Q610" s="3" t="s">
        <v>1622</v>
      </c>
      <c r="R610" s="3" t="s">
        <v>361</v>
      </c>
      <c r="S610" s="3"/>
      <c r="T610" s="5" t="n">
        <f aca="false">IF(C610="","",DATE(VALUE(MID(C610,7,4)),VALUE(MID(C610,4,2)),VALUE(MID(C610,1,2)))+TIME(VALUE(MID(C610,12,2)),VALUE(MID(C610,15,2)),0))</f>
        <v>39492.4229166667</v>
      </c>
      <c r="U610" s="3" t="str">
        <f aca="false">IFERROR(IF(ISNUMBER(VALUE(TRIM(MID(A610,FIND("-",A610)+1,FIND("km",A610)-FIND("-",A610)-1)))),"Distance + direction + city","Named-region"),"Named-region")</f>
        <v>Distance + direction + city</v>
      </c>
      <c r="V610" s="3" t="str">
        <f aca="false">LOWER(M610)</f>
        <v>mwc</v>
      </c>
      <c r="W610" s="3" t="n">
        <f aca="false">COUNTIFS($A$2:$A$1001,A610,$C$2:$C$1001,C610)</f>
        <v>1</v>
      </c>
      <c r="X610" s="3" t="str">
        <f aca="false">IF(W610&gt;1,"Duplicate","Unique")</f>
        <v>Unique</v>
      </c>
      <c r="Y610" s="3" t="str">
        <f aca="false">IF(B610&lt;6.5,"&lt;6.5",IF(B610&lt;7,"6.5–6.9",IF(B610&lt;7.5,"7.0–7.4",IF(B610&lt;8,"7.5–7.9","8.0+"))))</f>
        <v>6.5–6.9</v>
      </c>
      <c r="Z610" s="3" t="n">
        <f aca="false">IF(T610="","",YEAR(T610))</f>
        <v>2008</v>
      </c>
    </row>
    <row r="611" customFormat="false" ht="13.8" hidden="false" customHeight="false" outlineLevel="0" collapsed="false">
      <c r="A611" s="3" t="s">
        <v>1623</v>
      </c>
      <c r="B611" s="3" t="n">
        <v>6.5</v>
      </c>
      <c r="C611" s="6" t="s">
        <v>1624</v>
      </c>
      <c r="D611" s="3" t="n">
        <v>7</v>
      </c>
      <c r="E611" s="3" t="n">
        <v>6</v>
      </c>
      <c r="F611" s="3"/>
      <c r="G611" s="3" t="n">
        <v>0</v>
      </c>
      <c r="H611" s="3" t="n">
        <v>723</v>
      </c>
      <c r="I611" s="3" t="s">
        <v>22</v>
      </c>
      <c r="J611" s="3" t="n">
        <v>521</v>
      </c>
      <c r="K611" s="3" t="n">
        <v>0</v>
      </c>
      <c r="L611" s="3" t="n">
        <v>27.6</v>
      </c>
      <c r="M611" s="3" t="s">
        <v>127</v>
      </c>
      <c r="N611" s="3" t="n">
        <v>83</v>
      </c>
      <c r="O611" s="3" t="n">
        <v>16.357</v>
      </c>
      <c r="P611" s="3" t="n">
        <v>-94.304</v>
      </c>
      <c r="Q611" s="3" t="s">
        <v>1625</v>
      </c>
      <c r="R611" s="3"/>
      <c r="S611" s="3" t="s">
        <v>165</v>
      </c>
      <c r="T611" s="5" t="n">
        <f aca="false">IF(C611="","",DATE(VALUE(MID(C611,7,4)),VALUE(MID(C611,4,2)),VALUE(MID(C611,1,2)))+TIME(VALUE(MID(C611,12,2)),VALUE(MID(C611,15,2)),0))</f>
        <v>39490.5347222222</v>
      </c>
      <c r="U611" s="3" t="str">
        <f aca="false">IFERROR(IF(ISNUMBER(VALUE(TRIM(MID(A611,FIND("-",A611)+1,FIND("km",A611)-FIND("-",A611)-1)))),"Distance + direction + city","Named-region"),"Named-region")</f>
        <v>Distance + direction + city</v>
      </c>
      <c r="V611" s="3" t="str">
        <f aca="false">LOWER(M611)</f>
        <v>mwc</v>
      </c>
      <c r="W611" s="3" t="n">
        <f aca="false">COUNTIFS($A$2:$A$1001,A611,$C$2:$C$1001,C611)</f>
        <v>1</v>
      </c>
      <c r="X611" s="3" t="str">
        <f aca="false">IF(W611&gt;1,"Duplicate","Unique")</f>
        <v>Unique</v>
      </c>
      <c r="Y611" s="3" t="str">
        <f aca="false">IF(B611&lt;6.5,"&lt;6.5",IF(B611&lt;7,"6.5–6.9",IF(B611&lt;7.5,"7.0–7.4",IF(B611&lt;8,"7.5–7.9","8.0+"))))</f>
        <v>6.5–6.9</v>
      </c>
      <c r="Z611" s="3" t="n">
        <f aca="false">IF(T611="","",YEAR(T611))</f>
        <v>2008</v>
      </c>
    </row>
    <row r="612" customFormat="false" ht="13.8" hidden="false" customHeight="false" outlineLevel="0" collapsed="false">
      <c r="A612" s="3" t="s">
        <v>1626</v>
      </c>
      <c r="B612" s="3" t="n">
        <v>6.6</v>
      </c>
      <c r="C612" s="3" t="s">
        <v>1627</v>
      </c>
      <c r="D612" s="3" t="n">
        <v>7</v>
      </c>
      <c r="E612" s="3" t="n">
        <v>6</v>
      </c>
      <c r="F612" s="3"/>
      <c r="G612" s="3" t="n">
        <v>0</v>
      </c>
      <c r="H612" s="3" t="n">
        <v>808</v>
      </c>
      <c r="I612" s="3" t="s">
        <v>22</v>
      </c>
      <c r="J612" s="3" t="n">
        <v>461</v>
      </c>
      <c r="K612" s="3" t="n">
        <v>0</v>
      </c>
      <c r="L612" s="3" t="n">
        <v>18.8</v>
      </c>
      <c r="M612" s="3" t="s">
        <v>127</v>
      </c>
      <c r="N612" s="3" t="n">
        <v>20</v>
      </c>
      <c r="O612" s="3" t="n">
        <v>-39.011</v>
      </c>
      <c r="P612" s="3" t="n">
        <v>178.291</v>
      </c>
      <c r="Q612" s="3" t="s">
        <v>342</v>
      </c>
      <c r="R612" s="3"/>
      <c r="S612" s="3"/>
      <c r="T612" s="5" t="n">
        <f aca="false">IF(C612="","",DATE(VALUE(MID(C612,7,4)),VALUE(MID(C612,4,2)),VALUE(MID(C612,1,2)))+TIME(VALUE(MID(C612,12,2)),VALUE(MID(C612,15,2)),0))</f>
        <v>39436.3298611111</v>
      </c>
      <c r="U612" s="3" t="str">
        <f aca="false">IFERROR(IF(ISNUMBER(VALUE(TRIM(MID(A612,FIND("-",A612)+1,FIND("km",A612)-FIND("-",A612)-1)))),"Distance + direction + city","Named-region"),"Named-region")</f>
        <v>Distance + direction + city</v>
      </c>
      <c r="V612" s="3" t="str">
        <f aca="false">LOWER(M612)</f>
        <v>mwc</v>
      </c>
      <c r="W612" s="3" t="n">
        <f aca="false">COUNTIFS($A$2:$A$1001,A612,$C$2:$C$1001,C612)</f>
        <v>1</v>
      </c>
      <c r="X612" s="3" t="str">
        <f aca="false">IF(W612&gt;1,"Duplicate","Unique")</f>
        <v>Unique</v>
      </c>
      <c r="Y612" s="3" t="str">
        <f aca="false">IF(B612&lt;6.5,"&lt;6.5",IF(B612&lt;7,"6.5–6.9",IF(B612&lt;7.5,"7.0–7.4",IF(B612&lt;8,"7.5–7.9","8.0+"))))</f>
        <v>6.5–6.9</v>
      </c>
      <c r="Z612" s="3" t="n">
        <f aca="false">IF(T612="","",YEAR(T612))</f>
        <v>2007</v>
      </c>
    </row>
    <row r="613" customFormat="false" ht="13.8" hidden="false" customHeight="false" outlineLevel="0" collapsed="false">
      <c r="A613" s="3" t="s">
        <v>1628</v>
      </c>
      <c r="B613" s="3" t="n">
        <v>6.7</v>
      </c>
      <c r="C613" s="3" t="s">
        <v>1629</v>
      </c>
      <c r="D613" s="3" t="n">
        <v>5</v>
      </c>
      <c r="E613" s="3" t="n">
        <v>7</v>
      </c>
      <c r="F613" s="3"/>
      <c r="G613" s="3" t="n">
        <v>0</v>
      </c>
      <c r="H613" s="3" t="n">
        <v>704</v>
      </c>
      <c r="I613" s="3" t="s">
        <v>22</v>
      </c>
      <c r="J613" s="3" t="n">
        <v>481</v>
      </c>
      <c r="K613" s="3" t="n">
        <v>0</v>
      </c>
      <c r="L613" s="3" t="n">
        <v>30.3</v>
      </c>
      <c r="M613" s="3" t="s">
        <v>154</v>
      </c>
      <c r="N613" s="3" t="n">
        <v>45</v>
      </c>
      <c r="O613" s="3" t="n">
        <v>-22.954</v>
      </c>
      <c r="P613" s="3" t="n">
        <v>-70.182</v>
      </c>
      <c r="Q613" s="3" t="s">
        <v>1630</v>
      </c>
      <c r="R613" s="3" t="s">
        <v>33</v>
      </c>
      <c r="S613" s="3" t="s">
        <v>373</v>
      </c>
      <c r="T613" s="5" t="n">
        <f aca="false">IF(C613="","",DATE(VALUE(MID(C613,7,4)),VALUE(MID(C613,4,2)),VALUE(MID(C613,1,2)))+TIME(VALUE(MID(C613,12,2)),VALUE(MID(C613,15,2)),0))</f>
        <v>39432.3395833333</v>
      </c>
      <c r="U613" s="3" t="str">
        <f aca="false">IFERROR(IF(ISNUMBER(VALUE(TRIM(MID(A613,FIND("-",A613)+1,FIND("km",A613)-FIND("-",A613)-1)))),"Distance + direction + city","Named-region"),"Named-region")</f>
        <v>Distance + direction + city</v>
      </c>
      <c r="V613" s="3" t="str">
        <f aca="false">LOWER(M613)</f>
        <v>mwb</v>
      </c>
      <c r="W613" s="3" t="n">
        <f aca="false">COUNTIFS($A$2:$A$1001,A613,$C$2:$C$1001,C613)</f>
        <v>1</v>
      </c>
      <c r="X613" s="3" t="str">
        <f aca="false">IF(W613&gt;1,"Duplicate","Unique")</f>
        <v>Unique</v>
      </c>
      <c r="Y613" s="3" t="str">
        <f aca="false">IF(B613&lt;6.5,"&lt;6.5",IF(B613&lt;7,"6.5–6.9",IF(B613&lt;7.5,"7.0–7.4",IF(B613&lt;8,"7.5–7.9","8.0+"))))</f>
        <v>6.5–6.9</v>
      </c>
      <c r="Z613" s="3" t="n">
        <f aca="false">IF(T613="","",YEAR(T613))</f>
        <v>2007</v>
      </c>
    </row>
    <row r="614" customFormat="false" ht="13.8" hidden="false" customHeight="false" outlineLevel="0" collapsed="false">
      <c r="A614" s="3" t="s">
        <v>1631</v>
      </c>
      <c r="B614" s="3" t="n">
        <v>7.4</v>
      </c>
      <c r="C614" s="3" t="s">
        <v>1632</v>
      </c>
      <c r="D614" s="3" t="n">
        <v>7</v>
      </c>
      <c r="E614" s="3" t="n">
        <v>7</v>
      </c>
      <c r="F614" s="3"/>
      <c r="G614" s="3" t="n">
        <v>0</v>
      </c>
      <c r="H614" s="3" t="n">
        <v>1542</v>
      </c>
      <c r="I614" s="3" t="s">
        <v>22</v>
      </c>
      <c r="J614" s="3" t="n">
        <v>663</v>
      </c>
      <c r="K614" s="3" t="n">
        <v>0</v>
      </c>
      <c r="L614" s="3" t="n">
        <v>13.4</v>
      </c>
      <c r="M614" s="3" t="s">
        <v>154</v>
      </c>
      <c r="N614" s="3" t="n">
        <v>156</v>
      </c>
      <c r="O614" s="3" t="n">
        <v>14.944</v>
      </c>
      <c r="P614" s="3" t="n">
        <v>-61.274</v>
      </c>
      <c r="Q614" s="3" t="s">
        <v>1633</v>
      </c>
      <c r="R614" s="3"/>
      <c r="S614" s="3" t="s">
        <v>1634</v>
      </c>
      <c r="T614" s="5" t="n">
        <f aca="false">IF(C614="","",DATE(VALUE(MID(C614,7,4)),VALUE(MID(C614,4,2)),VALUE(MID(C614,1,2)))+TIME(VALUE(MID(C614,12,2)),VALUE(MID(C614,15,2)),0))</f>
        <v>39415.7916666667</v>
      </c>
      <c r="U614" s="3" t="str">
        <f aca="false">IFERROR(IF(ISNUMBER(VALUE(TRIM(MID(A614,FIND("-",A614)+1,FIND("km",A614)-FIND("-",A614)-1)))),"Distance + direction + city","Named-region"),"Named-region")</f>
        <v>Distance + direction + city</v>
      </c>
      <c r="V614" s="3" t="str">
        <f aca="false">LOWER(M614)</f>
        <v>mwb</v>
      </c>
      <c r="W614" s="3" t="n">
        <f aca="false">COUNTIFS($A$2:$A$1001,A614,$C$2:$C$1001,C614)</f>
        <v>1</v>
      </c>
      <c r="X614" s="3" t="str">
        <f aca="false">IF(W614&gt;1,"Duplicate","Unique")</f>
        <v>Unique</v>
      </c>
      <c r="Y614" s="3" t="str">
        <f aca="false">IF(B614&lt;6.5,"&lt;6.5",IF(B614&lt;7,"6.5–6.9",IF(B614&lt;7.5,"7.0–7.4",IF(B614&lt;8,"7.5–7.9","8.0+"))))</f>
        <v>7.0–7.4</v>
      </c>
      <c r="Z614" s="3" t="n">
        <f aca="false">IF(T614="","",YEAR(T614))</f>
        <v>2007</v>
      </c>
    </row>
    <row r="615" customFormat="false" ht="13.8" hidden="false" customHeight="false" outlineLevel="0" collapsed="false">
      <c r="A615" s="3" t="s">
        <v>1635</v>
      </c>
      <c r="B615" s="3" t="n">
        <v>6.6</v>
      </c>
      <c r="C615" s="3" t="s">
        <v>1636</v>
      </c>
      <c r="D615" s="3" t="n">
        <v>3</v>
      </c>
      <c r="E615" s="3" t="n">
        <v>6</v>
      </c>
      <c r="F615" s="3"/>
      <c r="G615" s="3" t="n">
        <v>0</v>
      </c>
      <c r="H615" s="3" t="n">
        <v>672</v>
      </c>
      <c r="I615" s="3" t="s">
        <v>22</v>
      </c>
      <c r="J615" s="3" t="n">
        <v>280</v>
      </c>
      <c r="K615" s="3" t="n">
        <v>0</v>
      </c>
      <c r="L615" s="3" t="n">
        <v>26.9</v>
      </c>
      <c r="M615" s="3" t="s">
        <v>127</v>
      </c>
      <c r="N615" s="3" t="n">
        <v>16</v>
      </c>
      <c r="O615" s="3" t="n">
        <v>-10.95</v>
      </c>
      <c r="P615" s="3" t="n">
        <v>162.149</v>
      </c>
      <c r="Q615" s="3" t="s">
        <v>581</v>
      </c>
      <c r="R615" s="3"/>
      <c r="S615" s="3" t="s">
        <v>140</v>
      </c>
      <c r="T615" s="5" t="n">
        <f aca="false">IF(C615="","",DATE(VALUE(MID(C615,7,4)),VALUE(MID(C615,4,2)),VALUE(MID(C615,1,2)))+TIME(VALUE(MID(C615,12,2)),VALUE(MID(C615,15,2)),0))</f>
        <v>39413.4923611111</v>
      </c>
      <c r="U615" s="3" t="str">
        <f aca="false">IFERROR(IF(ISNUMBER(VALUE(TRIM(MID(A615,FIND("-",A615)+1,FIND("km",A615)-FIND("-",A615)-1)))),"Distance + direction + city","Named-region"),"Named-region")</f>
        <v>Distance + direction + city</v>
      </c>
      <c r="V615" s="3" t="str">
        <f aca="false">LOWER(M615)</f>
        <v>mwc</v>
      </c>
      <c r="W615" s="3" t="n">
        <f aca="false">COUNTIFS($A$2:$A$1001,A615,$C$2:$C$1001,C615)</f>
        <v>1</v>
      </c>
      <c r="X615" s="3" t="str">
        <f aca="false">IF(W615&gt;1,"Duplicate","Unique")</f>
        <v>Unique</v>
      </c>
      <c r="Y615" s="3" t="str">
        <f aca="false">IF(B615&lt;6.5,"&lt;6.5",IF(B615&lt;7,"6.5–6.9",IF(B615&lt;7.5,"7.0–7.4",IF(B615&lt;8,"7.5–7.9","8.0+"))))</f>
        <v>6.5–6.9</v>
      </c>
      <c r="Z615" s="3" t="n">
        <f aca="false">IF(T615="","",YEAR(T615))</f>
        <v>2007</v>
      </c>
    </row>
    <row r="616" customFormat="false" ht="13.8" hidden="false" customHeight="false" outlineLevel="0" collapsed="false">
      <c r="A616" s="3" t="s">
        <v>1637</v>
      </c>
      <c r="B616" s="3" t="n">
        <v>6.5</v>
      </c>
      <c r="C616" s="3" t="s">
        <v>1638</v>
      </c>
      <c r="D616" s="3" t="n">
        <v>5</v>
      </c>
      <c r="E616" s="3" t="n">
        <v>7</v>
      </c>
      <c r="F616" s="3"/>
      <c r="G616" s="3" t="n">
        <v>0</v>
      </c>
      <c r="H616" s="3" t="n">
        <v>653</v>
      </c>
      <c r="I616" s="3" t="s">
        <v>22</v>
      </c>
      <c r="J616" s="3" t="n">
        <v>272</v>
      </c>
      <c r="K616" s="3" t="n">
        <v>0</v>
      </c>
      <c r="L616" s="3" t="n">
        <v>27.6</v>
      </c>
      <c r="M616" s="3" t="s">
        <v>127</v>
      </c>
      <c r="N616" s="3" t="n">
        <v>18</v>
      </c>
      <c r="O616" s="3" t="n">
        <v>-8.224</v>
      </c>
      <c r="P616" s="3" t="n">
        <v>118.467</v>
      </c>
      <c r="Q616" s="3" t="s">
        <v>1639</v>
      </c>
      <c r="R616" s="3"/>
      <c r="S616" s="3" t="s">
        <v>68</v>
      </c>
      <c r="T616" s="5" t="n">
        <f aca="false">IF(C616="","",DATE(VALUE(MID(C616,7,4)),VALUE(MID(C616,4,2)),VALUE(MID(C616,1,2)))+TIME(VALUE(MID(C616,12,2)),VALUE(MID(C616,15,2)),0))</f>
        <v>39411.8284722222</v>
      </c>
      <c r="U616" s="3" t="str">
        <f aca="false">IFERROR(IF(ISNUMBER(VALUE(TRIM(MID(A616,FIND("-",A616)+1,FIND("km",A616)-FIND("-",A616)-1)))),"Distance + direction + city","Named-region"),"Named-region")</f>
        <v>Distance + direction + city</v>
      </c>
      <c r="V616" s="3" t="str">
        <f aca="false">LOWER(M616)</f>
        <v>mwc</v>
      </c>
      <c r="W616" s="3" t="n">
        <f aca="false">COUNTIFS($A$2:$A$1001,A616,$C$2:$C$1001,C616)</f>
        <v>1</v>
      </c>
      <c r="X616" s="3" t="str">
        <f aca="false">IF(W616&gt;1,"Duplicate","Unique")</f>
        <v>Unique</v>
      </c>
      <c r="Y616" s="3" t="str">
        <f aca="false">IF(B616&lt;6.5,"&lt;6.5",IF(B616&lt;7,"6.5–6.9",IF(B616&lt;7.5,"7.0–7.4",IF(B616&lt;8,"7.5–7.9","8.0+"))))</f>
        <v>6.5–6.9</v>
      </c>
      <c r="Z616" s="3" t="n">
        <f aca="false">IF(T616="","",YEAR(T616))</f>
        <v>2007</v>
      </c>
    </row>
    <row r="617" customFormat="false" ht="13.8" hidden="false" customHeight="false" outlineLevel="0" collapsed="false">
      <c r="A617" s="3" t="s">
        <v>1640</v>
      </c>
      <c r="B617" s="3" t="n">
        <v>6.5</v>
      </c>
      <c r="C617" s="3" t="s">
        <v>1641</v>
      </c>
      <c r="D617" s="3" t="n">
        <v>7</v>
      </c>
      <c r="E617" s="3" t="n">
        <v>7</v>
      </c>
      <c r="F617" s="3"/>
      <c r="G617" s="3" t="n">
        <v>0</v>
      </c>
      <c r="H617" s="3" t="n">
        <v>657</v>
      </c>
      <c r="I617" s="3" t="s">
        <v>22</v>
      </c>
      <c r="J617" s="3" t="n">
        <v>353</v>
      </c>
      <c r="K617" s="3" t="n">
        <v>0</v>
      </c>
      <c r="L617" s="3" t="n">
        <v>27.5</v>
      </c>
      <c r="M617" s="3" t="s">
        <v>127</v>
      </c>
      <c r="N617" s="3" t="n">
        <v>20</v>
      </c>
      <c r="O617" s="3" t="n">
        <v>-8.292</v>
      </c>
      <c r="P617" s="3" t="n">
        <v>118.37</v>
      </c>
      <c r="Q617" s="3" t="s">
        <v>1639</v>
      </c>
      <c r="R617" s="3"/>
      <c r="S617" s="3" t="s">
        <v>68</v>
      </c>
      <c r="T617" s="5" t="n">
        <f aca="false">IF(C617="","",DATE(VALUE(MID(C617,7,4)),VALUE(MID(C617,4,2)),VALUE(MID(C617,1,2)))+TIME(VALUE(MID(C617,12,2)),VALUE(MID(C617,15,2)),0))</f>
        <v>39411.6680555556</v>
      </c>
      <c r="U617" s="3" t="str">
        <f aca="false">IFERROR(IF(ISNUMBER(VALUE(TRIM(MID(A617,FIND("-",A617)+1,FIND("km",A617)-FIND("-",A617)-1)))),"Distance + direction + city","Named-region"),"Named-region")</f>
        <v>Distance + direction + city</v>
      </c>
      <c r="V617" s="3" t="str">
        <f aca="false">LOWER(M617)</f>
        <v>mwc</v>
      </c>
      <c r="W617" s="3" t="n">
        <f aca="false">COUNTIFS($A$2:$A$1001,A617,$C$2:$C$1001,C617)</f>
        <v>1</v>
      </c>
      <c r="X617" s="3" t="str">
        <f aca="false">IF(W617&gt;1,"Duplicate","Unique")</f>
        <v>Unique</v>
      </c>
      <c r="Y617" s="3" t="str">
        <f aca="false">IF(B617&lt;6.5,"&lt;6.5",IF(B617&lt;7,"6.5–6.9",IF(B617&lt;7.5,"7.0–7.4",IF(B617&lt;8,"7.5–7.9","8.0+"))))</f>
        <v>6.5–6.9</v>
      </c>
      <c r="Z617" s="3" t="n">
        <f aca="false">IF(T617="","",YEAR(T617))</f>
        <v>2007</v>
      </c>
    </row>
    <row r="618" customFormat="false" ht="13.8" hidden="false" customHeight="false" outlineLevel="0" collapsed="false">
      <c r="A618" s="3" t="s">
        <v>1642</v>
      </c>
      <c r="B618" s="3" t="n">
        <v>6.8</v>
      </c>
      <c r="C618" s="3" t="s">
        <v>1643</v>
      </c>
      <c r="D618" s="3" t="n">
        <v>6</v>
      </c>
      <c r="E618" s="3" t="n">
        <v>6</v>
      </c>
      <c r="F618" s="3"/>
      <c r="G618" s="3" t="n">
        <v>0</v>
      </c>
      <c r="H618" s="3" t="n">
        <v>722</v>
      </c>
      <c r="I618" s="3" t="s">
        <v>22</v>
      </c>
      <c r="J618" s="3" t="n">
        <v>341</v>
      </c>
      <c r="K618" s="3" t="n">
        <v>0</v>
      </c>
      <c r="L618" s="3" t="n">
        <v>15.9</v>
      </c>
      <c r="M618" s="3" t="s">
        <v>127</v>
      </c>
      <c r="N618" s="3" t="n">
        <v>53</v>
      </c>
      <c r="O618" s="3" t="n">
        <v>-5.757</v>
      </c>
      <c r="P618" s="3" t="n">
        <v>147.098</v>
      </c>
      <c r="Q618" s="3" t="s">
        <v>1278</v>
      </c>
      <c r="R618" s="3"/>
      <c r="S618" s="3" t="s">
        <v>85</v>
      </c>
      <c r="T618" s="5" t="n">
        <f aca="false">IF(C618="","",DATE(VALUE(MID(C618,7,4)),VALUE(MID(C618,4,2)),VALUE(MID(C618,1,2)))+TIME(VALUE(MID(C618,12,2)),VALUE(MID(C618,15,2)),0))</f>
        <v>39408.3666666667</v>
      </c>
      <c r="U618" s="3" t="str">
        <f aca="false">IFERROR(IF(ISNUMBER(VALUE(TRIM(MID(A618,FIND("-",A618)+1,FIND("km",A618)-FIND("-",A618)-1)))),"Distance + direction + city","Named-region"),"Named-region")</f>
        <v>Distance + direction + city</v>
      </c>
      <c r="V618" s="3" t="str">
        <f aca="false">LOWER(M618)</f>
        <v>mwc</v>
      </c>
      <c r="W618" s="3" t="n">
        <f aca="false">COUNTIFS($A$2:$A$1001,A618,$C$2:$C$1001,C618)</f>
        <v>1</v>
      </c>
      <c r="X618" s="3" t="str">
        <f aca="false">IF(W618&gt;1,"Duplicate","Unique")</f>
        <v>Unique</v>
      </c>
      <c r="Y618" s="3" t="str">
        <f aca="false">IF(B618&lt;6.5,"&lt;6.5",IF(B618&lt;7,"6.5–6.9",IF(B618&lt;7.5,"7.0–7.4",IF(B618&lt;8,"7.5–7.9","8.0+"))))</f>
        <v>6.5–6.9</v>
      </c>
      <c r="Z618" s="3" t="n">
        <f aca="false">IF(T618="","",YEAR(T618))</f>
        <v>2007</v>
      </c>
    </row>
    <row r="619" customFormat="false" ht="13.8" hidden="false" customHeight="false" outlineLevel="0" collapsed="false">
      <c r="A619" s="3" t="s">
        <v>1644</v>
      </c>
      <c r="B619" s="3" t="n">
        <v>6.8</v>
      </c>
      <c r="C619" s="3" t="s">
        <v>1645</v>
      </c>
      <c r="D619" s="3" t="n">
        <v>7</v>
      </c>
      <c r="E619" s="3" t="n">
        <v>6</v>
      </c>
      <c r="F619" s="3"/>
      <c r="G619" s="3" t="n">
        <v>0</v>
      </c>
      <c r="H619" s="3" t="n">
        <v>790</v>
      </c>
      <c r="I619" s="3" t="s">
        <v>22</v>
      </c>
      <c r="J619" s="3" t="n">
        <v>649</v>
      </c>
      <c r="K619" s="3" t="n">
        <v>0</v>
      </c>
      <c r="L619" s="3" t="n">
        <v>27</v>
      </c>
      <c r="M619" s="3" t="s">
        <v>127</v>
      </c>
      <c r="N619" s="3" t="n">
        <v>122.9</v>
      </c>
      <c r="O619" s="3" t="n">
        <v>-2.312</v>
      </c>
      <c r="P619" s="3" t="n">
        <v>-77.838</v>
      </c>
      <c r="Q619" s="3" t="s">
        <v>1646</v>
      </c>
      <c r="R619" s="3" t="s">
        <v>33</v>
      </c>
      <c r="S619" s="3" t="s">
        <v>96</v>
      </c>
      <c r="T619" s="5" t="n">
        <f aca="false">IF(C619="","",DATE(VALUE(MID(C619,7,4)),VALUE(MID(C619,4,2)),VALUE(MID(C619,1,2)))+TIME(VALUE(MID(C619,12,2)),VALUE(MID(C619,15,2)),0))</f>
        <v>39402.1340277778</v>
      </c>
      <c r="U619" s="3" t="str">
        <f aca="false">IFERROR(IF(ISNUMBER(VALUE(TRIM(MID(A619,FIND("-",A619)+1,FIND("km",A619)-FIND("-",A619)-1)))),"Distance + direction + city","Named-region"),"Named-region")</f>
        <v>Distance + direction + city</v>
      </c>
      <c r="V619" s="3" t="str">
        <f aca="false">LOWER(M619)</f>
        <v>mwc</v>
      </c>
      <c r="W619" s="3" t="n">
        <f aca="false">COUNTIFS($A$2:$A$1001,A619,$C$2:$C$1001,C619)</f>
        <v>1</v>
      </c>
      <c r="X619" s="3" t="str">
        <f aca="false">IF(W619&gt;1,"Duplicate","Unique")</f>
        <v>Unique</v>
      </c>
      <c r="Y619" s="3" t="str">
        <f aca="false">IF(B619&lt;6.5,"&lt;6.5",IF(B619&lt;7,"6.5–6.9",IF(B619&lt;7.5,"7.0–7.4",IF(B619&lt;8,"7.5–7.9","8.0+"))))</f>
        <v>6.5–6.9</v>
      </c>
      <c r="Z619" s="3" t="n">
        <f aca="false">IF(T619="","",YEAR(T619))</f>
        <v>2007</v>
      </c>
    </row>
    <row r="620" customFormat="false" ht="13.8" hidden="false" customHeight="false" outlineLevel="0" collapsed="false">
      <c r="A620" s="3" t="s">
        <v>1647</v>
      </c>
      <c r="B620" s="3" t="n">
        <v>6.8</v>
      </c>
      <c r="C620" s="3" t="s">
        <v>1648</v>
      </c>
      <c r="D620" s="3" t="n">
        <v>6</v>
      </c>
      <c r="E620" s="3" t="n">
        <v>7</v>
      </c>
      <c r="F620" s="3"/>
      <c r="G620" s="3" t="n">
        <v>0</v>
      </c>
      <c r="H620" s="3" t="n">
        <v>716</v>
      </c>
      <c r="I620" s="3" t="s">
        <v>22</v>
      </c>
      <c r="J620" s="3" t="n">
        <v>285</v>
      </c>
      <c r="K620" s="3" t="n">
        <v>0</v>
      </c>
      <c r="L620" s="3" t="n">
        <v>40.1</v>
      </c>
      <c r="M620" s="3" t="s">
        <v>127</v>
      </c>
      <c r="N620" s="3" t="n">
        <v>26</v>
      </c>
      <c r="O620" s="3" t="n">
        <v>-22.925</v>
      </c>
      <c r="P620" s="3" t="n">
        <v>-70.237</v>
      </c>
      <c r="Q620" s="3" t="s">
        <v>1630</v>
      </c>
      <c r="R620" s="3" t="s">
        <v>33</v>
      </c>
      <c r="S620" s="3" t="s">
        <v>373</v>
      </c>
      <c r="T620" s="5" t="n">
        <f aca="false">IF(C620="","",DATE(VALUE(MID(C620,7,4)),VALUE(MID(C620,4,2)),VALUE(MID(C620,1,2)))+TIME(VALUE(MID(C620,12,2)),VALUE(MID(C620,15,2)),0))</f>
        <v>39401.6284722222</v>
      </c>
      <c r="U620" s="3" t="str">
        <f aca="false">IFERROR(IF(ISNUMBER(VALUE(TRIM(MID(A620,FIND("-",A620)+1,FIND("km",A620)-FIND("-",A620)-1)))),"Distance + direction + city","Named-region"),"Named-region")</f>
        <v>Distance + direction + city</v>
      </c>
      <c r="V620" s="3" t="str">
        <f aca="false">LOWER(M620)</f>
        <v>mwc</v>
      </c>
      <c r="W620" s="3" t="n">
        <f aca="false">COUNTIFS($A$2:$A$1001,A620,$C$2:$C$1001,C620)</f>
        <v>1</v>
      </c>
      <c r="X620" s="3" t="str">
        <f aca="false">IF(W620&gt;1,"Duplicate","Unique")</f>
        <v>Unique</v>
      </c>
      <c r="Y620" s="3" t="str">
        <f aca="false">IF(B620&lt;6.5,"&lt;6.5",IF(B620&lt;7,"6.5–6.9",IF(B620&lt;7.5,"7.0–7.4",IF(B620&lt;8,"7.5–7.9","8.0+"))))</f>
        <v>6.5–6.9</v>
      </c>
      <c r="Z620" s="3" t="n">
        <f aca="false">IF(T620="","",YEAR(T620))</f>
        <v>2007</v>
      </c>
    </row>
    <row r="621" customFormat="false" ht="13.8" hidden="false" customHeight="false" outlineLevel="0" collapsed="false">
      <c r="A621" s="3" t="s">
        <v>1649</v>
      </c>
      <c r="B621" s="3" t="n">
        <v>7.7</v>
      </c>
      <c r="C621" s="3" t="s">
        <v>1650</v>
      </c>
      <c r="D621" s="3" t="n">
        <v>8</v>
      </c>
      <c r="E621" s="3" t="n">
        <v>7</v>
      </c>
      <c r="F621" s="3"/>
      <c r="G621" s="3" t="n">
        <v>0</v>
      </c>
      <c r="H621" s="3" t="n">
        <v>995</v>
      </c>
      <c r="I621" s="3" t="s">
        <v>22</v>
      </c>
      <c r="J621" s="3" t="n">
        <v>610</v>
      </c>
      <c r="K621" s="3" t="n">
        <v>0</v>
      </c>
      <c r="L621" s="3" t="n">
        <v>22.4</v>
      </c>
      <c r="M621" s="3" t="s">
        <v>127</v>
      </c>
      <c r="N621" s="3" t="n">
        <v>40</v>
      </c>
      <c r="O621" s="3" t="n">
        <v>-22.247</v>
      </c>
      <c r="P621" s="3" t="n">
        <v>-69.89</v>
      </c>
      <c r="Q621" s="3" t="s">
        <v>1651</v>
      </c>
      <c r="R621" s="3" t="s">
        <v>33</v>
      </c>
      <c r="S621" s="3" t="s">
        <v>373</v>
      </c>
      <c r="T621" s="5" t="n">
        <f aca="false">IF(C621="","",DATE(VALUE(MID(C621,7,4)),VALUE(MID(C621,4,2)),VALUE(MID(C621,1,2)))+TIME(VALUE(MID(C621,12,2)),VALUE(MID(C621,15,2)),0))</f>
        <v>39400.6527777778</v>
      </c>
      <c r="U621" s="3" t="str">
        <f aca="false">IFERROR(IF(ISNUMBER(VALUE(TRIM(MID(A621,FIND("-",A621)+1,FIND("km",A621)-FIND("-",A621)-1)))),"Distance + direction + city","Named-region"),"Named-region")</f>
        <v>Distance + direction + city</v>
      </c>
      <c r="V621" s="3" t="str">
        <f aca="false">LOWER(M621)</f>
        <v>mwc</v>
      </c>
      <c r="W621" s="3" t="n">
        <f aca="false">COUNTIFS($A$2:$A$1001,A621,$C$2:$C$1001,C621)</f>
        <v>1</v>
      </c>
      <c r="X621" s="3" t="str">
        <f aca="false">IF(W621&gt;1,"Duplicate","Unique")</f>
        <v>Unique</v>
      </c>
      <c r="Y621" s="3" t="str">
        <f aca="false">IF(B621&lt;6.5,"&lt;6.5",IF(B621&lt;7,"6.5–6.9",IF(B621&lt;7.5,"7.0–7.4",IF(B621&lt;8,"7.5–7.9","8.0+"))))</f>
        <v>7.5–7.9</v>
      </c>
      <c r="Z621" s="3" t="n">
        <f aca="false">IF(T621="","",YEAR(T621))</f>
        <v>2007</v>
      </c>
    </row>
    <row r="622" customFormat="false" ht="13.8" hidden="false" customHeight="false" outlineLevel="0" collapsed="false">
      <c r="A622" s="3" t="s">
        <v>1652</v>
      </c>
      <c r="B622" s="3" t="n">
        <v>6.8</v>
      </c>
      <c r="C622" s="3" t="s">
        <v>1653</v>
      </c>
      <c r="D622" s="3" t="n">
        <v>3</v>
      </c>
      <c r="E622" s="3" t="n">
        <v>5</v>
      </c>
      <c r="F622" s="3"/>
      <c r="G622" s="3" t="n">
        <v>0</v>
      </c>
      <c r="H622" s="3" t="n">
        <v>713</v>
      </c>
      <c r="I622" s="3" t="s">
        <v>22</v>
      </c>
      <c r="J622" s="3" t="n">
        <v>494</v>
      </c>
      <c r="K622" s="3" t="n">
        <v>0</v>
      </c>
      <c r="L622" s="3" t="n">
        <v>23.9</v>
      </c>
      <c r="M622" s="3" t="s">
        <v>127</v>
      </c>
      <c r="N622" s="3" t="n">
        <v>21</v>
      </c>
      <c r="O622" s="3" t="n">
        <v>-3.899</v>
      </c>
      <c r="P622" s="3" t="n">
        <v>101.02</v>
      </c>
      <c r="Q622" s="3" t="s">
        <v>143</v>
      </c>
      <c r="R622" s="3"/>
      <c r="S622" s="3" t="s">
        <v>68</v>
      </c>
      <c r="T622" s="5" t="n">
        <f aca="false">IF(C622="","",DATE(VALUE(MID(C622,7,4)),VALUE(MID(C622,4,2)),VALUE(MID(C622,1,2)))+TIME(VALUE(MID(C622,12,2)),VALUE(MID(C622,15,2)),0))</f>
        <v>39379.8763888889</v>
      </c>
      <c r="U622" s="3" t="str">
        <f aca="false">IFERROR(IF(ISNUMBER(VALUE(TRIM(MID(A622,FIND("-",A622)+1,FIND("km",A622)-FIND("-",A622)-1)))),"Distance + direction + city","Named-region"),"Named-region")</f>
        <v>Distance + direction + city</v>
      </c>
      <c r="V622" s="3" t="str">
        <f aca="false">LOWER(M622)</f>
        <v>mwc</v>
      </c>
      <c r="W622" s="3" t="n">
        <f aca="false">COUNTIFS($A$2:$A$1001,A622,$C$2:$C$1001,C622)</f>
        <v>1</v>
      </c>
      <c r="X622" s="3" t="str">
        <f aca="false">IF(W622&gt;1,"Duplicate","Unique")</f>
        <v>Unique</v>
      </c>
      <c r="Y622" s="3" t="str">
        <f aca="false">IF(B622&lt;6.5,"&lt;6.5",IF(B622&lt;7,"6.5–6.9",IF(B622&lt;7.5,"7.0–7.4",IF(B622&lt;8,"7.5–7.9","8.0+"))))</f>
        <v>6.5–6.9</v>
      </c>
      <c r="Z622" s="3" t="n">
        <f aca="false">IF(T622="","",YEAR(T622))</f>
        <v>2007</v>
      </c>
    </row>
    <row r="623" customFormat="false" ht="13.8" hidden="false" customHeight="false" outlineLevel="0" collapsed="false">
      <c r="A623" s="3" t="s">
        <v>1654</v>
      </c>
      <c r="B623" s="3" t="n">
        <v>6.8</v>
      </c>
      <c r="C623" s="3" t="s">
        <v>1655</v>
      </c>
      <c r="D623" s="3" t="n">
        <v>4</v>
      </c>
      <c r="E623" s="3" t="n">
        <v>7</v>
      </c>
      <c r="F623" s="3"/>
      <c r="G623" s="3" t="n">
        <v>0</v>
      </c>
      <c r="H623" s="3" t="n">
        <v>744</v>
      </c>
      <c r="I623" s="3" t="s">
        <v>22</v>
      </c>
      <c r="J623" s="3" t="n">
        <v>338</v>
      </c>
      <c r="K623" s="3" t="n">
        <v>0</v>
      </c>
      <c r="L623" s="3" t="n">
        <v>19</v>
      </c>
      <c r="M623" s="3" t="s">
        <v>127</v>
      </c>
      <c r="N623" s="3" t="n">
        <v>18</v>
      </c>
      <c r="O623" s="3" t="n">
        <v>-44.796</v>
      </c>
      <c r="P623" s="3" t="n">
        <v>167.553</v>
      </c>
      <c r="Q623" s="3" t="s">
        <v>1547</v>
      </c>
      <c r="R623" s="3"/>
      <c r="S623" s="3" t="s">
        <v>774</v>
      </c>
      <c r="T623" s="5" t="n">
        <f aca="false">IF(C623="","",DATE(VALUE(MID(C623,7,4)),VALUE(MID(C623,4,2)),VALUE(MID(C623,1,2)))+TIME(VALUE(MID(C623,12,2)),VALUE(MID(C623,15,2)),0))</f>
        <v>39370.5201388889</v>
      </c>
      <c r="U623" s="3" t="str">
        <f aca="false">IFERROR(IF(ISNUMBER(VALUE(TRIM(MID(A623,FIND("-",A623)+1,FIND("km",A623)-FIND("-",A623)-1)))),"Distance + direction + city","Named-region"),"Named-region")</f>
        <v>Distance + direction + city</v>
      </c>
      <c r="V623" s="3" t="str">
        <f aca="false">LOWER(M623)</f>
        <v>mwc</v>
      </c>
      <c r="W623" s="3" t="n">
        <f aca="false">COUNTIFS($A$2:$A$1001,A623,$C$2:$C$1001,C623)</f>
        <v>1</v>
      </c>
      <c r="X623" s="3" t="str">
        <f aca="false">IF(W623&gt;1,"Duplicate","Unique")</f>
        <v>Unique</v>
      </c>
      <c r="Y623" s="3" t="str">
        <f aca="false">IF(B623&lt;6.5,"&lt;6.5",IF(B623&lt;7,"6.5–6.9",IF(B623&lt;7.5,"7.0–7.4",IF(B623&lt;8,"7.5–7.9","8.0+"))))</f>
        <v>6.5–6.9</v>
      </c>
      <c r="Z623" s="3" t="n">
        <f aca="false">IF(T623="","",YEAR(T623))</f>
        <v>2007</v>
      </c>
    </row>
    <row r="624" customFormat="false" ht="13.8" hidden="false" customHeight="false" outlineLevel="0" collapsed="false">
      <c r="A624" s="3" t="s">
        <v>1656</v>
      </c>
      <c r="B624" s="3" t="n">
        <v>6.8</v>
      </c>
      <c r="C624" s="3" t="s">
        <v>1657</v>
      </c>
      <c r="D624" s="3" t="n">
        <v>4</v>
      </c>
      <c r="E624" s="3" t="n">
        <v>5</v>
      </c>
      <c r="F624" s="3"/>
      <c r="G624" s="3" t="n">
        <v>0</v>
      </c>
      <c r="H624" s="3" t="n">
        <v>713</v>
      </c>
      <c r="I624" s="3" t="s">
        <v>22</v>
      </c>
      <c r="J624" s="3" t="n">
        <v>348</v>
      </c>
      <c r="K624" s="3" t="n">
        <v>0</v>
      </c>
      <c r="L624" s="3" t="n">
        <v>15.5</v>
      </c>
      <c r="M624" s="3" t="s">
        <v>127</v>
      </c>
      <c r="N624" s="3" t="n">
        <v>40</v>
      </c>
      <c r="O624" s="3" t="n">
        <v>-4.99</v>
      </c>
      <c r="P624" s="3" t="n">
        <v>153.5</v>
      </c>
      <c r="Q624" s="3" t="s">
        <v>625</v>
      </c>
      <c r="R624" s="3"/>
      <c r="S624" s="3" t="s">
        <v>85</v>
      </c>
      <c r="T624" s="5" t="n">
        <f aca="false">IF(C624="","",DATE(VALUE(MID(C624,7,4)),VALUE(MID(C624,4,2)),VALUE(MID(C624,1,2)))+TIME(VALUE(MID(C624,12,2)),VALUE(MID(C624,15,2)),0))</f>
        <v>39351.525</v>
      </c>
      <c r="U624" s="3" t="str">
        <f aca="false">IFERROR(IF(ISNUMBER(VALUE(TRIM(MID(A624,FIND("-",A624)+1,FIND("km",A624)-FIND("-",A624)-1)))),"Distance + direction + city","Named-region"),"Named-region")</f>
        <v>Distance + direction + city</v>
      </c>
      <c r="V624" s="3" t="str">
        <f aca="false">LOWER(M624)</f>
        <v>mwc</v>
      </c>
      <c r="W624" s="3" t="n">
        <f aca="false">COUNTIFS($A$2:$A$1001,A624,$C$2:$C$1001,C624)</f>
        <v>1</v>
      </c>
      <c r="X624" s="3" t="str">
        <f aca="false">IF(W624&gt;1,"Duplicate","Unique")</f>
        <v>Unique</v>
      </c>
      <c r="Y624" s="3" t="str">
        <f aca="false">IF(B624&lt;6.5,"&lt;6.5",IF(B624&lt;7,"6.5–6.9",IF(B624&lt;7.5,"7.0–7.4",IF(B624&lt;8,"7.5–7.9","8.0+"))))</f>
        <v>6.5–6.9</v>
      </c>
      <c r="Z624" s="3" t="n">
        <f aca="false">IF(T624="","",YEAR(T624))</f>
        <v>2007</v>
      </c>
    </row>
    <row r="625" customFormat="false" ht="13.8" hidden="false" customHeight="false" outlineLevel="0" collapsed="false">
      <c r="A625" s="3" t="s">
        <v>1658</v>
      </c>
      <c r="B625" s="3" t="n">
        <v>6.7</v>
      </c>
      <c r="C625" s="3" t="s">
        <v>1659</v>
      </c>
      <c r="D625" s="3" t="n">
        <v>3</v>
      </c>
      <c r="E625" s="3" t="n">
        <v>5</v>
      </c>
      <c r="F625" s="3"/>
      <c r="G625" s="3" t="n">
        <v>0</v>
      </c>
      <c r="H625" s="3" t="n">
        <v>696</v>
      </c>
      <c r="I625" s="3" t="s">
        <v>22</v>
      </c>
      <c r="J625" s="3" t="n">
        <v>503</v>
      </c>
      <c r="K625" s="3" t="n">
        <v>0</v>
      </c>
      <c r="L625" s="3" t="n">
        <v>26.9</v>
      </c>
      <c r="M625" s="3" t="s">
        <v>127</v>
      </c>
      <c r="N625" s="3" t="n">
        <v>30</v>
      </c>
      <c r="O625" s="3" t="n">
        <v>-1.999</v>
      </c>
      <c r="P625" s="3" t="n">
        <v>100.141</v>
      </c>
      <c r="Q625" s="3" t="s">
        <v>1533</v>
      </c>
      <c r="R625" s="3"/>
      <c r="S625" s="3" t="s">
        <v>68</v>
      </c>
      <c r="T625" s="5" t="n">
        <f aca="false">IF(C625="","",DATE(VALUE(MID(C625,7,4)),VALUE(MID(C625,4,2)),VALUE(MID(C625,1,2)))+TIME(VALUE(MID(C625,12,2)),VALUE(MID(C625,15,2)),0))</f>
        <v>39345.3548611111</v>
      </c>
      <c r="U625" s="3" t="str">
        <f aca="false">IFERROR(IF(ISNUMBER(VALUE(TRIM(MID(A625,FIND("-",A625)+1,FIND("km",A625)-FIND("-",A625)-1)))),"Distance + direction + city","Named-region"),"Named-region")</f>
        <v>Distance + direction + city</v>
      </c>
      <c r="V625" s="3" t="str">
        <f aca="false">LOWER(M625)</f>
        <v>mwc</v>
      </c>
      <c r="W625" s="3" t="n">
        <f aca="false">COUNTIFS($A$2:$A$1001,A625,$C$2:$C$1001,C625)</f>
        <v>1</v>
      </c>
      <c r="X625" s="3" t="str">
        <f aca="false">IF(W625&gt;1,"Duplicate","Unique")</f>
        <v>Unique</v>
      </c>
      <c r="Y625" s="3" t="str">
        <f aca="false">IF(B625&lt;6.5,"&lt;6.5",IF(B625&lt;7,"6.5–6.9",IF(B625&lt;7.5,"7.0–7.4",IF(B625&lt;8,"7.5–7.9","8.0+"))))</f>
        <v>6.5–6.9</v>
      </c>
      <c r="Z625" s="3" t="n">
        <f aca="false">IF(T625="","",YEAR(T625))</f>
        <v>2007</v>
      </c>
    </row>
    <row r="626" customFormat="false" ht="13.8" hidden="false" customHeight="false" outlineLevel="0" collapsed="false">
      <c r="A626" s="3" t="s">
        <v>1660</v>
      </c>
      <c r="B626" s="3" t="n">
        <v>7</v>
      </c>
      <c r="C626" s="3" t="s">
        <v>1661</v>
      </c>
      <c r="D626" s="3" t="n">
        <v>4</v>
      </c>
      <c r="E626" s="3" t="n">
        <v>7</v>
      </c>
      <c r="F626" s="3"/>
      <c r="G626" s="3" t="n">
        <v>0</v>
      </c>
      <c r="H626" s="3" t="n">
        <v>768</v>
      </c>
      <c r="I626" s="3" t="s">
        <v>22</v>
      </c>
      <c r="J626" s="3" t="n">
        <v>537</v>
      </c>
      <c r="K626" s="3" t="n">
        <v>0</v>
      </c>
      <c r="L626" s="3" t="n">
        <v>23.1</v>
      </c>
      <c r="M626" s="3" t="s">
        <v>127</v>
      </c>
      <c r="N626" s="3" t="n">
        <v>22</v>
      </c>
      <c r="O626" s="3" t="n">
        <v>-2.13</v>
      </c>
      <c r="P626" s="3" t="n">
        <v>99.627</v>
      </c>
      <c r="Q626" s="3" t="s">
        <v>1533</v>
      </c>
      <c r="R626" s="3"/>
      <c r="S626" s="3" t="s">
        <v>68</v>
      </c>
      <c r="T626" s="5" t="n">
        <f aca="false">IF(C626="","",DATE(VALUE(MID(C626,7,4)),VALUE(MID(C626,4,2)),VALUE(MID(C626,1,2)))+TIME(VALUE(MID(C626,12,2)),VALUE(MID(C626,15,2)),0))</f>
        <v>39338.1493055556</v>
      </c>
      <c r="U626" s="3" t="str">
        <f aca="false">IFERROR(IF(ISNUMBER(VALUE(TRIM(MID(A626,FIND("-",A626)+1,FIND("km",A626)-FIND("-",A626)-1)))),"Distance + direction + city","Named-region"),"Named-region")</f>
        <v>Distance + direction + city</v>
      </c>
      <c r="V626" s="3" t="str">
        <f aca="false">LOWER(M626)</f>
        <v>mwc</v>
      </c>
      <c r="W626" s="3" t="n">
        <f aca="false">COUNTIFS($A$2:$A$1001,A626,$C$2:$C$1001,C626)</f>
        <v>1</v>
      </c>
      <c r="X626" s="3" t="str">
        <f aca="false">IF(W626&gt;1,"Duplicate","Unique")</f>
        <v>Unique</v>
      </c>
      <c r="Y626" s="3" t="str">
        <f aca="false">IF(B626&lt;6.5,"&lt;6.5",IF(B626&lt;7,"6.5–6.9",IF(B626&lt;7.5,"7.0–7.4",IF(B626&lt;8,"7.5–7.9","8.0+"))))</f>
        <v>7.0–7.4</v>
      </c>
      <c r="Z626" s="3" t="n">
        <f aca="false">IF(T626="","",YEAR(T626))</f>
        <v>2007</v>
      </c>
    </row>
    <row r="627" customFormat="false" ht="13.8" hidden="false" customHeight="false" outlineLevel="0" collapsed="false">
      <c r="A627" s="3" t="s">
        <v>1662</v>
      </c>
      <c r="B627" s="3" t="n">
        <v>6.5</v>
      </c>
      <c r="C627" s="3" t="s">
        <v>1663</v>
      </c>
      <c r="D627" s="3" t="n">
        <v>0</v>
      </c>
      <c r="E627" s="3" t="n">
        <v>5</v>
      </c>
      <c r="F627" s="3"/>
      <c r="G627" s="3" t="n">
        <v>0</v>
      </c>
      <c r="H627" s="3" t="n">
        <v>650</v>
      </c>
      <c r="I627" s="3" t="s">
        <v>22</v>
      </c>
      <c r="J627" s="3" t="n">
        <v>409</v>
      </c>
      <c r="K627" s="3" t="n">
        <v>0</v>
      </c>
      <c r="L627" s="3" t="n">
        <v>26.2</v>
      </c>
      <c r="M627" s="3" t="s">
        <v>127</v>
      </c>
      <c r="N627" s="3" t="n">
        <v>28.9</v>
      </c>
      <c r="O627" s="3" t="n">
        <v>-1.689</v>
      </c>
      <c r="P627" s="3" t="n">
        <v>99.668</v>
      </c>
      <c r="Q627" s="3" t="s">
        <v>1664</v>
      </c>
      <c r="R627" s="3"/>
      <c r="S627" s="3" t="s">
        <v>68</v>
      </c>
      <c r="T627" s="5" t="n">
        <f aca="false">IF(C627="","",DATE(VALUE(MID(C627,7,4)),VALUE(MID(C627,4,2)),VALUE(MID(C627,1,2)))+TIME(VALUE(MID(C627,12,2)),VALUE(MID(C627,15,2)),0))</f>
        <v>39338.1041666667</v>
      </c>
      <c r="U627" s="3" t="str">
        <f aca="false">IFERROR(IF(ISNUMBER(VALUE(TRIM(MID(A627,FIND("-",A627)+1,FIND("km",A627)-FIND("-",A627)-1)))),"Distance + direction + city","Named-region"),"Named-region")</f>
        <v>Named-region</v>
      </c>
      <c r="V627" s="3" t="str">
        <f aca="false">LOWER(M627)</f>
        <v>mwc</v>
      </c>
      <c r="W627" s="3" t="n">
        <f aca="false">COUNTIFS($A$2:$A$1001,A627,$C$2:$C$1001,C627)</f>
        <v>1</v>
      </c>
      <c r="X627" s="3" t="str">
        <f aca="false">IF(W627&gt;1,"Duplicate","Unique")</f>
        <v>Unique</v>
      </c>
      <c r="Y627" s="3" t="str">
        <f aca="false">IF(B627&lt;6.5,"&lt;6.5",IF(B627&lt;7,"6.5–6.9",IF(B627&lt;7.5,"7.0–7.4",IF(B627&lt;8,"7.5–7.9","8.0+"))))</f>
        <v>6.5–6.9</v>
      </c>
      <c r="Z627" s="3" t="n">
        <f aca="false">IF(T627="","",YEAR(T627))</f>
        <v>2007</v>
      </c>
    </row>
    <row r="628" customFormat="false" ht="13.8" hidden="false" customHeight="false" outlineLevel="0" collapsed="false">
      <c r="A628" s="3" t="s">
        <v>1665</v>
      </c>
      <c r="B628" s="3" t="n">
        <v>7.9</v>
      </c>
      <c r="C628" s="6" t="s">
        <v>1666</v>
      </c>
      <c r="D628" s="3" t="n">
        <v>8</v>
      </c>
      <c r="E628" s="3" t="n">
        <v>7</v>
      </c>
      <c r="F628" s="3"/>
      <c r="G628" s="3" t="n">
        <v>0</v>
      </c>
      <c r="H628" s="3" t="n">
        <v>1133</v>
      </c>
      <c r="I628" s="3" t="s">
        <v>22</v>
      </c>
      <c r="J628" s="3" t="n">
        <v>446</v>
      </c>
      <c r="K628" s="3" t="n">
        <v>0</v>
      </c>
      <c r="L628" s="3" t="n">
        <v>29.1</v>
      </c>
      <c r="M628" s="3" t="s">
        <v>127</v>
      </c>
      <c r="N628" s="3" t="n">
        <v>35</v>
      </c>
      <c r="O628" s="3" t="n">
        <v>-2.625</v>
      </c>
      <c r="P628" s="3" t="n">
        <v>100.841</v>
      </c>
      <c r="Q628" s="3" t="s">
        <v>809</v>
      </c>
      <c r="R628" s="3"/>
      <c r="S628" s="3" t="s">
        <v>68</v>
      </c>
      <c r="T628" s="5" t="n">
        <f aca="false">IF(C628="","",DATE(VALUE(MID(C628,7,4)),VALUE(MID(C628,4,2)),VALUE(MID(C628,1,2)))+TIME(VALUE(MID(C628,12,2)),VALUE(MID(C628,15,2)),0))</f>
        <v>39337.9923611111</v>
      </c>
      <c r="U628" s="3" t="str">
        <f aca="false">IFERROR(IF(ISNUMBER(VALUE(TRIM(MID(A628,FIND("-",A628)+1,FIND("km",A628)-FIND("-",A628)-1)))),"Distance + direction + city","Named-region"),"Named-region")</f>
        <v>Distance + direction + city</v>
      </c>
      <c r="V628" s="3" t="str">
        <f aca="false">LOWER(M628)</f>
        <v>mwc</v>
      </c>
      <c r="W628" s="3" t="n">
        <f aca="false">COUNTIFS($A$2:$A$1001,A628,$C$2:$C$1001,C628)</f>
        <v>1</v>
      </c>
      <c r="X628" s="3" t="str">
        <f aca="false">IF(W628&gt;1,"Duplicate","Unique")</f>
        <v>Unique</v>
      </c>
      <c r="Y628" s="3" t="str">
        <f aca="false">IF(B628&lt;6.5,"&lt;6.5",IF(B628&lt;7,"6.5–6.9",IF(B628&lt;7.5,"7.0–7.4",IF(B628&lt;8,"7.5–7.9","8.0+"))))</f>
        <v>7.5–7.9</v>
      </c>
      <c r="Z628" s="3" t="n">
        <f aca="false">IF(T628="","",YEAR(T628))</f>
        <v>2007</v>
      </c>
    </row>
    <row r="629" customFormat="false" ht="13.8" hidden="false" customHeight="false" outlineLevel="0" collapsed="false">
      <c r="A629" s="3" t="s">
        <v>1667</v>
      </c>
      <c r="B629" s="3" t="n">
        <v>7.8</v>
      </c>
      <c r="C629" s="6" t="s">
        <v>1666</v>
      </c>
      <c r="D629" s="3" t="n">
        <v>7</v>
      </c>
      <c r="E629" s="3" t="n">
        <v>8</v>
      </c>
      <c r="F629" s="3"/>
      <c r="G629" s="3" t="n">
        <v>0</v>
      </c>
      <c r="H629" s="3" t="n">
        <v>1152</v>
      </c>
      <c r="I629" s="3" t="s">
        <v>1589</v>
      </c>
      <c r="J629" s="3" t="n">
        <v>0</v>
      </c>
      <c r="K629" s="3" t="n">
        <v>0</v>
      </c>
      <c r="L629" s="3" t="n">
        <v>0</v>
      </c>
      <c r="M629" s="3" t="s">
        <v>23</v>
      </c>
      <c r="N629" s="3" t="n">
        <v>40.5</v>
      </c>
      <c r="O629" s="3" t="n">
        <v>-2.52</v>
      </c>
      <c r="P629" s="3" t="n">
        <v>100.139</v>
      </c>
      <c r="Q629" s="3" t="s">
        <v>809</v>
      </c>
      <c r="R629" s="3" t="s">
        <v>80</v>
      </c>
      <c r="S629" s="3" t="s">
        <v>68</v>
      </c>
      <c r="T629" s="5" t="n">
        <f aca="false">IF(C629="","",DATE(VALUE(MID(C629,7,4)),VALUE(MID(C629,4,2)),VALUE(MID(C629,1,2)))+TIME(VALUE(MID(C629,12,2)),VALUE(MID(C629,15,2)),0))</f>
        <v>39337.9923611111</v>
      </c>
      <c r="U629" s="3" t="str">
        <f aca="false">IFERROR(IF(ISNUMBER(VALUE(TRIM(MID(A629,FIND("-",A629)+1,FIND("km",A629)-FIND("-",A629)-1)))),"Distance + direction + city","Named-region"),"Named-region")</f>
        <v>Distance + direction + city</v>
      </c>
      <c r="V629" s="3" t="str">
        <f aca="false">LOWER(M629)</f>
        <v>mww</v>
      </c>
      <c r="W629" s="3" t="n">
        <f aca="false">COUNTIFS($A$2:$A$1001,A629,$C$2:$C$1001,C629)</f>
        <v>1</v>
      </c>
      <c r="X629" s="3" t="str">
        <f aca="false">IF(W629&gt;1,"Duplicate","Unique")</f>
        <v>Unique</v>
      </c>
      <c r="Y629" s="3" t="str">
        <f aca="false">IF(B629&lt;6.5,"&lt;6.5",IF(B629&lt;7,"6.5–6.9",IF(B629&lt;7.5,"7.0–7.4",IF(B629&lt;8,"7.5–7.9","8.0+"))))</f>
        <v>7.5–7.9</v>
      </c>
      <c r="Z629" s="3" t="n">
        <f aca="false">IF(T629="","",YEAR(T629))</f>
        <v>2007</v>
      </c>
    </row>
    <row r="630" customFormat="false" ht="13.8" hidden="false" customHeight="false" outlineLevel="0" collapsed="false">
      <c r="A630" s="3" t="s">
        <v>1668</v>
      </c>
      <c r="B630" s="3" t="n">
        <v>8.4</v>
      </c>
      <c r="C630" s="6" t="s">
        <v>1669</v>
      </c>
      <c r="D630" s="3" t="n">
        <v>0</v>
      </c>
      <c r="E630" s="3" t="n">
        <v>6</v>
      </c>
      <c r="F630" s="3"/>
      <c r="G630" s="3" t="n">
        <v>0</v>
      </c>
      <c r="H630" s="3" t="n">
        <v>1086</v>
      </c>
      <c r="I630" s="3" t="s">
        <v>1293</v>
      </c>
      <c r="J630" s="3" t="n">
        <v>411</v>
      </c>
      <c r="K630" s="3" t="n">
        <v>0</v>
      </c>
      <c r="L630" s="3" t="n">
        <v>32.3</v>
      </c>
      <c r="M630" s="3" t="s">
        <v>23</v>
      </c>
      <c r="N630" s="3" t="n">
        <v>34</v>
      </c>
      <c r="O630" s="3" t="n">
        <v>-4.438</v>
      </c>
      <c r="P630" s="3" t="n">
        <v>101.367</v>
      </c>
      <c r="Q630" s="3" t="s">
        <v>143</v>
      </c>
      <c r="R630" s="3"/>
      <c r="S630" s="3" t="s">
        <v>68</v>
      </c>
      <c r="T630" s="5" t="n">
        <f aca="false">IF(C630="","",DATE(VALUE(MID(C630,7,4)),VALUE(MID(C630,4,2)),VALUE(MID(C630,1,2)))+TIME(VALUE(MID(C630,12,2)),VALUE(MID(C630,15,2)),0))</f>
        <v>39337.4652777778</v>
      </c>
      <c r="U630" s="3" t="str">
        <f aca="false">IFERROR(IF(ISNUMBER(VALUE(TRIM(MID(A630,FIND("-",A630)+1,FIND("km",A630)-FIND("-",A630)-1)))),"Distance + direction + city","Named-region"),"Named-region")</f>
        <v>Distance + direction + city</v>
      </c>
      <c r="V630" s="3" t="str">
        <f aca="false">LOWER(M630)</f>
        <v>mww</v>
      </c>
      <c r="W630" s="3" t="n">
        <f aca="false">COUNTIFS($A$2:$A$1001,A630,$C$2:$C$1001,C630)</f>
        <v>1</v>
      </c>
      <c r="X630" s="3" t="str">
        <f aca="false">IF(W630&gt;1,"Duplicate","Unique")</f>
        <v>Unique</v>
      </c>
      <c r="Y630" s="3" t="str">
        <f aca="false">IF(B630&lt;6.5,"&lt;6.5",IF(B630&lt;7,"6.5–6.9",IF(B630&lt;7.5,"7.0–7.4",IF(B630&lt;8,"7.5–7.9","8.0+"))))</f>
        <v>8.0+</v>
      </c>
      <c r="Z630" s="3" t="n">
        <f aca="false">IF(T630="","",YEAR(T630))</f>
        <v>2007</v>
      </c>
    </row>
    <row r="631" customFormat="false" ht="13.8" hidden="false" customHeight="false" outlineLevel="0" collapsed="false">
      <c r="A631" s="3" t="s">
        <v>1670</v>
      </c>
      <c r="B631" s="3" t="n">
        <v>6.8</v>
      </c>
      <c r="C631" s="6" t="s">
        <v>1671</v>
      </c>
      <c r="D631" s="3" t="n">
        <v>5</v>
      </c>
      <c r="E631" s="3" t="n">
        <v>6</v>
      </c>
      <c r="F631" s="3"/>
      <c r="G631" s="3" t="n">
        <v>0</v>
      </c>
      <c r="H631" s="3" t="n">
        <v>747</v>
      </c>
      <c r="I631" s="3" t="s">
        <v>22</v>
      </c>
      <c r="J631" s="3" t="n">
        <v>653</v>
      </c>
      <c r="K631" s="3" t="n">
        <v>0</v>
      </c>
      <c r="L631" s="3" t="n">
        <v>17.6</v>
      </c>
      <c r="M631" s="3" t="s">
        <v>127</v>
      </c>
      <c r="N631" s="3" t="n">
        <v>15</v>
      </c>
      <c r="O631" s="3" t="n">
        <v>2.966</v>
      </c>
      <c r="P631" s="3" t="n">
        <v>-77.963</v>
      </c>
      <c r="Q631" s="3" t="s">
        <v>1672</v>
      </c>
      <c r="R631" s="3"/>
      <c r="S631" s="3" t="s">
        <v>54</v>
      </c>
      <c r="T631" s="5" t="n">
        <f aca="false">IF(C631="","",DATE(VALUE(MID(C631,7,4)),VALUE(MID(C631,4,2)),VALUE(MID(C631,1,2)))+TIME(VALUE(MID(C631,12,2)),VALUE(MID(C631,15,2)),0))</f>
        <v>39335.0756944444</v>
      </c>
      <c r="U631" s="3" t="str">
        <f aca="false">IFERROR(IF(ISNUMBER(VALUE(TRIM(MID(A631,FIND("-",A631)+1,FIND("km",A631)-FIND("-",A631)-1)))),"Distance + direction + city","Named-region"),"Named-region")</f>
        <v>Distance + direction + city</v>
      </c>
      <c r="V631" s="3" t="str">
        <f aca="false">LOWER(M631)</f>
        <v>mwc</v>
      </c>
      <c r="W631" s="3" t="n">
        <f aca="false">COUNTIFS($A$2:$A$1001,A631,$C$2:$C$1001,C631)</f>
        <v>1</v>
      </c>
      <c r="X631" s="3" t="str">
        <f aca="false">IF(W631&gt;1,"Duplicate","Unique")</f>
        <v>Unique</v>
      </c>
      <c r="Y631" s="3" t="str">
        <f aca="false">IF(B631&lt;6.5,"&lt;6.5",IF(B631&lt;7,"6.5–6.9",IF(B631&lt;7.5,"7.0–7.4",IF(B631&lt;8,"7.5–7.9","8.0+"))))</f>
        <v>6.5–6.9</v>
      </c>
      <c r="Z631" s="3" t="n">
        <f aca="false">IF(T631="","",YEAR(T631))</f>
        <v>2007</v>
      </c>
    </row>
    <row r="632" customFormat="false" ht="13.8" hidden="false" customHeight="false" outlineLevel="0" collapsed="false">
      <c r="A632" s="3" t="s">
        <v>1673</v>
      </c>
      <c r="B632" s="3" t="n">
        <v>7.2</v>
      </c>
      <c r="C632" s="6" t="s">
        <v>1674</v>
      </c>
      <c r="D632" s="3" t="n">
        <v>0</v>
      </c>
      <c r="E632" s="3" t="n">
        <v>5</v>
      </c>
      <c r="F632" s="3"/>
      <c r="G632" s="3" t="n">
        <v>0</v>
      </c>
      <c r="H632" s="3" t="n">
        <v>798</v>
      </c>
      <c r="I632" s="3" t="s">
        <v>22</v>
      </c>
      <c r="J632" s="3" t="n">
        <v>312</v>
      </c>
      <c r="K632" s="3" t="n">
        <v>0</v>
      </c>
      <c r="L632" s="3" t="n">
        <v>21.3</v>
      </c>
      <c r="M632" s="3" t="s">
        <v>127</v>
      </c>
      <c r="N632" s="3" t="n">
        <v>35</v>
      </c>
      <c r="O632" s="3" t="n">
        <v>-11.61</v>
      </c>
      <c r="P632" s="3" t="n">
        <v>165.762</v>
      </c>
      <c r="Q632" s="3" t="s">
        <v>412</v>
      </c>
      <c r="R632" s="3"/>
      <c r="S632" s="3"/>
      <c r="T632" s="5" t="n">
        <f aca="false">IF(C632="","",DATE(VALUE(MID(C632,7,4)),VALUE(MID(C632,4,2)),VALUE(MID(C632,1,2)))+TIME(VALUE(MID(C632,12,2)),VALUE(MID(C632,15,2)),0))</f>
        <v>39327.0451388889</v>
      </c>
      <c r="U632" s="3" t="str">
        <f aca="false">IFERROR(IF(ISNUMBER(VALUE(TRIM(MID(A632,FIND("-",A632)+1,FIND("km",A632)-FIND("-",A632)-1)))),"Distance + direction + city","Named-region"),"Named-region")</f>
        <v>Distance + direction + city</v>
      </c>
      <c r="V632" s="3" t="str">
        <f aca="false">LOWER(M632)</f>
        <v>mwc</v>
      </c>
      <c r="W632" s="3" t="n">
        <f aca="false">COUNTIFS($A$2:$A$1001,A632,$C$2:$C$1001,C632)</f>
        <v>1</v>
      </c>
      <c r="X632" s="3" t="str">
        <f aca="false">IF(W632&gt;1,"Duplicate","Unique")</f>
        <v>Unique</v>
      </c>
      <c r="Y632" s="3" t="str">
        <f aca="false">IF(B632&lt;6.5,"&lt;6.5",IF(B632&lt;7,"6.5–6.9",IF(B632&lt;7.5,"7.0–7.4",IF(B632&lt;8,"7.5–7.9","8.0+"))))</f>
        <v>7.0–7.4</v>
      </c>
      <c r="Z632" s="3" t="n">
        <f aca="false">IF(T632="","",YEAR(T632))</f>
        <v>2007</v>
      </c>
    </row>
    <row r="633" customFormat="false" ht="13.8" hidden="false" customHeight="false" outlineLevel="0" collapsed="false">
      <c r="A633" s="3" t="s">
        <v>1675</v>
      </c>
      <c r="B633" s="3" t="n">
        <v>6.5</v>
      </c>
      <c r="C633" s="3" t="s">
        <v>1676</v>
      </c>
      <c r="D633" s="3" t="n">
        <v>5</v>
      </c>
      <c r="E633" s="3" t="n">
        <v>6</v>
      </c>
      <c r="F633" s="3"/>
      <c r="G633" s="3" t="n">
        <v>0</v>
      </c>
      <c r="H633" s="3" t="n">
        <v>675</v>
      </c>
      <c r="I633" s="3" t="s">
        <v>22</v>
      </c>
      <c r="J633" s="3" t="n">
        <v>382</v>
      </c>
      <c r="K633" s="3" t="n">
        <v>0</v>
      </c>
      <c r="L633" s="3" t="n">
        <v>12.8</v>
      </c>
      <c r="M633" s="3" t="s">
        <v>127</v>
      </c>
      <c r="N633" s="3" t="n">
        <v>15</v>
      </c>
      <c r="O633" s="3" t="n">
        <v>-9.834</v>
      </c>
      <c r="P633" s="3" t="n">
        <v>159.465</v>
      </c>
      <c r="Q633" s="3" t="s">
        <v>138</v>
      </c>
      <c r="R633" s="3"/>
      <c r="S633" s="3"/>
      <c r="T633" s="5" t="n">
        <f aca="false">IF(C633="","",DATE(VALUE(MID(C633,7,4)),VALUE(MID(C633,4,2)),VALUE(MID(C633,1,2)))+TIME(VALUE(MID(C633,12,2)),VALUE(MID(C633,15,2)),0))</f>
        <v>39310.3604166667</v>
      </c>
      <c r="U633" s="3" t="str">
        <f aca="false">IFERROR(IF(ISNUMBER(VALUE(TRIM(MID(A633,FIND("-",A633)+1,FIND("km",A633)-FIND("-",A633)-1)))),"Distance + direction + city","Named-region"),"Named-region")</f>
        <v>Distance + direction + city</v>
      </c>
      <c r="V633" s="3" t="str">
        <f aca="false">LOWER(M633)</f>
        <v>mwc</v>
      </c>
      <c r="W633" s="3" t="n">
        <f aca="false">COUNTIFS($A$2:$A$1001,A633,$C$2:$C$1001,C633)</f>
        <v>1</v>
      </c>
      <c r="X633" s="3" t="str">
        <f aca="false">IF(W633&gt;1,"Duplicate","Unique")</f>
        <v>Unique</v>
      </c>
      <c r="Y633" s="3" t="str">
        <f aca="false">IF(B633&lt;6.5,"&lt;6.5",IF(B633&lt;7,"6.5–6.9",IF(B633&lt;7.5,"7.0–7.4",IF(B633&lt;8,"7.5–7.9","8.0+"))))</f>
        <v>6.5–6.9</v>
      </c>
      <c r="Z633" s="3" t="n">
        <f aca="false">IF(T633="","",YEAR(T633))</f>
        <v>2007</v>
      </c>
    </row>
    <row r="634" customFormat="false" ht="13.8" hidden="false" customHeight="false" outlineLevel="0" collapsed="false">
      <c r="A634" s="3" t="s">
        <v>1677</v>
      </c>
      <c r="B634" s="3" t="n">
        <v>8</v>
      </c>
      <c r="C634" s="3" t="s">
        <v>1678</v>
      </c>
      <c r="D634" s="3" t="n">
        <v>9</v>
      </c>
      <c r="E634" s="3" t="n">
        <v>8</v>
      </c>
      <c r="F634" s="3"/>
      <c r="G634" s="3" t="n">
        <v>0</v>
      </c>
      <c r="H634" s="3" t="n">
        <v>1385</v>
      </c>
      <c r="I634" s="3" t="s">
        <v>22</v>
      </c>
      <c r="J634" s="3" t="n">
        <v>625</v>
      </c>
      <c r="K634" s="3" t="n">
        <v>0</v>
      </c>
      <c r="L634" s="3" t="n">
        <v>25.7</v>
      </c>
      <c r="M634" s="3" t="s">
        <v>127</v>
      </c>
      <c r="N634" s="3" t="n">
        <v>39</v>
      </c>
      <c r="O634" s="3" t="n">
        <v>-13.386</v>
      </c>
      <c r="P634" s="3" t="n">
        <v>-76.603</v>
      </c>
      <c r="Q634" s="3" t="s">
        <v>1679</v>
      </c>
      <c r="R634" s="3"/>
      <c r="S634" s="3" t="s">
        <v>199</v>
      </c>
      <c r="T634" s="5" t="n">
        <f aca="false">IF(C634="","",DATE(VALUE(MID(C634,7,4)),VALUE(MID(C634,4,2)),VALUE(MID(C634,1,2)))+TIME(VALUE(MID(C634,12,2)),VALUE(MID(C634,15,2)),0))</f>
        <v>39309.9861111111</v>
      </c>
      <c r="U634" s="3" t="str">
        <f aca="false">IFERROR(IF(ISNUMBER(VALUE(TRIM(MID(A634,FIND("-",A634)+1,FIND("km",A634)-FIND("-",A634)-1)))),"Distance + direction + city","Named-region"),"Named-region")</f>
        <v>Distance + direction + city</v>
      </c>
      <c r="V634" s="3" t="str">
        <f aca="false">LOWER(M634)</f>
        <v>mwc</v>
      </c>
      <c r="W634" s="3" t="n">
        <f aca="false">COUNTIFS($A$2:$A$1001,A634,$C$2:$C$1001,C634)</f>
        <v>1</v>
      </c>
      <c r="X634" s="3" t="str">
        <f aca="false">IF(W634&gt;1,"Duplicate","Unique")</f>
        <v>Unique</v>
      </c>
      <c r="Y634" s="3" t="str">
        <f aca="false">IF(B634&lt;6.5,"&lt;6.5",IF(B634&lt;7,"6.5–6.9",IF(B634&lt;7.5,"7.0–7.4",IF(B634&lt;8,"7.5–7.9","8.0+"))))</f>
        <v>8.0+</v>
      </c>
      <c r="Z634" s="3" t="n">
        <f aca="false">IF(T634="","",YEAR(T634))</f>
        <v>2007</v>
      </c>
    </row>
    <row r="635" customFormat="false" ht="13.8" hidden="false" customHeight="false" outlineLevel="0" collapsed="false">
      <c r="A635" s="3" t="s">
        <v>1680</v>
      </c>
      <c r="B635" s="3" t="n">
        <v>7.5</v>
      </c>
      <c r="C635" s="6" t="s">
        <v>1681</v>
      </c>
      <c r="D635" s="3" t="n">
        <v>0</v>
      </c>
      <c r="E635" s="3" t="n">
        <v>5</v>
      </c>
      <c r="F635" s="3"/>
      <c r="G635" s="3" t="n">
        <v>0</v>
      </c>
      <c r="H635" s="3" t="n">
        <v>865</v>
      </c>
      <c r="I635" s="3" t="s">
        <v>22</v>
      </c>
      <c r="J635" s="3" t="n">
        <v>228</v>
      </c>
      <c r="K635" s="3" t="n">
        <v>0</v>
      </c>
      <c r="L635" s="3" t="n">
        <v>30.7</v>
      </c>
      <c r="M635" s="3" t="s">
        <v>127</v>
      </c>
      <c r="N635" s="3" t="n">
        <v>280</v>
      </c>
      <c r="O635" s="3" t="n">
        <v>-5.859</v>
      </c>
      <c r="P635" s="3" t="n">
        <v>107.419</v>
      </c>
      <c r="Q635" s="3" t="s">
        <v>1682</v>
      </c>
      <c r="R635" s="3"/>
      <c r="S635" s="3" t="s">
        <v>68</v>
      </c>
      <c r="T635" s="5" t="n">
        <f aca="false">IF(C635="","",DATE(VALUE(MID(C635,7,4)),VALUE(MID(C635,4,2)),VALUE(MID(C635,1,2)))+TIME(VALUE(MID(C635,12,2)),VALUE(MID(C635,15,2)),0))</f>
        <v>39302.7118055556</v>
      </c>
      <c r="U635" s="3" t="str">
        <f aca="false">IFERROR(IF(ISNUMBER(VALUE(TRIM(MID(A635,FIND("-",A635)+1,FIND("km",A635)-FIND("-",A635)-1)))),"Distance + direction + city","Named-region"),"Named-region")</f>
        <v>Distance + direction + city</v>
      </c>
      <c r="V635" s="3" t="str">
        <f aca="false">LOWER(M635)</f>
        <v>mwc</v>
      </c>
      <c r="W635" s="3" t="n">
        <f aca="false">COUNTIFS($A$2:$A$1001,A635,$C$2:$C$1001,C635)</f>
        <v>1</v>
      </c>
      <c r="X635" s="3" t="str">
        <f aca="false">IF(W635&gt;1,"Duplicate","Unique")</f>
        <v>Unique</v>
      </c>
      <c r="Y635" s="3" t="str">
        <f aca="false">IF(B635&lt;6.5,"&lt;6.5",IF(B635&lt;7,"6.5–6.9",IF(B635&lt;7.5,"7.0–7.4",IF(B635&lt;8,"7.5–7.9","8.0+"))))</f>
        <v>7.5–7.9</v>
      </c>
      <c r="Z635" s="3" t="n">
        <f aca="false">IF(T635="","",YEAR(T635))</f>
        <v>2007</v>
      </c>
    </row>
    <row r="636" customFormat="false" ht="13.8" hidden="false" customHeight="false" outlineLevel="0" collapsed="false">
      <c r="A636" s="3" t="s">
        <v>1683</v>
      </c>
      <c r="B636" s="3" t="n">
        <v>7.2</v>
      </c>
      <c r="C636" s="6" t="s">
        <v>1684</v>
      </c>
      <c r="D636" s="3" t="n">
        <v>7</v>
      </c>
      <c r="E636" s="3" t="n">
        <v>7</v>
      </c>
      <c r="F636" s="3"/>
      <c r="G636" s="3" t="n">
        <v>0</v>
      </c>
      <c r="H636" s="3" t="n">
        <v>803</v>
      </c>
      <c r="I636" s="3" t="s">
        <v>22</v>
      </c>
      <c r="J636" s="3" t="n">
        <v>494</v>
      </c>
      <c r="K636" s="3" t="n">
        <v>0</v>
      </c>
      <c r="L636" s="3" t="n">
        <v>20.4</v>
      </c>
      <c r="M636" s="3" t="s">
        <v>154</v>
      </c>
      <c r="N636" s="3" t="n">
        <v>120</v>
      </c>
      <c r="O636" s="3" t="n">
        <v>-15.595</v>
      </c>
      <c r="P636" s="3" t="n">
        <v>167.68</v>
      </c>
      <c r="Q636" s="3" t="s">
        <v>1685</v>
      </c>
      <c r="R636" s="3"/>
      <c r="S636" s="3" t="s">
        <v>25</v>
      </c>
      <c r="T636" s="5" t="n">
        <f aca="false">IF(C636="","",DATE(VALUE(MID(C636,7,4)),VALUE(MID(C636,4,2)),VALUE(MID(C636,1,2)))+TIME(VALUE(MID(C636,12,2)),VALUE(MID(C636,15,2)),0))</f>
        <v>39295.7138888889</v>
      </c>
      <c r="U636" s="3" t="str">
        <f aca="false">IFERROR(IF(ISNUMBER(VALUE(TRIM(MID(A636,FIND("-",A636)+1,FIND("km",A636)-FIND("-",A636)-1)))),"Distance + direction + city","Named-region"),"Named-region")</f>
        <v>Distance + direction + city</v>
      </c>
      <c r="V636" s="3" t="str">
        <f aca="false">LOWER(M636)</f>
        <v>mwb</v>
      </c>
      <c r="W636" s="3" t="n">
        <f aca="false">COUNTIFS($A$2:$A$1001,A636,$C$2:$C$1001,C636)</f>
        <v>1</v>
      </c>
      <c r="X636" s="3" t="str">
        <f aca="false">IF(W636&gt;1,"Duplicate","Unique")</f>
        <v>Unique</v>
      </c>
      <c r="Y636" s="3" t="str">
        <f aca="false">IF(B636&lt;6.5,"&lt;6.5",IF(B636&lt;7,"6.5–6.9",IF(B636&lt;7.5,"7.0–7.4",IF(B636&lt;8,"7.5–7.9","8.0+"))))</f>
        <v>7.0–7.4</v>
      </c>
      <c r="Z636" s="3" t="n">
        <f aca="false">IF(T636="","",YEAR(T636))</f>
        <v>2007</v>
      </c>
    </row>
    <row r="637" customFormat="false" ht="13.8" hidden="false" customHeight="false" outlineLevel="0" collapsed="false">
      <c r="A637" s="3" t="s">
        <v>1686</v>
      </c>
      <c r="B637" s="3" t="n">
        <v>6.9</v>
      </c>
      <c r="C637" s="3" t="s">
        <v>1687</v>
      </c>
      <c r="D637" s="3" t="n">
        <v>3</v>
      </c>
      <c r="E637" s="3" t="n">
        <v>5</v>
      </c>
      <c r="F637" s="3"/>
      <c r="G637" s="3" t="n">
        <v>0</v>
      </c>
      <c r="H637" s="3" t="n">
        <v>734</v>
      </c>
      <c r="I637" s="3" t="s">
        <v>22</v>
      </c>
      <c r="J637" s="3" t="n">
        <v>374</v>
      </c>
      <c r="K637" s="3" t="n">
        <v>0</v>
      </c>
      <c r="L637" s="3" t="n">
        <v>24.1</v>
      </c>
      <c r="M637" s="3" t="s">
        <v>154</v>
      </c>
      <c r="N637" s="3" t="n">
        <v>25</v>
      </c>
      <c r="O637" s="3" t="n">
        <v>2.872</v>
      </c>
      <c r="P637" s="3" t="n">
        <v>127.464</v>
      </c>
      <c r="Q637" s="3" t="s">
        <v>128</v>
      </c>
      <c r="R637" s="3"/>
      <c r="S637" s="3" t="s">
        <v>68</v>
      </c>
      <c r="T637" s="5" t="n">
        <f aca="false">IF(C637="","",DATE(VALUE(MID(C637,7,4)),VALUE(MID(C637,4,2)),VALUE(MID(C637,1,2)))+TIME(VALUE(MID(C637,12,2)),VALUE(MID(C637,15,2)),0))</f>
        <v>39289.2361111111</v>
      </c>
      <c r="U637" s="3" t="str">
        <f aca="false">IFERROR(IF(ISNUMBER(VALUE(TRIM(MID(A637,FIND("-",A637)+1,FIND("km",A637)-FIND("-",A637)-1)))),"Distance + direction + city","Named-region"),"Named-region")</f>
        <v>Distance + direction + city</v>
      </c>
      <c r="V637" s="3" t="str">
        <f aca="false">LOWER(M637)</f>
        <v>mwb</v>
      </c>
      <c r="W637" s="3" t="n">
        <f aca="false">COUNTIFS($A$2:$A$1001,A637,$C$2:$C$1001,C637)</f>
        <v>1</v>
      </c>
      <c r="X637" s="3" t="str">
        <f aca="false">IF(W637&gt;1,"Duplicate","Unique")</f>
        <v>Unique</v>
      </c>
      <c r="Y637" s="3" t="str">
        <f aca="false">IF(B637&lt;6.5,"&lt;6.5",IF(B637&lt;7,"6.5–6.9",IF(B637&lt;7.5,"7.0–7.4",IF(B637&lt;8,"7.5–7.9","8.0+"))))</f>
        <v>6.5–6.9</v>
      </c>
      <c r="Z637" s="3" t="n">
        <f aca="false">IF(T637="","",YEAR(T637))</f>
        <v>2007</v>
      </c>
    </row>
    <row r="638" customFormat="false" ht="13.8" hidden="false" customHeight="false" outlineLevel="0" collapsed="false">
      <c r="A638" s="3" t="s">
        <v>1688</v>
      </c>
      <c r="B638" s="3" t="n">
        <v>6.8</v>
      </c>
      <c r="C638" s="3" t="s">
        <v>1689</v>
      </c>
      <c r="D638" s="3" t="n">
        <v>5</v>
      </c>
      <c r="E638" s="3" t="n">
        <v>4</v>
      </c>
      <c r="F638" s="3"/>
      <c r="G638" s="3" t="n">
        <v>0</v>
      </c>
      <c r="H638" s="3" t="n">
        <v>779</v>
      </c>
      <c r="I638" s="3" t="s">
        <v>22</v>
      </c>
      <c r="J638" s="3" t="n">
        <v>664</v>
      </c>
      <c r="K638" s="3" t="n">
        <v>0</v>
      </c>
      <c r="L638" s="3" t="n">
        <v>18.2</v>
      </c>
      <c r="M638" s="3" t="s">
        <v>154</v>
      </c>
      <c r="N638" s="3" t="n">
        <v>350.4</v>
      </c>
      <c r="O638" s="3" t="n">
        <v>36.808</v>
      </c>
      <c r="P638" s="3" t="n">
        <v>134.85</v>
      </c>
      <c r="Q638" s="3" t="s">
        <v>1690</v>
      </c>
      <c r="R638" s="3"/>
      <c r="S638" s="3"/>
      <c r="T638" s="5" t="n">
        <f aca="false">IF(C638="","",DATE(VALUE(MID(C638,7,4)),VALUE(MID(C638,4,2)),VALUE(MID(C638,1,2)))+TIME(VALUE(MID(C638,12,2)),VALUE(MID(C638,15,2)),0))</f>
        <v>39279.5951388889</v>
      </c>
      <c r="U638" s="3" t="str">
        <f aca="false">IFERROR(IF(ISNUMBER(VALUE(TRIM(MID(A638,FIND("-",A638)+1,FIND("km",A638)-FIND("-",A638)-1)))),"Distance + direction + city","Named-region"),"Named-region")</f>
        <v>Distance + direction + city</v>
      </c>
      <c r="V638" s="3" t="str">
        <f aca="false">LOWER(M638)</f>
        <v>mwb</v>
      </c>
      <c r="W638" s="3" t="n">
        <f aca="false">COUNTIFS($A$2:$A$1001,A638,$C$2:$C$1001,C638)</f>
        <v>1</v>
      </c>
      <c r="X638" s="3" t="str">
        <f aca="false">IF(W638&gt;1,"Duplicate","Unique")</f>
        <v>Unique</v>
      </c>
      <c r="Y638" s="3" t="str">
        <f aca="false">IF(B638&lt;6.5,"&lt;6.5",IF(B638&lt;7,"6.5–6.9",IF(B638&lt;7.5,"7.0–7.4",IF(B638&lt;8,"7.5–7.9","8.0+"))))</f>
        <v>6.5–6.9</v>
      </c>
      <c r="Z638" s="3" t="n">
        <f aca="false">IF(T638="","",YEAR(T638))</f>
        <v>2007</v>
      </c>
    </row>
    <row r="639" customFormat="false" ht="13.8" hidden="false" customHeight="false" outlineLevel="0" collapsed="false">
      <c r="A639" s="3" t="s">
        <v>1691</v>
      </c>
      <c r="B639" s="3" t="n">
        <v>6.6</v>
      </c>
      <c r="C639" s="3" t="s">
        <v>1692</v>
      </c>
      <c r="D639" s="3" t="n">
        <v>8</v>
      </c>
      <c r="E639" s="3" t="n">
        <v>8</v>
      </c>
      <c r="F639" s="3"/>
      <c r="G639" s="3" t="n">
        <v>0</v>
      </c>
      <c r="H639" s="3" t="n">
        <v>831</v>
      </c>
      <c r="I639" s="3" t="s">
        <v>22</v>
      </c>
      <c r="J639" s="3" t="n">
        <v>782</v>
      </c>
      <c r="K639" s="3" t="n">
        <v>0</v>
      </c>
      <c r="L639" s="3" t="n">
        <v>16.7</v>
      </c>
      <c r="M639" s="3" t="s">
        <v>127</v>
      </c>
      <c r="N639" s="3" t="n">
        <v>12</v>
      </c>
      <c r="O639" s="3" t="n">
        <v>37.535</v>
      </c>
      <c r="P639" s="3" t="n">
        <v>138.446</v>
      </c>
      <c r="Q639" s="3" t="s">
        <v>1693</v>
      </c>
      <c r="R639" s="3" t="s">
        <v>80</v>
      </c>
      <c r="S639" s="3" t="s">
        <v>322</v>
      </c>
      <c r="T639" s="5" t="n">
        <f aca="false">IF(C639="","",DATE(VALUE(MID(C639,7,4)),VALUE(MID(C639,4,2)),VALUE(MID(C639,1,2)))+TIME(VALUE(MID(C639,12,2)),VALUE(MID(C639,15,2)),0))</f>
        <v>39279.0506944444</v>
      </c>
      <c r="U639" s="3" t="str">
        <f aca="false">IFERROR(IF(ISNUMBER(VALUE(TRIM(MID(A639,FIND("-",A639)+1,FIND("km",A639)-FIND("-",A639)-1)))),"Distance + direction + city","Named-region"),"Named-region")</f>
        <v>Distance + direction + city</v>
      </c>
      <c r="V639" s="3" t="str">
        <f aca="false">LOWER(M639)</f>
        <v>mwc</v>
      </c>
      <c r="W639" s="3" t="n">
        <f aca="false">COUNTIFS($A$2:$A$1001,A639,$C$2:$C$1001,C639)</f>
        <v>1</v>
      </c>
      <c r="X639" s="3" t="str">
        <f aca="false">IF(W639&gt;1,"Duplicate","Unique")</f>
        <v>Unique</v>
      </c>
      <c r="Y639" s="3" t="str">
        <f aca="false">IF(B639&lt;6.5,"&lt;6.5",IF(B639&lt;7,"6.5–6.9",IF(B639&lt;7.5,"7.0–7.4",IF(B639&lt;8,"7.5–7.9","8.0+"))))</f>
        <v>6.5–6.9</v>
      </c>
      <c r="Z639" s="3" t="n">
        <f aca="false">IF(T639="","",YEAR(T639))</f>
        <v>2007</v>
      </c>
    </row>
    <row r="640" customFormat="false" ht="13.8" hidden="false" customHeight="false" outlineLevel="0" collapsed="false">
      <c r="A640" s="3" t="s">
        <v>1694</v>
      </c>
      <c r="B640" s="3" t="n">
        <v>6.7</v>
      </c>
      <c r="C640" s="3" t="s">
        <v>1695</v>
      </c>
      <c r="D640" s="3" t="n">
        <v>6</v>
      </c>
      <c r="E640" s="3" t="n">
        <v>6</v>
      </c>
      <c r="F640" s="3"/>
      <c r="G640" s="3" t="n">
        <v>0</v>
      </c>
      <c r="H640" s="3" t="n">
        <v>972</v>
      </c>
      <c r="I640" s="3" t="s">
        <v>22</v>
      </c>
      <c r="J640" s="3" t="n">
        <v>468</v>
      </c>
      <c r="K640" s="3" t="n">
        <v>0</v>
      </c>
      <c r="L640" s="3" t="n">
        <v>37.7</v>
      </c>
      <c r="M640" s="3" t="s">
        <v>127</v>
      </c>
      <c r="N640" s="3" t="n">
        <v>23</v>
      </c>
      <c r="O640" s="3" t="n">
        <v>13.554</v>
      </c>
      <c r="P640" s="3" t="n">
        <v>-90.618</v>
      </c>
      <c r="Q640" s="3" t="s">
        <v>1696</v>
      </c>
      <c r="R640" s="3"/>
      <c r="S640" s="3"/>
      <c r="T640" s="5" t="n">
        <f aca="false">IF(C640="","",DATE(VALUE(MID(C640,7,4)),VALUE(MID(C640,4,2)),VALUE(MID(C640,1,2)))+TIME(VALUE(MID(C640,12,2)),VALUE(MID(C640,15,2)),0))</f>
        <v>39246.8118055556</v>
      </c>
      <c r="U640" s="3" t="str">
        <f aca="false">IFERROR(IF(ISNUMBER(VALUE(TRIM(MID(A640,FIND("-",A640)+1,FIND("km",A640)-FIND("-",A640)-1)))),"Distance + direction + city","Named-region"),"Named-region")</f>
        <v>Distance + direction + city</v>
      </c>
      <c r="V640" s="3" t="str">
        <f aca="false">LOWER(M640)</f>
        <v>mwc</v>
      </c>
      <c r="W640" s="3" t="n">
        <f aca="false">COUNTIFS($A$2:$A$1001,A640,$C$2:$C$1001,C640)</f>
        <v>1</v>
      </c>
      <c r="X640" s="3" t="str">
        <f aca="false">IF(W640&gt;1,"Duplicate","Unique")</f>
        <v>Unique</v>
      </c>
      <c r="Y640" s="3" t="str">
        <f aca="false">IF(B640&lt;6.5,"&lt;6.5",IF(B640&lt;7,"6.5–6.9",IF(B640&lt;7.5,"7.0–7.4",IF(B640&lt;8,"7.5–7.9","8.0+"))))</f>
        <v>6.5–6.9</v>
      </c>
      <c r="Z640" s="3" t="n">
        <f aca="false">IF(T640="","",YEAR(T640))</f>
        <v>2007</v>
      </c>
    </row>
    <row r="641" customFormat="false" ht="13.8" hidden="false" customHeight="false" outlineLevel="0" collapsed="false">
      <c r="A641" s="3" t="s">
        <v>1697</v>
      </c>
      <c r="B641" s="3" t="n">
        <v>6.9</v>
      </c>
      <c r="C641" s="6" t="s">
        <v>1698</v>
      </c>
      <c r="D641" s="3" t="n">
        <v>0</v>
      </c>
      <c r="E641" s="3" t="n">
        <v>7</v>
      </c>
      <c r="F641" s="3"/>
      <c r="G641" s="3" t="n">
        <v>0</v>
      </c>
      <c r="H641" s="3" t="n">
        <v>732</v>
      </c>
      <c r="I641" s="3" t="s">
        <v>22</v>
      </c>
      <c r="J641" s="3" t="n">
        <v>305</v>
      </c>
      <c r="K641" s="3" t="n">
        <v>0</v>
      </c>
      <c r="L641" s="3" t="n">
        <v>15.3</v>
      </c>
      <c r="M641" s="3" t="s">
        <v>127</v>
      </c>
      <c r="N641" s="3" t="n">
        <v>10</v>
      </c>
      <c r="O641" s="3" t="n">
        <v>-7.306</v>
      </c>
      <c r="P641" s="3" t="n">
        <v>155.741</v>
      </c>
      <c r="Q641" s="3" t="s">
        <v>736</v>
      </c>
      <c r="R641" s="3"/>
      <c r="S641" s="3" t="s">
        <v>140</v>
      </c>
      <c r="T641" s="5" t="n">
        <f aca="false">IF(C641="","",DATE(VALUE(MID(C641,7,4)),VALUE(MID(C641,4,2)),VALUE(MID(C641,1,2)))+TIME(VALUE(MID(C641,12,2)),VALUE(MID(C641,15,2)),0))</f>
        <v>39173.8826388889</v>
      </c>
      <c r="U641" s="3" t="str">
        <f aca="false">IFERROR(IF(ISNUMBER(VALUE(TRIM(MID(A641,FIND("-",A641)+1,FIND("km",A641)-FIND("-",A641)-1)))),"Distance + direction + city","Named-region"),"Named-region")</f>
        <v>Distance + direction + city</v>
      </c>
      <c r="V641" s="3" t="str">
        <f aca="false">LOWER(M641)</f>
        <v>mwc</v>
      </c>
      <c r="W641" s="3" t="n">
        <f aca="false">COUNTIFS($A$2:$A$1001,A641,$C$2:$C$1001,C641)</f>
        <v>1</v>
      </c>
      <c r="X641" s="3" t="str">
        <f aca="false">IF(W641&gt;1,"Duplicate","Unique")</f>
        <v>Unique</v>
      </c>
      <c r="Y641" s="3" t="str">
        <f aca="false">IF(B641&lt;6.5,"&lt;6.5",IF(B641&lt;7,"6.5–6.9",IF(B641&lt;7.5,"7.0–7.4",IF(B641&lt;8,"7.5–7.9","8.0+"))))</f>
        <v>6.5–6.9</v>
      </c>
      <c r="Z641" s="3" t="n">
        <f aca="false">IF(T641="","",YEAR(T641))</f>
        <v>2007</v>
      </c>
    </row>
    <row r="642" customFormat="false" ht="13.8" hidden="false" customHeight="false" outlineLevel="0" collapsed="false">
      <c r="A642" s="3" t="s">
        <v>1699</v>
      </c>
      <c r="B642" s="3" t="n">
        <v>6.6</v>
      </c>
      <c r="C642" s="6" t="s">
        <v>1700</v>
      </c>
      <c r="D642" s="3" t="n">
        <v>0</v>
      </c>
      <c r="E642" s="3" t="n">
        <v>7</v>
      </c>
      <c r="F642" s="3"/>
      <c r="G642" s="3" t="n">
        <v>0</v>
      </c>
      <c r="H642" s="3" t="n">
        <v>670</v>
      </c>
      <c r="I642" s="3" t="s">
        <v>22</v>
      </c>
      <c r="J642" s="3" t="n">
        <v>251</v>
      </c>
      <c r="K642" s="3" t="n">
        <v>0</v>
      </c>
      <c r="L642" s="3" t="n">
        <v>16</v>
      </c>
      <c r="M642" s="3" t="s">
        <v>1374</v>
      </c>
      <c r="N642" s="3" t="n">
        <v>10</v>
      </c>
      <c r="O642" s="3" t="n">
        <v>-7.169</v>
      </c>
      <c r="P642" s="3" t="n">
        <v>155.777</v>
      </c>
      <c r="Q642" s="3" t="s">
        <v>736</v>
      </c>
      <c r="R642" s="3"/>
      <c r="S642" s="3" t="s">
        <v>140</v>
      </c>
      <c r="T642" s="5" t="n">
        <f aca="false">IF(C642="","",DATE(VALUE(MID(C642,7,4)),VALUE(MID(C642,4,2)),VALUE(MID(C642,1,2)))+TIME(VALUE(MID(C642,12,2)),VALUE(MID(C642,15,2)),0))</f>
        <v>39173.8659722222</v>
      </c>
      <c r="U642" s="3" t="str">
        <f aca="false">IFERROR(IF(ISNUMBER(VALUE(TRIM(MID(A642,FIND("-",A642)+1,FIND("km",A642)-FIND("-",A642)-1)))),"Distance + direction + city","Named-region"),"Named-region")</f>
        <v>Distance + direction + city</v>
      </c>
      <c r="V642" s="3" t="str">
        <f aca="false">LOWER(M642)</f>
        <v>mb</v>
      </c>
      <c r="W642" s="3" t="n">
        <f aca="false">COUNTIFS($A$2:$A$1001,A642,$C$2:$C$1001,C642)</f>
        <v>1</v>
      </c>
      <c r="X642" s="3" t="str">
        <f aca="false">IF(W642&gt;1,"Duplicate","Unique")</f>
        <v>Unique</v>
      </c>
      <c r="Y642" s="3" t="str">
        <f aca="false">IF(B642&lt;6.5,"&lt;6.5",IF(B642&lt;7,"6.5–6.9",IF(B642&lt;7.5,"7.0–7.4",IF(B642&lt;8,"7.5–7.9","8.0+"))))</f>
        <v>6.5–6.9</v>
      </c>
      <c r="Z642" s="3" t="n">
        <f aca="false">IF(T642="","",YEAR(T642))</f>
        <v>2007</v>
      </c>
    </row>
    <row r="643" customFormat="false" ht="13.8" hidden="false" customHeight="false" outlineLevel="0" collapsed="false">
      <c r="A643" s="3" t="s">
        <v>1701</v>
      </c>
      <c r="B643" s="3" t="n">
        <v>8.1</v>
      </c>
      <c r="C643" s="6" t="s">
        <v>1702</v>
      </c>
      <c r="D643" s="3" t="n">
        <v>9</v>
      </c>
      <c r="E643" s="3" t="n">
        <v>8</v>
      </c>
      <c r="F643" s="3"/>
      <c r="G643" s="3" t="n">
        <v>0</v>
      </c>
      <c r="H643" s="3" t="n">
        <v>1025</v>
      </c>
      <c r="I643" s="3" t="s">
        <v>22</v>
      </c>
      <c r="J643" s="3" t="n">
        <v>439</v>
      </c>
      <c r="K643" s="3" t="n">
        <v>0</v>
      </c>
      <c r="L643" s="3" t="n">
        <v>14.7</v>
      </c>
      <c r="M643" s="3" t="s">
        <v>127</v>
      </c>
      <c r="N643" s="3" t="n">
        <v>24</v>
      </c>
      <c r="O643" s="3" t="n">
        <v>-8.466</v>
      </c>
      <c r="P643" s="3" t="n">
        <v>157.043</v>
      </c>
      <c r="Q643" s="3" t="s">
        <v>921</v>
      </c>
      <c r="R643" s="3"/>
      <c r="S643" s="3" t="s">
        <v>140</v>
      </c>
      <c r="T643" s="5" t="n">
        <f aca="false">IF(C643="","",DATE(VALUE(MID(C643,7,4)),VALUE(MID(C643,4,2)),VALUE(MID(C643,1,2)))+TIME(VALUE(MID(C643,12,2)),VALUE(MID(C643,15,2)),0))</f>
        <v>39173.8604166667</v>
      </c>
      <c r="U643" s="3" t="str">
        <f aca="false">IFERROR(IF(ISNUMBER(VALUE(TRIM(MID(A643,FIND("-",A643)+1,FIND("km",A643)-FIND("-",A643)-1)))),"Distance + direction + city","Named-region"),"Named-region")</f>
        <v>Distance + direction + city</v>
      </c>
      <c r="V643" s="3" t="str">
        <f aca="false">LOWER(M643)</f>
        <v>mwc</v>
      </c>
      <c r="W643" s="3" t="n">
        <f aca="false">COUNTIFS($A$2:$A$1001,A643,$C$2:$C$1001,C643)</f>
        <v>1</v>
      </c>
      <c r="X643" s="3" t="str">
        <f aca="false">IF(W643&gt;1,"Duplicate","Unique")</f>
        <v>Unique</v>
      </c>
      <c r="Y643" s="3" t="str">
        <f aca="false">IF(B643&lt;6.5,"&lt;6.5",IF(B643&lt;7,"6.5–6.9",IF(B643&lt;7.5,"7.0–7.4",IF(B643&lt;8,"7.5–7.9","8.0+"))))</f>
        <v>8.0+</v>
      </c>
      <c r="Z643" s="3" t="n">
        <f aca="false">IF(T643="","",YEAR(T643))</f>
        <v>2007</v>
      </c>
    </row>
    <row r="644" customFormat="false" ht="13.8" hidden="false" customHeight="false" outlineLevel="0" collapsed="false">
      <c r="A644" s="3" t="s">
        <v>1703</v>
      </c>
      <c r="B644" s="3" t="n">
        <v>6.7</v>
      </c>
      <c r="C644" s="3" t="s">
        <v>1704</v>
      </c>
      <c r="D644" s="3" t="n">
        <v>7</v>
      </c>
      <c r="E644" s="3" t="n">
        <v>8</v>
      </c>
      <c r="F644" s="3"/>
      <c r="G644" s="3" t="n">
        <v>0</v>
      </c>
      <c r="H644" s="3" t="n">
        <v>782</v>
      </c>
      <c r="I644" s="3" t="s">
        <v>22</v>
      </c>
      <c r="J644" s="3" t="n">
        <v>493</v>
      </c>
      <c r="K644" s="3" t="n">
        <v>0</v>
      </c>
      <c r="L644" s="3" t="n">
        <v>23.9</v>
      </c>
      <c r="M644" s="3" t="s">
        <v>127</v>
      </c>
      <c r="N644" s="3" t="n">
        <v>8</v>
      </c>
      <c r="O644" s="3" t="n">
        <v>37.336</v>
      </c>
      <c r="P644" s="3" t="n">
        <v>136.588</v>
      </c>
      <c r="Q644" s="3" t="s">
        <v>1705</v>
      </c>
      <c r="R644" s="3" t="s">
        <v>80</v>
      </c>
      <c r="S644" s="3" t="s">
        <v>322</v>
      </c>
      <c r="T644" s="5" t="n">
        <f aca="false">IF(C644="","",DATE(VALUE(MID(C644,7,4)),VALUE(MID(C644,4,2)),VALUE(MID(C644,1,2)))+TIME(VALUE(MID(C644,12,2)),VALUE(MID(C644,15,2)),0))</f>
        <v>39166.0284722222</v>
      </c>
      <c r="U644" s="3" t="str">
        <f aca="false">IFERROR(IF(ISNUMBER(VALUE(TRIM(MID(A644,FIND("-",A644)+1,FIND("km",A644)-FIND("-",A644)-1)))),"Distance + direction + city","Named-region"),"Named-region")</f>
        <v>Distance + direction + city</v>
      </c>
      <c r="V644" s="3" t="str">
        <f aca="false">LOWER(M644)</f>
        <v>mwc</v>
      </c>
      <c r="W644" s="3" t="n">
        <f aca="false">COUNTIFS($A$2:$A$1001,A644,$C$2:$C$1001,C644)</f>
        <v>1</v>
      </c>
      <c r="X644" s="3" t="str">
        <f aca="false">IF(W644&gt;1,"Duplicate","Unique")</f>
        <v>Unique</v>
      </c>
      <c r="Y644" s="3" t="str">
        <f aca="false">IF(B644&lt;6.5,"&lt;6.5",IF(B644&lt;7,"6.5–6.9",IF(B644&lt;7.5,"7.0–7.4",IF(B644&lt;8,"7.5–7.9","8.0+"))))</f>
        <v>6.5–6.9</v>
      </c>
      <c r="Z644" s="3" t="n">
        <f aca="false">IF(T644="","",YEAR(T644))</f>
        <v>2007</v>
      </c>
    </row>
    <row r="645" customFormat="false" ht="13.8" hidden="false" customHeight="false" outlineLevel="0" collapsed="false">
      <c r="A645" s="3" t="s">
        <v>1706</v>
      </c>
      <c r="B645" s="3" t="n">
        <v>7.1</v>
      </c>
      <c r="C645" s="3" t="s">
        <v>1707</v>
      </c>
      <c r="D645" s="3" t="n">
        <v>3</v>
      </c>
      <c r="E645" s="3" t="n">
        <v>6</v>
      </c>
      <c r="F645" s="3"/>
      <c r="G645" s="3" t="n">
        <v>0</v>
      </c>
      <c r="H645" s="3" t="n">
        <v>779</v>
      </c>
      <c r="I645" s="3" t="s">
        <v>22</v>
      </c>
      <c r="J645" s="3" t="n">
        <v>426</v>
      </c>
      <c r="K645" s="3" t="n">
        <v>0</v>
      </c>
      <c r="L645" s="3" t="n">
        <v>25.3</v>
      </c>
      <c r="M645" s="3" t="s">
        <v>154</v>
      </c>
      <c r="N645" s="3" t="n">
        <v>34</v>
      </c>
      <c r="O645" s="3" t="n">
        <v>-20.617</v>
      </c>
      <c r="P645" s="3" t="n">
        <v>169.357</v>
      </c>
      <c r="Q645" s="3" t="s">
        <v>177</v>
      </c>
      <c r="R645" s="3"/>
      <c r="S645" s="3"/>
      <c r="T645" s="5" t="n">
        <f aca="false">IF(C645="","",DATE(VALUE(MID(C645,7,4)),VALUE(MID(C645,4,2)),VALUE(MID(C645,1,2)))+TIME(VALUE(MID(C645,12,2)),VALUE(MID(C645,15,2)),0))</f>
        <v>39166.0277777778</v>
      </c>
      <c r="U645" s="3" t="str">
        <f aca="false">IFERROR(IF(ISNUMBER(VALUE(TRIM(MID(A645,FIND("-",A645)+1,FIND("km",A645)-FIND("-",A645)-1)))),"Distance + direction + city","Named-region"),"Named-region")</f>
        <v>Distance + direction + city</v>
      </c>
      <c r="V645" s="3" t="str">
        <f aca="false">LOWER(M645)</f>
        <v>mwb</v>
      </c>
      <c r="W645" s="3" t="n">
        <f aca="false">COUNTIFS($A$2:$A$1001,A645,$C$2:$C$1001,C645)</f>
        <v>1</v>
      </c>
      <c r="X645" s="3" t="str">
        <f aca="false">IF(W645&gt;1,"Duplicate","Unique")</f>
        <v>Unique</v>
      </c>
      <c r="Y645" s="3" t="str">
        <f aca="false">IF(B645&lt;6.5,"&lt;6.5",IF(B645&lt;7,"6.5–6.9",IF(B645&lt;7.5,"7.0–7.4",IF(B645&lt;8,"7.5–7.9","8.0+"))))</f>
        <v>7.0–7.4</v>
      </c>
      <c r="Z645" s="3" t="n">
        <f aca="false">IF(T645="","",YEAR(T645))</f>
        <v>2007</v>
      </c>
    </row>
    <row r="646" customFormat="false" ht="13.8" hidden="false" customHeight="false" outlineLevel="0" collapsed="false">
      <c r="A646" s="3" t="s">
        <v>1708</v>
      </c>
      <c r="B646" s="3" t="n">
        <v>6.7</v>
      </c>
      <c r="C646" s="3" t="s">
        <v>1709</v>
      </c>
      <c r="D646" s="3" t="n">
        <v>0</v>
      </c>
      <c r="E646" s="3" t="n">
        <v>6</v>
      </c>
      <c r="F646" s="3"/>
      <c r="G646" s="3" t="n">
        <v>0</v>
      </c>
      <c r="H646" s="3" t="n">
        <v>691</v>
      </c>
      <c r="I646" s="3" t="s">
        <v>22</v>
      </c>
      <c r="J646" s="3" t="n">
        <v>253</v>
      </c>
      <c r="K646" s="3" t="n">
        <v>0</v>
      </c>
      <c r="L646" s="3" t="n">
        <v>40.3</v>
      </c>
      <c r="M646" s="3" t="s">
        <v>127</v>
      </c>
      <c r="N646" s="3" t="n">
        <v>12</v>
      </c>
      <c r="O646" s="3" t="n">
        <v>-1.034</v>
      </c>
      <c r="P646" s="3" t="n">
        <v>126.976</v>
      </c>
      <c r="Q646" s="3" t="s">
        <v>1710</v>
      </c>
      <c r="R646" s="3"/>
      <c r="S646" s="3" t="s">
        <v>68</v>
      </c>
      <c r="T646" s="5" t="n">
        <f aca="false">IF(C646="","",DATE(VALUE(MID(C646,7,4)),VALUE(MID(C646,4,2)),VALUE(MID(C646,1,2)))+TIME(VALUE(MID(C646,12,2)),VALUE(MID(C646,15,2)),0))</f>
        <v>39133.3361111111</v>
      </c>
      <c r="U646" s="3" t="str">
        <f aca="false">IFERROR(IF(ISNUMBER(VALUE(TRIM(MID(A646,FIND("-",A646)+1,FIND("km",A646)-FIND("-",A646)-1)))),"Distance + direction + city","Named-region"),"Named-region")</f>
        <v>Distance + direction + city</v>
      </c>
      <c r="V646" s="3" t="str">
        <f aca="false">LOWER(M646)</f>
        <v>mwc</v>
      </c>
      <c r="W646" s="3" t="n">
        <f aca="false">COUNTIFS($A$2:$A$1001,A646,$C$2:$C$1001,C646)</f>
        <v>1</v>
      </c>
      <c r="X646" s="3" t="str">
        <f aca="false">IF(W646&gt;1,"Duplicate","Unique")</f>
        <v>Unique</v>
      </c>
      <c r="Y646" s="3" t="str">
        <f aca="false">IF(B646&lt;6.5,"&lt;6.5",IF(B646&lt;7,"6.5–6.9",IF(B646&lt;7.5,"7.0–7.4",IF(B646&lt;8,"7.5–7.9","8.0+"))))</f>
        <v>6.5–6.9</v>
      </c>
      <c r="Z646" s="3" t="n">
        <f aca="false">IF(T646="","",YEAR(T646))</f>
        <v>2007</v>
      </c>
    </row>
    <row r="647" customFormat="false" ht="13.8" hidden="false" customHeight="false" outlineLevel="0" collapsed="false">
      <c r="A647" s="3" t="s">
        <v>1711</v>
      </c>
      <c r="B647" s="3" t="n">
        <v>7.5</v>
      </c>
      <c r="C647" s="3" t="s">
        <v>1712</v>
      </c>
      <c r="D647" s="3" t="n">
        <v>6</v>
      </c>
      <c r="E647" s="3" t="n">
        <v>5</v>
      </c>
      <c r="F647" s="3"/>
      <c r="G647" s="3" t="n">
        <v>0</v>
      </c>
      <c r="H647" s="3" t="n">
        <v>874</v>
      </c>
      <c r="I647" s="3" t="s">
        <v>22</v>
      </c>
      <c r="J647" s="3" t="n">
        <v>570</v>
      </c>
      <c r="K647" s="3" t="n">
        <v>0</v>
      </c>
      <c r="L647" s="3" t="n">
        <v>21.6</v>
      </c>
      <c r="M647" s="3" t="s">
        <v>127</v>
      </c>
      <c r="N647" s="3" t="n">
        <v>22</v>
      </c>
      <c r="O647" s="3" t="n">
        <v>1.065</v>
      </c>
      <c r="P647" s="3" t="n">
        <v>126.282</v>
      </c>
      <c r="Q647" s="3" t="s">
        <v>1002</v>
      </c>
      <c r="R647" s="3"/>
      <c r="S647" s="3" t="s">
        <v>68</v>
      </c>
      <c r="T647" s="5" t="n">
        <f aca="false">IF(C647="","",DATE(VALUE(MID(C647,7,4)),VALUE(MID(C647,4,2)),VALUE(MID(C647,1,2)))+TIME(VALUE(MID(C647,12,2)),VALUE(MID(C647,15,2)),0))</f>
        <v>39103.4770833333</v>
      </c>
      <c r="U647" s="3" t="str">
        <f aca="false">IFERROR(IF(ISNUMBER(VALUE(TRIM(MID(A647,FIND("-",A647)+1,FIND("km",A647)-FIND("-",A647)-1)))),"Distance + direction + city","Named-region"),"Named-region")</f>
        <v>Distance + direction + city</v>
      </c>
      <c r="V647" s="3" t="str">
        <f aca="false">LOWER(M647)</f>
        <v>mwc</v>
      </c>
      <c r="W647" s="3" t="n">
        <f aca="false">COUNTIFS($A$2:$A$1001,A647,$C$2:$C$1001,C647)</f>
        <v>1</v>
      </c>
      <c r="X647" s="3" t="str">
        <f aca="false">IF(W647&gt;1,"Duplicate","Unique")</f>
        <v>Unique</v>
      </c>
      <c r="Y647" s="3" t="str">
        <f aca="false">IF(B647&lt;6.5,"&lt;6.5",IF(B647&lt;7,"6.5–6.9",IF(B647&lt;7.5,"7.0–7.4",IF(B647&lt;8,"7.5–7.9","8.0+"))))</f>
        <v>7.5–7.9</v>
      </c>
      <c r="Z647" s="3" t="n">
        <f aca="false">IF(T647="","",YEAR(T647))</f>
        <v>2007</v>
      </c>
    </row>
    <row r="648" customFormat="false" ht="13.8" hidden="false" customHeight="false" outlineLevel="0" collapsed="false">
      <c r="A648" s="3" t="s">
        <v>1713</v>
      </c>
      <c r="B648" s="3" t="n">
        <v>8.1</v>
      </c>
      <c r="C648" s="3" t="s">
        <v>1714</v>
      </c>
      <c r="D648" s="3" t="n">
        <v>4</v>
      </c>
      <c r="E648" s="3" t="n">
        <v>5</v>
      </c>
      <c r="F648" s="3"/>
      <c r="G648" s="3" t="n">
        <v>0</v>
      </c>
      <c r="H648" s="3" t="n">
        <v>1034</v>
      </c>
      <c r="I648" s="3" t="s">
        <v>22</v>
      </c>
      <c r="J648" s="3" t="n">
        <v>606</v>
      </c>
      <c r="K648" s="3" t="n">
        <v>0</v>
      </c>
      <c r="L648" s="3" t="n">
        <v>14</v>
      </c>
      <c r="M648" s="3" t="s">
        <v>127</v>
      </c>
      <c r="N648" s="3" t="n">
        <v>10</v>
      </c>
      <c r="O648" s="3" t="n">
        <v>46.243</v>
      </c>
      <c r="P648" s="3" t="n">
        <v>154.524</v>
      </c>
      <c r="Q648" s="3" t="s">
        <v>1715</v>
      </c>
      <c r="R648" s="3"/>
      <c r="S648" s="3"/>
      <c r="T648" s="5" t="n">
        <f aca="false">IF(C648="","",DATE(VALUE(MID(C648,7,4)),VALUE(MID(C648,4,2)),VALUE(MID(C648,1,2)))+TIME(VALUE(MID(C648,12,2)),VALUE(MID(C648,15,2)),0))</f>
        <v>39095.1826388889</v>
      </c>
      <c r="U648" s="3" t="str">
        <f aca="false">IFERROR(IF(ISNUMBER(VALUE(TRIM(MID(A648,FIND("-",A648)+1,FIND("km",A648)-FIND("-",A648)-1)))),"Distance + direction + city","Named-region"),"Named-region")</f>
        <v>Named-region</v>
      </c>
      <c r="V648" s="3" t="str">
        <f aca="false">LOWER(M648)</f>
        <v>mwc</v>
      </c>
      <c r="W648" s="3" t="n">
        <f aca="false">COUNTIFS($A$2:$A$1001,A648,$C$2:$C$1001,C648)</f>
        <v>1</v>
      </c>
      <c r="X648" s="3" t="str">
        <f aca="false">IF(W648&gt;1,"Duplicate","Unique")</f>
        <v>Unique</v>
      </c>
      <c r="Y648" s="3" t="str">
        <f aca="false">IF(B648&lt;6.5,"&lt;6.5",IF(B648&lt;7,"6.5–6.9",IF(B648&lt;7.5,"7.0–7.4",IF(B648&lt;8,"7.5–7.9","8.0+"))))</f>
        <v>8.0+</v>
      </c>
      <c r="Z648" s="3" t="n">
        <f aca="false">IF(T648="","",YEAR(T648))</f>
        <v>2007</v>
      </c>
    </row>
    <row r="649" customFormat="false" ht="13.8" hidden="false" customHeight="false" outlineLevel="0" collapsed="false">
      <c r="A649" s="3" t="s">
        <v>1716</v>
      </c>
      <c r="B649" s="3" t="n">
        <v>6.9</v>
      </c>
      <c r="C649" s="3" t="s">
        <v>1717</v>
      </c>
      <c r="D649" s="3" t="n">
        <v>6</v>
      </c>
      <c r="E649" s="3" t="n">
        <v>7</v>
      </c>
      <c r="F649" s="3"/>
      <c r="G649" s="3" t="n">
        <v>0</v>
      </c>
      <c r="H649" s="3" t="n">
        <v>798</v>
      </c>
      <c r="I649" s="3" t="s">
        <v>22</v>
      </c>
      <c r="J649" s="3" t="n">
        <v>466</v>
      </c>
      <c r="K649" s="3" t="n">
        <v>0</v>
      </c>
      <c r="L649" s="3" t="n">
        <v>31.6</v>
      </c>
      <c r="M649" s="3" t="s">
        <v>127</v>
      </c>
      <c r="N649" s="3" t="n">
        <v>10</v>
      </c>
      <c r="O649" s="3" t="n">
        <v>21.974</v>
      </c>
      <c r="P649" s="3" t="n">
        <v>120.493</v>
      </c>
      <c r="Q649" s="3" t="s">
        <v>1718</v>
      </c>
      <c r="R649" s="3" t="s">
        <v>80</v>
      </c>
      <c r="S649" s="3" t="s">
        <v>171</v>
      </c>
      <c r="T649" s="5" t="n">
        <f aca="false">IF(C649="","",DATE(VALUE(MID(C649,7,4)),VALUE(MID(C649,4,2)),VALUE(MID(C649,1,2)))+TIME(VALUE(MID(C649,12,2)),VALUE(MID(C649,15,2)),0))</f>
        <v>39077.5236111111</v>
      </c>
      <c r="U649" s="3" t="str">
        <f aca="false">IFERROR(IF(ISNUMBER(VALUE(TRIM(MID(A649,FIND("-",A649)+1,FIND("km",A649)-FIND("-",A649)-1)))),"Distance + direction + city","Named-region"),"Named-region")</f>
        <v>Distance + direction + city</v>
      </c>
      <c r="V649" s="3" t="str">
        <f aca="false">LOWER(M649)</f>
        <v>mwc</v>
      </c>
      <c r="W649" s="3" t="n">
        <f aca="false">COUNTIFS($A$2:$A$1001,A649,$C$2:$C$1001,C649)</f>
        <v>1</v>
      </c>
      <c r="X649" s="3" t="str">
        <f aca="false">IF(W649&gt;1,"Duplicate","Unique")</f>
        <v>Unique</v>
      </c>
      <c r="Y649" s="3" t="str">
        <f aca="false">IF(B649&lt;6.5,"&lt;6.5",IF(B649&lt;7,"6.5–6.9",IF(B649&lt;7.5,"7.0–7.4",IF(B649&lt;8,"7.5–7.9","8.0+"))))</f>
        <v>6.5–6.9</v>
      </c>
      <c r="Z649" s="3" t="n">
        <f aca="false">IF(T649="","",YEAR(T649))</f>
        <v>2006</v>
      </c>
    </row>
    <row r="650" customFormat="false" ht="13.8" hidden="false" customHeight="false" outlineLevel="0" collapsed="false">
      <c r="A650" s="3" t="s">
        <v>1719</v>
      </c>
      <c r="B650" s="3" t="n">
        <v>7.1</v>
      </c>
      <c r="C650" s="3" t="s">
        <v>1720</v>
      </c>
      <c r="D650" s="3" t="n">
        <v>8</v>
      </c>
      <c r="E650" s="3" t="n">
        <v>7</v>
      </c>
      <c r="F650" s="3"/>
      <c r="G650" s="3" t="n">
        <v>0</v>
      </c>
      <c r="H650" s="3" t="n">
        <v>1023</v>
      </c>
      <c r="I650" s="3" t="s">
        <v>22</v>
      </c>
      <c r="J650" s="3" t="n">
        <v>744</v>
      </c>
      <c r="K650" s="3" t="n">
        <v>0</v>
      </c>
      <c r="L650" s="3" t="n">
        <v>29.1</v>
      </c>
      <c r="M650" s="3" t="s">
        <v>154</v>
      </c>
      <c r="N650" s="3" t="n">
        <v>10</v>
      </c>
      <c r="O650" s="3" t="n">
        <v>21.799</v>
      </c>
      <c r="P650" s="3" t="n">
        <v>120.547</v>
      </c>
      <c r="Q650" s="3" t="s">
        <v>1718</v>
      </c>
      <c r="R650" s="3" t="s">
        <v>80</v>
      </c>
      <c r="S650" s="3" t="s">
        <v>171</v>
      </c>
      <c r="T650" s="5" t="n">
        <f aca="false">IF(C650="","",DATE(VALUE(MID(C650,7,4)),VALUE(MID(C650,4,2)),VALUE(MID(C650,1,2)))+TIME(VALUE(MID(C650,12,2)),VALUE(MID(C650,15,2)),0))</f>
        <v>39077.5180555556</v>
      </c>
      <c r="U650" s="3" t="str">
        <f aca="false">IFERROR(IF(ISNUMBER(VALUE(TRIM(MID(A650,FIND("-",A650)+1,FIND("km",A650)-FIND("-",A650)-1)))),"Distance + direction + city","Named-region"),"Named-region")</f>
        <v>Distance + direction + city</v>
      </c>
      <c r="V650" s="3" t="str">
        <f aca="false">LOWER(M650)</f>
        <v>mwb</v>
      </c>
      <c r="W650" s="3" t="n">
        <f aca="false">COUNTIFS($A$2:$A$1001,A650,$C$2:$C$1001,C650)</f>
        <v>1</v>
      </c>
      <c r="X650" s="3" t="str">
        <f aca="false">IF(W650&gt;1,"Duplicate","Unique")</f>
        <v>Unique</v>
      </c>
      <c r="Y650" s="3" t="str">
        <f aca="false">IF(B650&lt;6.5,"&lt;6.5",IF(B650&lt;7,"6.5–6.9",IF(B650&lt;7.5,"7.0–7.4",IF(B650&lt;8,"7.5–7.9","8.0+"))))</f>
        <v>7.0–7.4</v>
      </c>
      <c r="Z650" s="3" t="n">
        <f aca="false">IF(T650="","",YEAR(T650))</f>
        <v>2006</v>
      </c>
    </row>
    <row r="651" customFormat="false" ht="13.8" hidden="false" customHeight="false" outlineLevel="0" collapsed="false">
      <c r="A651" s="3" t="s">
        <v>1721</v>
      </c>
      <c r="B651" s="3" t="n">
        <v>8.3</v>
      </c>
      <c r="C651" s="3" t="s">
        <v>1722</v>
      </c>
      <c r="D651" s="3" t="n">
        <v>4</v>
      </c>
      <c r="E651" s="3" t="n">
        <v>7</v>
      </c>
      <c r="F651" s="3"/>
      <c r="G651" s="3" t="n">
        <v>0</v>
      </c>
      <c r="H651" s="3" t="n">
        <v>1064</v>
      </c>
      <c r="I651" s="3" t="s">
        <v>22</v>
      </c>
      <c r="J651" s="3" t="n">
        <v>576</v>
      </c>
      <c r="K651" s="3" t="n">
        <v>0</v>
      </c>
      <c r="L651" s="3" t="n">
        <v>20.9</v>
      </c>
      <c r="M651" s="3" t="s">
        <v>127</v>
      </c>
      <c r="N651" s="3" t="n">
        <v>10</v>
      </c>
      <c r="O651" s="3" t="n">
        <v>46.592</v>
      </c>
      <c r="P651" s="3" t="n">
        <v>153.266</v>
      </c>
      <c r="Q651" s="3" t="s">
        <v>1723</v>
      </c>
      <c r="R651" s="3"/>
      <c r="S651" s="3"/>
      <c r="T651" s="5" t="n">
        <f aca="false">IF(C651="","",DATE(VALUE(MID(C651,7,4)),VALUE(MID(C651,4,2)),VALUE(MID(C651,1,2)))+TIME(VALUE(MID(C651,12,2)),VALUE(MID(C651,15,2)),0))</f>
        <v>39036.4680555556</v>
      </c>
      <c r="U651" s="3" t="str">
        <f aca="false">IFERROR(IF(ISNUMBER(VALUE(TRIM(MID(A651,FIND("-",A651)+1,FIND("km",A651)-FIND("-",A651)-1)))),"Distance + direction + city","Named-region"),"Named-region")</f>
        <v>Named-region</v>
      </c>
      <c r="V651" s="3" t="str">
        <f aca="false">LOWER(M651)</f>
        <v>mwc</v>
      </c>
      <c r="W651" s="3" t="n">
        <f aca="false">COUNTIFS($A$2:$A$1001,A651,$C$2:$C$1001,C651)</f>
        <v>1</v>
      </c>
      <c r="X651" s="3" t="str">
        <f aca="false">IF(W651&gt;1,"Duplicate","Unique")</f>
        <v>Unique</v>
      </c>
      <c r="Y651" s="3" t="str">
        <f aca="false">IF(B651&lt;6.5,"&lt;6.5",IF(B651&lt;7,"6.5–6.9",IF(B651&lt;7.5,"7.0–7.4",IF(B651&lt;8,"7.5–7.9","8.0+"))))</f>
        <v>8.0+</v>
      </c>
      <c r="Z651" s="3" t="n">
        <f aca="false">IF(T651="","",YEAR(T651))</f>
        <v>2006</v>
      </c>
    </row>
    <row r="652" customFormat="false" ht="13.8" hidden="false" customHeight="false" outlineLevel="0" collapsed="false">
      <c r="A652" s="3" t="s">
        <v>1724</v>
      </c>
      <c r="B652" s="3" t="n">
        <v>6.6</v>
      </c>
      <c r="C652" s="6" t="s">
        <v>1725</v>
      </c>
      <c r="D652" s="3" t="n">
        <v>0</v>
      </c>
      <c r="E652" s="3" t="n">
        <v>6</v>
      </c>
      <c r="F652" s="3"/>
      <c r="G652" s="3" t="n">
        <v>0</v>
      </c>
      <c r="H652" s="3" t="n">
        <v>670</v>
      </c>
      <c r="I652" s="3" t="s">
        <v>22</v>
      </c>
      <c r="J652" s="3" t="n">
        <v>352</v>
      </c>
      <c r="K652" s="3" t="n">
        <v>0</v>
      </c>
      <c r="L652" s="3" t="n">
        <v>18.6</v>
      </c>
      <c r="M652" s="3" t="s">
        <v>127</v>
      </c>
      <c r="N652" s="3" t="n">
        <v>11</v>
      </c>
      <c r="O652" s="3" t="n">
        <v>-6.482</v>
      </c>
      <c r="P652" s="3" t="n">
        <v>151.195</v>
      </c>
      <c r="Q652" s="3" t="s">
        <v>107</v>
      </c>
      <c r="R652" s="3"/>
      <c r="S652" s="3"/>
      <c r="T652" s="5" t="n">
        <f aca="false">IF(C652="","",DATE(VALUE(MID(C652,7,4)),VALUE(MID(C652,4,2)),VALUE(MID(C652,1,2)))+TIME(VALUE(MID(C652,12,2)),VALUE(MID(C652,15,2)),0))</f>
        <v>39028.7347222222</v>
      </c>
      <c r="U652" s="3" t="str">
        <f aca="false">IFERROR(IF(ISNUMBER(VALUE(TRIM(MID(A652,FIND("-",A652)+1,FIND("km",A652)-FIND("-",A652)-1)))),"Distance + direction + city","Named-region"),"Named-region")</f>
        <v>Distance + direction + city</v>
      </c>
      <c r="V652" s="3" t="str">
        <f aca="false">LOWER(M652)</f>
        <v>mwc</v>
      </c>
      <c r="W652" s="3" t="n">
        <f aca="false">COUNTIFS($A$2:$A$1001,A652,$C$2:$C$1001,C652)</f>
        <v>1</v>
      </c>
      <c r="X652" s="3" t="str">
        <f aca="false">IF(W652&gt;1,"Duplicate","Unique")</f>
        <v>Unique</v>
      </c>
      <c r="Y652" s="3" t="str">
        <f aca="false">IF(B652&lt;6.5,"&lt;6.5",IF(B652&lt;7,"6.5–6.9",IF(B652&lt;7.5,"7.0–7.4",IF(B652&lt;8,"7.5–7.9","8.0+"))))</f>
        <v>6.5–6.9</v>
      </c>
      <c r="Z652" s="3" t="n">
        <f aca="false">IF(T652="","",YEAR(T652))</f>
        <v>2006</v>
      </c>
    </row>
    <row r="653" customFormat="false" ht="13.8" hidden="false" customHeight="false" outlineLevel="0" collapsed="false">
      <c r="A653" s="3" t="s">
        <v>1726</v>
      </c>
      <c r="B653" s="3" t="n">
        <v>6.7</v>
      </c>
      <c r="C653" s="3" t="s">
        <v>1727</v>
      </c>
      <c r="D653" s="3" t="n">
        <v>5</v>
      </c>
      <c r="E653" s="3" t="n">
        <v>6</v>
      </c>
      <c r="F653" s="3"/>
      <c r="G653" s="3" t="n">
        <v>0</v>
      </c>
      <c r="H653" s="3" t="n">
        <v>732</v>
      </c>
      <c r="I653" s="3" t="s">
        <v>22</v>
      </c>
      <c r="J653" s="3" t="n">
        <v>444</v>
      </c>
      <c r="K653" s="3" t="n">
        <v>0</v>
      </c>
      <c r="L653" s="3" t="n">
        <v>53.4</v>
      </c>
      <c r="M653" s="3" t="s">
        <v>127</v>
      </c>
      <c r="N653" s="3" t="n">
        <v>23</v>
      </c>
      <c r="O653" s="3" t="n">
        <v>-13.457</v>
      </c>
      <c r="P653" s="3" t="n">
        <v>-76.677</v>
      </c>
      <c r="Q653" s="3" t="s">
        <v>1679</v>
      </c>
      <c r="R653" s="3"/>
      <c r="S653" s="3" t="s">
        <v>199</v>
      </c>
      <c r="T653" s="5" t="n">
        <f aca="false">IF(C653="","",DATE(VALUE(MID(C653,7,4)),VALUE(MID(C653,4,2)),VALUE(MID(C653,1,2)))+TIME(VALUE(MID(C653,12,2)),VALUE(MID(C653,15,2)),0))</f>
        <v>39010.45</v>
      </c>
      <c r="U653" s="3" t="str">
        <f aca="false">IFERROR(IF(ISNUMBER(VALUE(TRIM(MID(A653,FIND("-",A653)+1,FIND("km",A653)-FIND("-",A653)-1)))),"Distance + direction + city","Named-region"),"Named-region")</f>
        <v>Distance + direction + city</v>
      </c>
      <c r="V653" s="3" t="str">
        <f aca="false">LOWER(M653)</f>
        <v>mwc</v>
      </c>
      <c r="W653" s="3" t="n">
        <f aca="false">COUNTIFS($A$2:$A$1001,A653,$C$2:$C$1001,C653)</f>
        <v>1</v>
      </c>
      <c r="X653" s="3" t="str">
        <f aca="false">IF(W653&gt;1,"Duplicate","Unique")</f>
        <v>Unique</v>
      </c>
      <c r="Y653" s="3" t="str">
        <f aca="false">IF(B653&lt;6.5,"&lt;6.5",IF(B653&lt;7,"6.5–6.9",IF(B653&lt;7.5,"7.0–7.4",IF(B653&lt;8,"7.5–7.9","8.0+"))))</f>
        <v>6.5–6.9</v>
      </c>
      <c r="Z653" s="3" t="n">
        <f aca="false">IF(T653="","",YEAR(T653))</f>
        <v>2006</v>
      </c>
    </row>
    <row r="654" customFormat="false" ht="13.8" hidden="false" customHeight="false" outlineLevel="0" collapsed="false">
      <c r="A654" s="3" t="s">
        <v>1728</v>
      </c>
      <c r="B654" s="3" t="n">
        <v>6.7</v>
      </c>
      <c r="C654" s="3" t="s">
        <v>1729</v>
      </c>
      <c r="D654" s="3" t="n">
        <v>5</v>
      </c>
      <c r="E654" s="3" t="n">
        <v>6</v>
      </c>
      <c r="F654" s="3"/>
      <c r="G654" s="3" t="n">
        <v>0</v>
      </c>
      <c r="H654" s="3" t="n">
        <v>692</v>
      </c>
      <c r="I654" s="3" t="s">
        <v>22</v>
      </c>
      <c r="J654" s="3" t="n">
        <v>533</v>
      </c>
      <c r="K654" s="3" t="n">
        <v>0</v>
      </c>
      <c r="L654" s="3" t="n">
        <v>15.6</v>
      </c>
      <c r="M654" s="3" t="s">
        <v>127</v>
      </c>
      <c r="N654" s="3" t="n">
        <v>32</v>
      </c>
      <c r="O654" s="3" t="n">
        <v>-5.881</v>
      </c>
      <c r="P654" s="3" t="n">
        <v>150.982</v>
      </c>
      <c r="Q654" s="3" t="s">
        <v>107</v>
      </c>
      <c r="R654" s="3"/>
      <c r="S654" s="3" t="s">
        <v>85</v>
      </c>
      <c r="T654" s="5" t="n">
        <f aca="false">IF(C654="","",DATE(VALUE(MID(C654,7,4)),VALUE(MID(C654,4,2)),VALUE(MID(C654,1,2)))+TIME(VALUE(MID(C654,12,2)),VALUE(MID(C654,15,2)),0))</f>
        <v>39007.0590277778</v>
      </c>
      <c r="U654" s="3" t="str">
        <f aca="false">IFERROR(IF(ISNUMBER(VALUE(TRIM(MID(A654,FIND("-",A654)+1,FIND("km",A654)-FIND("-",A654)-1)))),"Distance + direction + city","Named-region"),"Named-region")</f>
        <v>Distance + direction + city</v>
      </c>
      <c r="V654" s="3" t="str">
        <f aca="false">LOWER(M654)</f>
        <v>mwc</v>
      </c>
      <c r="W654" s="3" t="n">
        <f aca="false">COUNTIFS($A$2:$A$1001,A654,$C$2:$C$1001,C654)</f>
        <v>1</v>
      </c>
      <c r="X654" s="3" t="str">
        <f aca="false">IF(W654&gt;1,"Duplicate","Unique")</f>
        <v>Unique</v>
      </c>
      <c r="Y654" s="3" t="str">
        <f aca="false">IF(B654&lt;6.5,"&lt;6.5",IF(B654&lt;7,"6.5–6.9",IF(B654&lt;7.5,"7.0–7.4",IF(B654&lt;8,"7.5–7.9","8.0+"))))</f>
        <v>6.5–6.9</v>
      </c>
      <c r="Z654" s="3" t="n">
        <f aca="false">IF(T654="","",YEAR(T654))</f>
        <v>2006</v>
      </c>
    </row>
    <row r="655" customFormat="false" ht="13.8" hidden="false" customHeight="false" outlineLevel="0" collapsed="false">
      <c r="A655" s="3" t="s">
        <v>1730</v>
      </c>
      <c r="B655" s="3" t="n">
        <v>6.7</v>
      </c>
      <c r="C655" s="3" t="s">
        <v>1731</v>
      </c>
      <c r="D655" s="3" t="n">
        <v>8</v>
      </c>
      <c r="E655" s="3" t="n">
        <v>9</v>
      </c>
      <c r="F655" s="3"/>
      <c r="G655" s="3" t="n">
        <v>0</v>
      </c>
      <c r="H655" s="3" t="n">
        <v>1481</v>
      </c>
      <c r="I655" s="3" t="s">
        <v>613</v>
      </c>
      <c r="J655" s="3" t="n">
        <v>43</v>
      </c>
      <c r="K655" s="3" t="n">
        <v>0</v>
      </c>
      <c r="L655" s="3" t="n">
        <v>124</v>
      </c>
      <c r="M655" s="3" t="s">
        <v>1732</v>
      </c>
      <c r="N655" s="3" t="n">
        <v>38.182</v>
      </c>
      <c r="O655" s="3" t="n">
        <v>19.877</v>
      </c>
      <c r="P655" s="3" t="n">
        <v>-155.935</v>
      </c>
      <c r="Q655" s="3" t="s">
        <v>1733</v>
      </c>
      <c r="R655" s="3"/>
      <c r="S655" s="3" t="s">
        <v>261</v>
      </c>
      <c r="T655" s="5" t="n">
        <f aca="false">IF(C655="","",DATE(VALUE(MID(C655,7,4)),VALUE(MID(C655,4,2)),VALUE(MID(C655,1,2)))+TIME(VALUE(MID(C655,12,2)),VALUE(MID(C655,15,2)),0))</f>
        <v>39005.7131944444</v>
      </c>
      <c r="U655" s="3" t="str">
        <f aca="false">IFERROR(IF(ISNUMBER(VALUE(TRIM(MID(A655,FIND("-",A655)+1,FIND("km",A655)-FIND("-",A655)-1)))),"Distance + direction + city","Named-region"),"Named-region")</f>
        <v>Distance + direction + city</v>
      </c>
      <c r="V655" s="3" t="str">
        <f aca="false">LOWER(M655)</f>
        <v>md</v>
      </c>
      <c r="W655" s="3" t="n">
        <f aca="false">COUNTIFS($A$2:$A$1001,A655,$C$2:$C$1001,C655)</f>
        <v>1</v>
      </c>
      <c r="X655" s="3" t="str">
        <f aca="false">IF(W655&gt;1,"Duplicate","Unique")</f>
        <v>Unique</v>
      </c>
      <c r="Y655" s="3" t="str">
        <f aca="false">IF(B655&lt;6.5,"&lt;6.5",IF(B655&lt;7,"6.5–6.9",IF(B655&lt;7.5,"7.0–7.4",IF(B655&lt;8,"7.5–7.9","8.0+"))))</f>
        <v>6.5–6.9</v>
      </c>
      <c r="Z655" s="3" t="n">
        <f aca="false">IF(T655="","",YEAR(T655))</f>
        <v>2006</v>
      </c>
    </row>
    <row r="656" customFormat="false" ht="13.8" hidden="false" customHeight="false" outlineLevel="0" collapsed="false">
      <c r="A656" s="3" t="s">
        <v>1734</v>
      </c>
      <c r="B656" s="3" t="n">
        <v>6.9</v>
      </c>
      <c r="C656" s="3" t="s">
        <v>1735</v>
      </c>
      <c r="D656" s="3" t="n">
        <v>3</v>
      </c>
      <c r="E656" s="3" t="n">
        <v>3</v>
      </c>
      <c r="F656" s="3"/>
      <c r="G656" s="3" t="n">
        <v>0</v>
      </c>
      <c r="H656" s="3" t="n">
        <v>737</v>
      </c>
      <c r="I656" s="3" t="s">
        <v>22</v>
      </c>
      <c r="J656" s="3" t="n">
        <v>702</v>
      </c>
      <c r="K656" s="3" t="n">
        <v>0</v>
      </c>
      <c r="L656" s="3" t="n">
        <v>20.9</v>
      </c>
      <c r="M656" s="3" t="s">
        <v>127</v>
      </c>
      <c r="N656" s="3" t="n">
        <v>28</v>
      </c>
      <c r="O656" s="3" t="n">
        <v>-16.592</v>
      </c>
      <c r="P656" s="3" t="n">
        <v>-172.033</v>
      </c>
      <c r="Q656" s="3" t="s">
        <v>62</v>
      </c>
      <c r="R656" s="3"/>
      <c r="S656" s="3"/>
      <c r="T656" s="5" t="n">
        <f aca="false">IF(C656="","",DATE(VALUE(MID(C656,7,4)),VALUE(MID(C656,4,2)),VALUE(MID(C656,1,2)))+TIME(VALUE(MID(C656,12,2)),VALUE(MID(C656,15,2)),0))</f>
        <v>38988.2652777778</v>
      </c>
      <c r="U656" s="3" t="str">
        <f aca="false">IFERROR(IF(ISNUMBER(VALUE(TRIM(MID(A656,FIND("-",A656)+1,FIND("km",A656)-FIND("-",A656)-1)))),"Distance + direction + city","Named-region"),"Named-region")</f>
        <v>Distance + direction + city</v>
      </c>
      <c r="V656" s="3" t="str">
        <f aca="false">LOWER(M656)</f>
        <v>mwc</v>
      </c>
      <c r="W656" s="3" t="n">
        <f aca="false">COUNTIFS($A$2:$A$1001,A656,$C$2:$C$1001,C656)</f>
        <v>1</v>
      </c>
      <c r="X656" s="3" t="str">
        <f aca="false">IF(W656&gt;1,"Duplicate","Unique")</f>
        <v>Unique</v>
      </c>
      <c r="Y656" s="3" t="str">
        <f aca="false">IF(B656&lt;6.5,"&lt;6.5",IF(B656&lt;7,"6.5–6.9",IF(B656&lt;7.5,"7.0–7.4",IF(B656&lt;8,"7.5–7.9","8.0+"))))</f>
        <v>6.5–6.9</v>
      </c>
      <c r="Z656" s="3" t="n">
        <f aca="false">IF(T656="","",YEAR(T656))</f>
        <v>2006</v>
      </c>
    </row>
    <row r="657" customFormat="false" ht="13.8" hidden="false" customHeight="false" outlineLevel="0" collapsed="false">
      <c r="A657" s="3" t="s">
        <v>1736</v>
      </c>
      <c r="B657" s="3" t="n">
        <v>6.8</v>
      </c>
      <c r="C657" s="6" t="s">
        <v>1737</v>
      </c>
      <c r="D657" s="3" t="n">
        <v>0</v>
      </c>
      <c r="E657" s="3" t="n">
        <v>6</v>
      </c>
      <c r="F657" s="3"/>
      <c r="G657" s="3" t="n">
        <v>0</v>
      </c>
      <c r="H657" s="3" t="n">
        <v>711</v>
      </c>
      <c r="I657" s="3" t="s">
        <v>22</v>
      </c>
      <c r="J657" s="3" t="n">
        <v>459</v>
      </c>
      <c r="K657" s="3" t="n">
        <v>0</v>
      </c>
      <c r="L657" s="3" t="n">
        <v>28.4</v>
      </c>
      <c r="M657" s="3" t="s">
        <v>154</v>
      </c>
      <c r="N657" s="3" t="n">
        <v>38</v>
      </c>
      <c r="O657" s="3" t="n">
        <v>-6.759</v>
      </c>
      <c r="P657" s="3" t="n">
        <v>155.512</v>
      </c>
      <c r="Q657" s="3" t="s">
        <v>736</v>
      </c>
      <c r="R657" s="3"/>
      <c r="S657" s="3" t="s">
        <v>85</v>
      </c>
      <c r="T657" s="5" t="n">
        <f aca="false">IF(C657="","",DATE(VALUE(MID(C657,7,4)),VALUE(MID(C657,4,2)),VALUE(MID(C657,1,2)))+TIME(VALUE(MID(C657,12,2)),VALUE(MID(C657,15,2)),0))</f>
        <v>38961.4291666667</v>
      </c>
      <c r="U657" s="3" t="str">
        <f aca="false">IFERROR(IF(ISNUMBER(VALUE(TRIM(MID(A657,FIND("-",A657)+1,FIND("km",A657)-FIND("-",A657)-1)))),"Distance + direction + city","Named-region"),"Named-region")</f>
        <v>Distance + direction + city</v>
      </c>
      <c r="V657" s="3" t="str">
        <f aca="false">LOWER(M657)</f>
        <v>mwb</v>
      </c>
      <c r="W657" s="3" t="n">
        <f aca="false">COUNTIFS($A$2:$A$1001,A657,$C$2:$C$1001,C657)</f>
        <v>1</v>
      </c>
      <c r="X657" s="3" t="str">
        <f aca="false">IF(W657&gt;1,"Duplicate","Unique")</f>
        <v>Unique</v>
      </c>
      <c r="Y657" s="3" t="str">
        <f aca="false">IF(B657&lt;6.5,"&lt;6.5",IF(B657&lt;7,"6.5–6.9",IF(B657&lt;7.5,"7.0–7.4",IF(B657&lt;8,"7.5–7.9","8.0+"))))</f>
        <v>6.5–6.9</v>
      </c>
      <c r="Z657" s="3" t="n">
        <f aca="false">IF(T657="","",YEAR(T657))</f>
        <v>2006</v>
      </c>
    </row>
    <row r="658" customFormat="false" ht="13.8" hidden="false" customHeight="false" outlineLevel="0" collapsed="false">
      <c r="A658" s="3" t="s">
        <v>1738</v>
      </c>
      <c r="B658" s="3" t="n">
        <v>6.5</v>
      </c>
      <c r="C658" s="3" t="s">
        <v>1739</v>
      </c>
      <c r="D658" s="3" t="n">
        <v>0</v>
      </c>
      <c r="E658" s="3" t="n">
        <v>6</v>
      </c>
      <c r="F658" s="3"/>
      <c r="G658" s="3" t="n">
        <v>0</v>
      </c>
      <c r="H658" s="3" t="n">
        <v>650</v>
      </c>
      <c r="I658" s="3" t="s">
        <v>22</v>
      </c>
      <c r="J658" s="3" t="n">
        <v>700</v>
      </c>
      <c r="K658" s="3" t="n">
        <v>0</v>
      </c>
      <c r="L658" s="3" t="n">
        <v>47.4</v>
      </c>
      <c r="M658" s="3" t="s">
        <v>154</v>
      </c>
      <c r="N658" s="3" t="n">
        <v>43</v>
      </c>
      <c r="O658" s="3" t="n">
        <v>51.148</v>
      </c>
      <c r="P658" s="3" t="n">
        <v>157.522</v>
      </c>
      <c r="Q658" s="3" t="s">
        <v>565</v>
      </c>
      <c r="R658" s="3" t="s">
        <v>80</v>
      </c>
      <c r="S658" s="3" t="s">
        <v>428</v>
      </c>
      <c r="T658" s="5" t="n">
        <f aca="false">IF(C658="","",DATE(VALUE(MID(C658,7,4)),VALUE(MID(C658,4,2)),VALUE(MID(C658,1,2)))+TIME(VALUE(MID(C658,12,2)),VALUE(MID(C658,15,2)),0))</f>
        <v>38953.9097222222</v>
      </c>
      <c r="U658" s="3" t="str">
        <f aca="false">IFERROR(IF(ISNUMBER(VALUE(TRIM(MID(A658,FIND("-",A658)+1,FIND("km",A658)-FIND("-",A658)-1)))),"Distance + direction + city","Named-region"),"Named-region")</f>
        <v>Distance + direction + city</v>
      </c>
      <c r="V658" s="3" t="str">
        <f aca="false">LOWER(M658)</f>
        <v>mwb</v>
      </c>
      <c r="W658" s="3" t="n">
        <f aca="false">COUNTIFS($A$2:$A$1001,A658,$C$2:$C$1001,C658)</f>
        <v>1</v>
      </c>
      <c r="X658" s="3" t="str">
        <f aca="false">IF(W658&gt;1,"Duplicate","Unique")</f>
        <v>Unique</v>
      </c>
      <c r="Y658" s="3" t="str">
        <f aca="false">IF(B658&lt;6.5,"&lt;6.5",IF(B658&lt;7,"6.5–6.9",IF(B658&lt;7.5,"7.0–7.4",IF(B658&lt;8,"7.5–7.9","8.0+"))))</f>
        <v>6.5–6.9</v>
      </c>
      <c r="Z658" s="3" t="n">
        <f aca="false">IF(T658="","",YEAR(T658))</f>
        <v>2006</v>
      </c>
    </row>
    <row r="659" customFormat="false" ht="13.8" hidden="false" customHeight="false" outlineLevel="0" collapsed="false">
      <c r="A659" s="3" t="s">
        <v>1740</v>
      </c>
      <c r="B659" s="3" t="n">
        <v>6.8</v>
      </c>
      <c r="C659" s="6" t="s">
        <v>1741</v>
      </c>
      <c r="D659" s="3" t="n">
        <v>5</v>
      </c>
      <c r="E659" s="3" t="n">
        <v>5</v>
      </c>
      <c r="F659" s="3"/>
      <c r="G659" s="3" t="n">
        <v>0</v>
      </c>
      <c r="H659" s="3" t="n">
        <v>713</v>
      </c>
      <c r="I659" s="3" t="s">
        <v>22</v>
      </c>
      <c r="J659" s="3" t="n">
        <v>551</v>
      </c>
      <c r="K659" s="3" t="n">
        <v>0</v>
      </c>
      <c r="L659" s="3" t="n">
        <v>26.2</v>
      </c>
      <c r="M659" s="3" t="s">
        <v>154</v>
      </c>
      <c r="N659" s="3" t="n">
        <v>150</v>
      </c>
      <c r="O659" s="3" t="n">
        <v>-15.798</v>
      </c>
      <c r="P659" s="3" t="n">
        <v>167.789</v>
      </c>
      <c r="Q659" s="3" t="s">
        <v>821</v>
      </c>
      <c r="R659" s="3"/>
      <c r="S659" s="3" t="s">
        <v>25</v>
      </c>
      <c r="T659" s="5" t="n">
        <f aca="false">IF(C659="","",DATE(VALUE(MID(C659,7,4)),VALUE(MID(C659,4,2)),VALUE(MID(C659,1,2)))+TIME(VALUE(MID(C659,12,2)),VALUE(MID(C659,15,2)),0))</f>
        <v>38936.9291666667</v>
      </c>
      <c r="U659" s="3" t="str">
        <f aca="false">IFERROR(IF(ISNUMBER(VALUE(TRIM(MID(A659,FIND("-",A659)+1,FIND("km",A659)-FIND("-",A659)-1)))),"Distance + direction + city","Named-region"),"Named-region")</f>
        <v>Distance + direction + city</v>
      </c>
      <c r="V659" s="3" t="str">
        <f aca="false">LOWER(M659)</f>
        <v>mwb</v>
      </c>
      <c r="W659" s="3" t="n">
        <f aca="false">COUNTIFS($A$2:$A$1001,A659,$C$2:$C$1001,C659)</f>
        <v>1</v>
      </c>
      <c r="X659" s="3" t="str">
        <f aca="false">IF(W659&gt;1,"Duplicate","Unique")</f>
        <v>Unique</v>
      </c>
      <c r="Y659" s="3" t="str">
        <f aca="false">IF(B659&lt;6.5,"&lt;6.5",IF(B659&lt;7,"6.5–6.9",IF(B659&lt;7.5,"7.0–7.4",IF(B659&lt;8,"7.5–7.9","8.0+"))))</f>
        <v>6.5–6.9</v>
      </c>
      <c r="Z659" s="3" t="n">
        <f aca="false">IF(T659="","",YEAR(T659))</f>
        <v>2006</v>
      </c>
    </row>
    <row r="660" customFormat="false" ht="13.8" hidden="false" customHeight="false" outlineLevel="0" collapsed="false">
      <c r="A660" s="3" t="s">
        <v>1742</v>
      </c>
      <c r="B660" s="3" t="n">
        <v>7.7</v>
      </c>
      <c r="C660" s="3" t="s">
        <v>1743</v>
      </c>
      <c r="D660" s="3" t="n">
        <v>7</v>
      </c>
      <c r="E660" s="3" t="n">
        <v>5</v>
      </c>
      <c r="F660" s="3"/>
      <c r="G660" s="3" t="n">
        <v>0</v>
      </c>
      <c r="H660" s="3" t="n">
        <v>947</v>
      </c>
      <c r="I660" s="3" t="s">
        <v>22</v>
      </c>
      <c r="J660" s="3" t="n">
        <v>357</v>
      </c>
      <c r="K660" s="3" t="n">
        <v>0</v>
      </c>
      <c r="L660" s="3" t="n">
        <v>36.8</v>
      </c>
      <c r="M660" s="3" t="s">
        <v>127</v>
      </c>
      <c r="N660" s="3" t="n">
        <v>20</v>
      </c>
      <c r="O660" s="3" t="n">
        <v>-9.284</v>
      </c>
      <c r="P660" s="3" t="n">
        <v>107.419</v>
      </c>
      <c r="Q660" s="3" t="s">
        <v>1744</v>
      </c>
      <c r="R660" s="3"/>
      <c r="S660" s="3"/>
      <c r="T660" s="5" t="n">
        <f aca="false">IF(C660="","",DATE(VALUE(MID(C660,7,4)),VALUE(MID(C660,4,2)),VALUE(MID(C660,1,2)))+TIME(VALUE(MID(C660,12,2)),VALUE(MID(C660,15,2)),0))</f>
        <v>38915.3465277778</v>
      </c>
      <c r="U660" s="3" t="str">
        <f aca="false">IFERROR(IF(ISNUMBER(VALUE(TRIM(MID(A660,FIND("-",A660)+1,FIND("km",A660)-FIND("-",A660)-1)))),"Distance + direction + city","Named-region"),"Named-region")</f>
        <v>Distance + direction + city</v>
      </c>
      <c r="V660" s="3" t="str">
        <f aca="false">LOWER(M660)</f>
        <v>mwc</v>
      </c>
      <c r="W660" s="3" t="n">
        <f aca="false">COUNTIFS($A$2:$A$1001,A660,$C$2:$C$1001,C660)</f>
        <v>1</v>
      </c>
      <c r="X660" s="3" t="str">
        <f aca="false">IF(W660&gt;1,"Duplicate","Unique")</f>
        <v>Unique</v>
      </c>
      <c r="Y660" s="3" t="str">
        <f aca="false">IF(B660&lt;6.5,"&lt;6.5",IF(B660&lt;7,"6.5–6.9",IF(B660&lt;7.5,"7.0–7.4",IF(B660&lt;8,"7.5–7.9","8.0+"))))</f>
        <v>7.5–7.9</v>
      </c>
      <c r="Z660" s="3" t="n">
        <f aca="false">IF(T660="","",YEAR(T660))</f>
        <v>2006</v>
      </c>
    </row>
    <row r="661" customFormat="false" ht="13.8" hidden="false" customHeight="false" outlineLevel="0" collapsed="false">
      <c r="A661" s="3" t="s">
        <v>1745</v>
      </c>
      <c r="B661" s="3" t="n">
        <v>6.5</v>
      </c>
      <c r="C661" s="3" t="s">
        <v>1746</v>
      </c>
      <c r="D661" s="3" t="n">
        <v>0</v>
      </c>
      <c r="E661" s="3" t="n">
        <v>6</v>
      </c>
      <c r="F661" s="3"/>
      <c r="G661" s="3" t="n">
        <v>0</v>
      </c>
      <c r="H661" s="3" t="n">
        <v>650</v>
      </c>
      <c r="I661" s="3" t="s">
        <v>22</v>
      </c>
      <c r="J661" s="3" t="n">
        <v>477</v>
      </c>
      <c r="K661" s="3" t="n">
        <v>0</v>
      </c>
      <c r="L661" s="3" t="n">
        <v>20.3</v>
      </c>
      <c r="M661" s="3" t="s">
        <v>127</v>
      </c>
      <c r="N661" s="3" t="n">
        <v>34</v>
      </c>
      <c r="O661" s="3" t="n">
        <v>-5.724</v>
      </c>
      <c r="P661" s="3" t="n">
        <v>151.133</v>
      </c>
      <c r="Q661" s="3" t="s">
        <v>107</v>
      </c>
      <c r="R661" s="3"/>
      <c r="S661" s="3" t="s">
        <v>85</v>
      </c>
      <c r="T661" s="5" t="n">
        <f aca="false">IF(C661="","",DATE(VALUE(MID(C661,7,4)),VALUE(MID(C661,4,2)),VALUE(MID(C661,1,2)))+TIME(VALUE(MID(C661,12,2)),VALUE(MID(C661,15,2)),0))</f>
        <v>38865.1333333333</v>
      </c>
      <c r="U661" s="3" t="str">
        <f aca="false">IFERROR(IF(ISNUMBER(VALUE(TRIM(MID(A661,FIND("-",A661)+1,FIND("km",A661)-FIND("-",A661)-1)))),"Distance + direction + city","Named-region"),"Named-region")</f>
        <v>Distance + direction + city</v>
      </c>
      <c r="V661" s="3" t="str">
        <f aca="false">LOWER(M661)</f>
        <v>mwc</v>
      </c>
      <c r="W661" s="3" t="n">
        <f aca="false">COUNTIFS($A$2:$A$1001,A661,$C$2:$C$1001,C661)</f>
        <v>1</v>
      </c>
      <c r="X661" s="3" t="str">
        <f aca="false">IF(W661&gt;1,"Duplicate","Unique")</f>
        <v>Unique</v>
      </c>
      <c r="Y661" s="3" t="str">
        <f aca="false">IF(B661&lt;6.5,"&lt;6.5",IF(B661&lt;7,"6.5–6.9",IF(B661&lt;7.5,"7.0–7.4",IF(B661&lt;8,"7.5–7.9","8.0+"))))</f>
        <v>6.5–6.9</v>
      </c>
      <c r="Z661" s="3" t="n">
        <f aca="false">IF(T661="","",YEAR(T661))</f>
        <v>2006</v>
      </c>
    </row>
    <row r="662" customFormat="false" ht="13.8" hidden="false" customHeight="false" outlineLevel="0" collapsed="false">
      <c r="A662" s="3" t="s">
        <v>1747</v>
      </c>
      <c r="B662" s="3" t="n">
        <v>6.6</v>
      </c>
      <c r="C662" s="3" t="s">
        <v>1748</v>
      </c>
      <c r="D662" s="3" t="n">
        <v>0</v>
      </c>
      <c r="E662" s="3" t="n">
        <v>7</v>
      </c>
      <c r="F662" s="3"/>
      <c r="G662" s="3" t="n">
        <v>0</v>
      </c>
      <c r="H662" s="3" t="n">
        <v>670</v>
      </c>
      <c r="I662" s="3" t="s">
        <v>22</v>
      </c>
      <c r="J662" s="3" t="n">
        <v>548</v>
      </c>
      <c r="K662" s="3" t="n">
        <v>0</v>
      </c>
      <c r="L662" s="3" t="n">
        <v>28</v>
      </c>
      <c r="M662" s="3" t="s">
        <v>127</v>
      </c>
      <c r="N662" s="3" t="n">
        <v>19</v>
      </c>
      <c r="O662" s="3" t="n">
        <v>60.772</v>
      </c>
      <c r="P662" s="3" t="n">
        <v>165.743</v>
      </c>
      <c r="Q662" s="3" t="s">
        <v>1749</v>
      </c>
      <c r="R662" s="3" t="s">
        <v>80</v>
      </c>
      <c r="S662" s="3" t="s">
        <v>428</v>
      </c>
      <c r="T662" s="5" t="n">
        <f aca="false">IF(C662="","",DATE(VALUE(MID(C662,7,4)),VALUE(MID(C662,4,2)),VALUE(MID(C662,1,2)))+TIME(VALUE(MID(C662,12,2)),VALUE(MID(C662,15,2)),0))</f>
        <v>38859.4666666667</v>
      </c>
      <c r="U662" s="3" t="str">
        <f aca="false">IFERROR(IF(ISNUMBER(VALUE(TRIM(MID(A662,FIND("-",A662)+1,FIND("km",A662)-FIND("-",A662)-1)))),"Distance + direction + city","Named-region"),"Named-region")</f>
        <v>Distance + direction + city</v>
      </c>
      <c r="V662" s="3" t="str">
        <f aca="false">LOWER(M662)</f>
        <v>mwc</v>
      </c>
      <c r="W662" s="3" t="n">
        <f aca="false">COUNTIFS($A$2:$A$1001,A662,$C$2:$C$1001,C662)</f>
        <v>1</v>
      </c>
      <c r="X662" s="3" t="str">
        <f aca="false">IF(W662&gt;1,"Duplicate","Unique")</f>
        <v>Unique</v>
      </c>
      <c r="Y662" s="3" t="str">
        <f aca="false">IF(B662&lt;6.5,"&lt;6.5",IF(B662&lt;7,"6.5–6.9",IF(B662&lt;7.5,"7.0–7.4",IF(B662&lt;8,"7.5–7.9","8.0+"))))</f>
        <v>6.5–6.9</v>
      </c>
      <c r="Z662" s="3" t="n">
        <f aca="false">IF(T662="","",YEAR(T662))</f>
        <v>2006</v>
      </c>
    </row>
    <row r="663" customFormat="false" ht="13.8" hidden="false" customHeight="false" outlineLevel="0" collapsed="false">
      <c r="A663" s="3" t="s">
        <v>1750</v>
      </c>
      <c r="B663" s="3" t="n">
        <v>6.8</v>
      </c>
      <c r="C663" s="3" t="s">
        <v>1751</v>
      </c>
      <c r="D663" s="3" t="n">
        <v>4</v>
      </c>
      <c r="E663" s="3" t="n">
        <v>5</v>
      </c>
      <c r="F663" s="3"/>
      <c r="G663" s="3" t="n">
        <v>0</v>
      </c>
      <c r="H663" s="3" t="n">
        <v>719</v>
      </c>
      <c r="I663" s="3" t="s">
        <v>22</v>
      </c>
      <c r="J663" s="3" t="n">
        <v>701</v>
      </c>
      <c r="K663" s="3" t="n">
        <v>0</v>
      </c>
      <c r="L663" s="3" t="n">
        <v>16.3</v>
      </c>
      <c r="M663" s="3" t="s">
        <v>154</v>
      </c>
      <c r="N663" s="3" t="n">
        <v>12</v>
      </c>
      <c r="O663" s="3" t="n">
        <v>0.093</v>
      </c>
      <c r="P663" s="3" t="n">
        <v>97.05</v>
      </c>
      <c r="Q663" s="3" t="s">
        <v>1752</v>
      </c>
      <c r="R663" s="3"/>
      <c r="S663" s="3"/>
      <c r="T663" s="5" t="n">
        <f aca="false">IF(C663="","",DATE(VALUE(MID(C663,7,4)),VALUE(MID(C663,4,2)),VALUE(MID(C663,1,2)))+TIME(VALUE(MID(C663,12,2)),VALUE(MID(C663,15,2)),0))</f>
        <v>38853.6444444444</v>
      </c>
      <c r="U663" s="3" t="str">
        <f aca="false">IFERROR(IF(ISNUMBER(VALUE(TRIM(MID(A663,FIND("-",A663)+1,FIND("km",A663)-FIND("-",A663)-1)))),"Distance + direction + city","Named-region"),"Named-region")</f>
        <v>Distance + direction + city</v>
      </c>
      <c r="V663" s="3" t="str">
        <f aca="false">LOWER(M663)</f>
        <v>mwb</v>
      </c>
      <c r="W663" s="3" t="n">
        <f aca="false">COUNTIFS($A$2:$A$1001,A663,$C$2:$C$1001,C663)</f>
        <v>1</v>
      </c>
      <c r="X663" s="3" t="str">
        <f aca="false">IF(W663&gt;1,"Duplicate","Unique")</f>
        <v>Unique</v>
      </c>
      <c r="Y663" s="3" t="str">
        <f aca="false">IF(B663&lt;6.5,"&lt;6.5",IF(B663&lt;7,"6.5–6.9",IF(B663&lt;7.5,"7.0–7.4",IF(B663&lt;8,"7.5–7.9","8.0+"))))</f>
        <v>6.5–6.9</v>
      </c>
      <c r="Z663" s="3" t="n">
        <f aca="false">IF(T663="","",YEAR(T663))</f>
        <v>2006</v>
      </c>
    </row>
    <row r="664" customFormat="false" ht="13.8" hidden="false" customHeight="false" outlineLevel="0" collapsed="false">
      <c r="A664" s="3" t="s">
        <v>1753</v>
      </c>
      <c r="B664" s="3" t="n">
        <v>8</v>
      </c>
      <c r="C664" s="6" t="s">
        <v>1754</v>
      </c>
      <c r="D664" s="3" t="n">
        <v>7</v>
      </c>
      <c r="E664" s="3" t="n">
        <v>7</v>
      </c>
      <c r="F664" s="3"/>
      <c r="G664" s="3" t="n">
        <v>0</v>
      </c>
      <c r="H664" s="3" t="n">
        <v>1013</v>
      </c>
      <c r="I664" s="3" t="s">
        <v>22</v>
      </c>
      <c r="J664" s="3" t="n">
        <v>626</v>
      </c>
      <c r="K664" s="3" t="n">
        <v>0</v>
      </c>
      <c r="L664" s="3" t="n">
        <v>20.7</v>
      </c>
      <c r="M664" s="3" t="s">
        <v>127</v>
      </c>
      <c r="N664" s="3" t="n">
        <v>55</v>
      </c>
      <c r="O664" s="3" t="n">
        <v>-20.187</v>
      </c>
      <c r="P664" s="3" t="n">
        <v>-174.123</v>
      </c>
      <c r="Q664" s="3" t="s">
        <v>328</v>
      </c>
      <c r="R664" s="3"/>
      <c r="S664" s="3"/>
      <c r="T664" s="5" t="n">
        <f aca="false">IF(C664="","",DATE(VALUE(MID(C664,7,4)),VALUE(MID(C664,4,2)),VALUE(MID(C664,1,2)))+TIME(VALUE(MID(C664,12,2)),VALUE(MID(C664,15,2)),0))</f>
        <v>38840.6430555556</v>
      </c>
      <c r="U664" s="3" t="str">
        <f aca="false">IFERROR(IF(ISNUMBER(VALUE(TRIM(MID(A664,FIND("-",A664)+1,FIND("km",A664)-FIND("-",A664)-1)))),"Distance + direction + city","Named-region"),"Named-region")</f>
        <v>Distance + direction + city</v>
      </c>
      <c r="V664" s="3" t="str">
        <f aca="false">LOWER(M664)</f>
        <v>mwc</v>
      </c>
      <c r="W664" s="3" t="n">
        <f aca="false">COUNTIFS($A$2:$A$1001,A664,$C$2:$C$1001,C664)</f>
        <v>1</v>
      </c>
      <c r="X664" s="3" t="str">
        <f aca="false">IF(W664&gt;1,"Duplicate","Unique")</f>
        <v>Unique</v>
      </c>
      <c r="Y664" s="3" t="str">
        <f aca="false">IF(B664&lt;6.5,"&lt;6.5",IF(B664&lt;7,"6.5–6.9",IF(B664&lt;7.5,"7.0–7.4",IF(B664&lt;8,"7.5–7.9","8.0+"))))</f>
        <v>8.0+</v>
      </c>
      <c r="Z664" s="3" t="n">
        <f aca="false">IF(T664="","",YEAR(T664))</f>
        <v>2006</v>
      </c>
    </row>
    <row r="665" customFormat="false" ht="13.8" hidden="false" customHeight="false" outlineLevel="0" collapsed="false">
      <c r="A665" s="3" t="s">
        <v>1755</v>
      </c>
      <c r="B665" s="3" t="n">
        <v>8</v>
      </c>
      <c r="C665" s="6" t="s">
        <v>1754</v>
      </c>
      <c r="D665" s="3" t="n">
        <v>8</v>
      </c>
      <c r="E665" s="3" t="n">
        <v>9</v>
      </c>
      <c r="F665" s="3"/>
      <c r="G665" s="3" t="n">
        <v>0</v>
      </c>
      <c r="H665" s="3" t="n">
        <v>1026</v>
      </c>
      <c r="I665" s="3" t="s">
        <v>1589</v>
      </c>
      <c r="J665" s="3" t="n">
        <v>0</v>
      </c>
      <c r="K665" s="3" t="n">
        <v>0</v>
      </c>
      <c r="L665" s="3" t="n">
        <v>0</v>
      </c>
      <c r="M665" s="3" t="s">
        <v>23</v>
      </c>
      <c r="N665" s="3" t="n">
        <v>60.5</v>
      </c>
      <c r="O665" s="3" t="n">
        <v>-19.99</v>
      </c>
      <c r="P665" s="3" t="n">
        <v>-173.907</v>
      </c>
      <c r="Q665" s="3" t="s">
        <v>328</v>
      </c>
      <c r="R665" s="3"/>
      <c r="S665" s="3"/>
      <c r="T665" s="5" t="n">
        <f aca="false">IF(C665="","",DATE(VALUE(MID(C665,7,4)),VALUE(MID(C665,4,2)),VALUE(MID(C665,1,2)))+TIME(VALUE(MID(C665,12,2)),VALUE(MID(C665,15,2)),0))</f>
        <v>38840.6430555556</v>
      </c>
      <c r="U665" s="3" t="str">
        <f aca="false">IFERROR(IF(ISNUMBER(VALUE(TRIM(MID(A665,FIND("-",A665)+1,FIND("km",A665)-FIND("-",A665)-1)))),"Distance + direction + city","Named-region"),"Named-region")</f>
        <v>Distance + direction + city</v>
      </c>
      <c r="V665" s="3" t="str">
        <f aca="false">LOWER(M665)</f>
        <v>mww</v>
      </c>
      <c r="W665" s="3" t="n">
        <f aca="false">COUNTIFS($A$2:$A$1001,A665,$C$2:$C$1001,C665)</f>
        <v>1</v>
      </c>
      <c r="X665" s="3" t="str">
        <f aca="false">IF(W665&gt;1,"Duplicate","Unique")</f>
        <v>Unique</v>
      </c>
      <c r="Y665" s="3" t="str">
        <f aca="false">IF(B665&lt;6.5,"&lt;6.5",IF(B665&lt;7,"6.5–6.9",IF(B665&lt;7.5,"7.0–7.4",IF(B665&lt;8,"7.5–7.9","8.0+"))))</f>
        <v>8.0+</v>
      </c>
      <c r="Z665" s="3" t="n">
        <f aca="false">IF(T665="","",YEAR(T665))</f>
        <v>2006</v>
      </c>
    </row>
    <row r="666" customFormat="false" ht="13.8" hidden="false" customHeight="false" outlineLevel="0" collapsed="false">
      <c r="A666" s="3" t="s">
        <v>1756</v>
      </c>
      <c r="B666" s="3" t="n">
        <v>6.5</v>
      </c>
      <c r="C666" s="3" t="s">
        <v>1757</v>
      </c>
      <c r="D666" s="3" t="n">
        <v>7</v>
      </c>
      <c r="E666" s="3" t="n">
        <v>7</v>
      </c>
      <c r="F666" s="3"/>
      <c r="G666" s="3" t="n">
        <v>0</v>
      </c>
      <c r="H666" s="3" t="n">
        <v>653</v>
      </c>
      <c r="I666" s="3" t="s">
        <v>22</v>
      </c>
      <c r="J666" s="3" t="n">
        <v>282</v>
      </c>
      <c r="K666" s="3" t="n">
        <v>0</v>
      </c>
      <c r="L666" s="3" t="n">
        <v>46.3</v>
      </c>
      <c r="M666" s="3" t="s">
        <v>127</v>
      </c>
      <c r="N666" s="3" t="n">
        <v>12</v>
      </c>
      <c r="O666" s="3" t="n">
        <v>-27.211</v>
      </c>
      <c r="P666" s="3" t="n">
        <v>-71.056</v>
      </c>
      <c r="Q666" s="3" t="s">
        <v>1758</v>
      </c>
      <c r="R666" s="3"/>
      <c r="S666" s="3" t="s">
        <v>373</v>
      </c>
      <c r="T666" s="5" t="n">
        <f aca="false">IF(C666="","",DATE(VALUE(MID(C666,7,4)),VALUE(MID(C666,4,2)),VALUE(MID(C666,1,2)))+TIME(VALUE(MID(C666,12,2)),VALUE(MID(C666,15,2)),0))</f>
        <v>38837.9027777778</v>
      </c>
      <c r="U666" s="3" t="str">
        <f aca="false">IFERROR(IF(ISNUMBER(VALUE(TRIM(MID(A666,FIND("-",A666)+1,FIND("km",A666)-FIND("-",A666)-1)))),"Distance + direction + city","Named-region"),"Named-region")</f>
        <v>Distance + direction + city</v>
      </c>
      <c r="V666" s="3" t="str">
        <f aca="false">LOWER(M666)</f>
        <v>mwc</v>
      </c>
      <c r="W666" s="3" t="n">
        <f aca="false">COUNTIFS($A$2:$A$1001,A666,$C$2:$C$1001,C666)</f>
        <v>1</v>
      </c>
      <c r="X666" s="3" t="str">
        <f aca="false">IF(W666&gt;1,"Duplicate","Unique")</f>
        <v>Unique</v>
      </c>
      <c r="Y666" s="3" t="str">
        <f aca="false">IF(B666&lt;6.5,"&lt;6.5",IF(B666&lt;7,"6.5–6.9",IF(B666&lt;7.5,"7.0–7.4",IF(B666&lt;8,"7.5–7.9","8.0+"))))</f>
        <v>6.5–6.9</v>
      </c>
      <c r="Z666" s="3" t="n">
        <f aca="false">IF(T666="","",YEAR(T666))</f>
        <v>2006</v>
      </c>
    </row>
    <row r="667" customFormat="false" ht="13.8" hidden="false" customHeight="false" outlineLevel="0" collapsed="false">
      <c r="A667" s="3" t="s">
        <v>1759</v>
      </c>
      <c r="B667" s="3" t="n">
        <v>6.7</v>
      </c>
      <c r="C667" s="3" t="s">
        <v>1760</v>
      </c>
      <c r="D667" s="3" t="n">
        <v>6</v>
      </c>
      <c r="E667" s="3" t="n">
        <v>7</v>
      </c>
      <c r="F667" s="3"/>
      <c r="G667" s="3" t="n">
        <v>0</v>
      </c>
      <c r="H667" s="3" t="n">
        <v>696</v>
      </c>
      <c r="I667" s="3" t="s">
        <v>22</v>
      </c>
      <c r="J667" s="3" t="n">
        <v>277</v>
      </c>
      <c r="K667" s="3" t="n">
        <v>0</v>
      </c>
      <c r="L667" s="3" t="n">
        <v>25.6</v>
      </c>
      <c r="M667" s="3" t="s">
        <v>154</v>
      </c>
      <c r="N667" s="3" t="n">
        <v>12</v>
      </c>
      <c r="O667" s="3" t="n">
        <v>-27.017</v>
      </c>
      <c r="P667" s="3" t="n">
        <v>-71.022</v>
      </c>
      <c r="Q667" s="3" t="s">
        <v>1758</v>
      </c>
      <c r="R667" s="3"/>
      <c r="S667" s="3" t="s">
        <v>373</v>
      </c>
      <c r="T667" s="5" t="n">
        <f aca="false">IF(C667="","",DATE(VALUE(MID(C667,7,4)),VALUE(MID(C667,4,2)),VALUE(MID(C667,1,2)))+TIME(VALUE(MID(C667,12,2)),VALUE(MID(C667,15,2)),0))</f>
        <v>38837.8034722222</v>
      </c>
      <c r="U667" s="3" t="str">
        <f aca="false">IFERROR(IF(ISNUMBER(VALUE(TRIM(MID(A667,FIND("-",A667)+1,FIND("km",A667)-FIND("-",A667)-1)))),"Distance + direction + city","Named-region"),"Named-region")</f>
        <v>Distance + direction + city</v>
      </c>
      <c r="V667" s="3" t="str">
        <f aca="false">LOWER(M667)</f>
        <v>mwb</v>
      </c>
      <c r="W667" s="3" t="n">
        <f aca="false">COUNTIFS($A$2:$A$1001,A667,$C$2:$C$1001,C667)</f>
        <v>1</v>
      </c>
      <c r="X667" s="3" t="str">
        <f aca="false">IF(W667&gt;1,"Duplicate","Unique")</f>
        <v>Unique</v>
      </c>
      <c r="Y667" s="3" t="str">
        <f aca="false">IF(B667&lt;6.5,"&lt;6.5",IF(B667&lt;7,"6.5–6.9",IF(B667&lt;7.5,"7.0–7.4",IF(B667&lt;8,"7.5–7.9","8.0+"))))</f>
        <v>6.5–6.9</v>
      </c>
      <c r="Z667" s="3" t="n">
        <f aca="false">IF(T667="","",YEAR(T667))</f>
        <v>2006</v>
      </c>
    </row>
    <row r="668" customFormat="false" ht="13.8" hidden="false" customHeight="false" outlineLevel="0" collapsed="false">
      <c r="A668" s="3" t="s">
        <v>1761</v>
      </c>
      <c r="B668" s="3" t="n">
        <v>6.6</v>
      </c>
      <c r="C668" s="3" t="s">
        <v>1762</v>
      </c>
      <c r="D668" s="3" t="n">
        <v>0</v>
      </c>
      <c r="E668" s="3" t="n">
        <v>8</v>
      </c>
      <c r="F668" s="3"/>
      <c r="G668" s="3" t="n">
        <v>0</v>
      </c>
      <c r="H668" s="3" t="n">
        <v>670</v>
      </c>
      <c r="I668" s="3" t="s">
        <v>22</v>
      </c>
      <c r="J668" s="3" t="n">
        <v>645</v>
      </c>
      <c r="K668" s="3" t="n">
        <v>0</v>
      </c>
      <c r="L668" s="3" t="n">
        <v>28.4</v>
      </c>
      <c r="M668" s="3" t="s">
        <v>127</v>
      </c>
      <c r="N668" s="3" t="n">
        <v>11</v>
      </c>
      <c r="O668" s="3" t="n">
        <v>60.491</v>
      </c>
      <c r="P668" s="3" t="n">
        <v>167.516</v>
      </c>
      <c r="Q668" s="3" t="s">
        <v>1749</v>
      </c>
      <c r="R668" s="3" t="s">
        <v>80</v>
      </c>
      <c r="S668" s="3" t="s">
        <v>428</v>
      </c>
      <c r="T668" s="5" t="n">
        <f aca="false">IF(C668="","",DATE(VALUE(MID(C668,7,4)),VALUE(MID(C668,4,2)),VALUE(MID(C668,1,2)))+TIME(VALUE(MID(C668,12,2)),VALUE(MID(C668,15,2)),0))</f>
        <v>38836.7069444444</v>
      </c>
      <c r="U668" s="3" t="str">
        <f aca="false">IFERROR(IF(ISNUMBER(VALUE(TRIM(MID(A668,FIND("-",A668)+1,FIND("km",A668)-FIND("-",A668)-1)))),"Distance + direction + city","Named-region"),"Named-region")</f>
        <v>Distance + direction + city</v>
      </c>
      <c r="V668" s="3" t="str">
        <f aca="false">LOWER(M668)</f>
        <v>mwc</v>
      </c>
      <c r="W668" s="3" t="n">
        <f aca="false">COUNTIFS($A$2:$A$1001,A668,$C$2:$C$1001,C668)</f>
        <v>1</v>
      </c>
      <c r="X668" s="3" t="str">
        <f aca="false">IF(W668&gt;1,"Duplicate","Unique")</f>
        <v>Unique</v>
      </c>
      <c r="Y668" s="3" t="str">
        <f aca="false">IF(B668&lt;6.5,"&lt;6.5",IF(B668&lt;7,"6.5–6.9",IF(B668&lt;7.5,"7.0–7.4",IF(B668&lt;8,"7.5–7.9","8.0+"))))</f>
        <v>6.5–6.9</v>
      </c>
      <c r="Z668" s="3" t="n">
        <f aca="false">IF(T668="","",YEAR(T668))</f>
        <v>2006</v>
      </c>
    </row>
    <row r="669" customFormat="false" ht="13.8" hidden="false" customHeight="false" outlineLevel="0" collapsed="false">
      <c r="A669" s="3" t="s">
        <v>1763</v>
      </c>
      <c r="B669" s="3" t="n">
        <v>7.6</v>
      </c>
      <c r="C669" s="3" t="s">
        <v>1764</v>
      </c>
      <c r="D669" s="3" t="n">
        <v>0</v>
      </c>
      <c r="E669" s="3" t="n">
        <v>8</v>
      </c>
      <c r="F669" s="3"/>
      <c r="G669" s="3" t="n">
        <v>0</v>
      </c>
      <c r="H669" s="3" t="n">
        <v>889</v>
      </c>
      <c r="I669" s="3" t="s">
        <v>22</v>
      </c>
      <c r="J669" s="3" t="n">
        <v>579</v>
      </c>
      <c r="K669" s="3" t="n">
        <v>0</v>
      </c>
      <c r="L669" s="3" t="n">
        <v>18.5</v>
      </c>
      <c r="M669" s="3" t="s">
        <v>127</v>
      </c>
      <c r="N669" s="3" t="n">
        <v>22</v>
      </c>
      <c r="O669" s="3" t="n">
        <v>60.949</v>
      </c>
      <c r="P669" s="3" t="n">
        <v>167.089</v>
      </c>
      <c r="Q669" s="3" t="s">
        <v>1749</v>
      </c>
      <c r="R669" s="3" t="s">
        <v>80</v>
      </c>
      <c r="S669" s="3" t="s">
        <v>428</v>
      </c>
      <c r="T669" s="5" t="n">
        <f aca="false">IF(C669="","",DATE(VALUE(MID(C669,7,4)),VALUE(MID(C669,4,2)),VALUE(MID(C669,1,2)))+TIME(VALUE(MID(C669,12,2)),VALUE(MID(C669,15,2)),0))</f>
        <v>38827.9756944444</v>
      </c>
      <c r="U669" s="3" t="str">
        <f aca="false">IFERROR(IF(ISNUMBER(VALUE(TRIM(MID(A669,FIND("-",A669)+1,FIND("km",A669)-FIND("-",A669)-1)))),"Distance + direction + city","Named-region"),"Named-region")</f>
        <v>Distance + direction + city</v>
      </c>
      <c r="V669" s="3" t="str">
        <f aca="false">LOWER(M669)</f>
        <v>mwc</v>
      </c>
      <c r="W669" s="3" t="n">
        <f aca="false">COUNTIFS($A$2:$A$1001,A669,$C$2:$C$1001,C669)</f>
        <v>1</v>
      </c>
      <c r="X669" s="3" t="str">
        <f aca="false">IF(W669&gt;1,"Duplicate","Unique")</f>
        <v>Unique</v>
      </c>
      <c r="Y669" s="3" t="str">
        <f aca="false">IF(B669&lt;6.5,"&lt;6.5",IF(B669&lt;7,"6.5–6.9",IF(B669&lt;7.5,"7.0–7.4",IF(B669&lt;8,"7.5–7.9","8.0+"))))</f>
        <v>7.5–7.9</v>
      </c>
      <c r="Z669" s="3" t="n">
        <f aca="false">IF(T669="","",YEAR(T669))</f>
        <v>2006</v>
      </c>
    </row>
    <row r="670" customFormat="false" ht="13.8" hidden="false" customHeight="false" outlineLevel="0" collapsed="false">
      <c r="A670" s="3" t="s">
        <v>1765</v>
      </c>
      <c r="B670" s="3" t="n">
        <v>6.5</v>
      </c>
      <c r="C670" s="6" t="s">
        <v>1766</v>
      </c>
      <c r="D670" s="3" t="n">
        <v>3</v>
      </c>
      <c r="E670" s="3" t="n">
        <v>5</v>
      </c>
      <c r="F670" s="3"/>
      <c r="G670" s="3" t="n">
        <v>0</v>
      </c>
      <c r="H670" s="3" t="n">
        <v>654</v>
      </c>
      <c r="I670" s="3" t="s">
        <v>22</v>
      </c>
      <c r="J670" s="3" t="n">
        <v>247</v>
      </c>
      <c r="K670" s="3" t="n">
        <v>0</v>
      </c>
      <c r="L670" s="3" t="n">
        <v>25.5</v>
      </c>
      <c r="M670" s="3" t="s">
        <v>127</v>
      </c>
      <c r="N670" s="3" t="n">
        <v>14</v>
      </c>
      <c r="O670" s="3" t="n">
        <v>-16.527</v>
      </c>
      <c r="P670" s="3" t="n">
        <v>176.989</v>
      </c>
      <c r="Q670" s="3" t="s">
        <v>1767</v>
      </c>
      <c r="R670" s="3"/>
      <c r="S670" s="3"/>
      <c r="T670" s="5" t="n">
        <f aca="false">IF(C670="","",DATE(VALUE(MID(C670,7,4)),VALUE(MID(C670,4,2)),VALUE(MID(C670,1,2)))+TIME(VALUE(MID(C670,12,2)),VALUE(MID(C670,15,2)),0))</f>
        <v>38814.3541666667</v>
      </c>
      <c r="U670" s="3" t="str">
        <f aca="false">IFERROR(IF(ISNUMBER(VALUE(TRIM(MID(A670,FIND("-",A670)+1,FIND("km",A670)-FIND("-",A670)-1)))),"Distance + direction + city","Named-region"),"Named-region")</f>
        <v>Distance + direction + city</v>
      </c>
      <c r="V670" s="3" t="str">
        <f aca="false">LOWER(M670)</f>
        <v>mwc</v>
      </c>
      <c r="W670" s="3" t="n">
        <f aca="false">COUNTIFS($A$2:$A$1001,A670,$C$2:$C$1001,C670)</f>
        <v>1</v>
      </c>
      <c r="X670" s="3" t="str">
        <f aca="false">IF(W670&gt;1,"Duplicate","Unique")</f>
        <v>Unique</v>
      </c>
      <c r="Y670" s="3" t="str">
        <f aca="false">IF(B670&lt;6.5,"&lt;6.5",IF(B670&lt;7,"6.5–6.9",IF(B670&lt;7.5,"7.0–7.4",IF(B670&lt;8,"7.5–7.9","8.0+"))))</f>
        <v>6.5–6.9</v>
      </c>
      <c r="Z670" s="3" t="n">
        <f aca="false">IF(T670="","",YEAR(T670))</f>
        <v>2006</v>
      </c>
    </row>
    <row r="671" customFormat="false" ht="13.8" hidden="false" customHeight="false" outlineLevel="0" collapsed="false">
      <c r="A671" s="3" t="s">
        <v>1768</v>
      </c>
      <c r="B671" s="3" t="n">
        <v>6.7</v>
      </c>
      <c r="C671" s="3" t="s">
        <v>1769</v>
      </c>
      <c r="D671" s="3" t="n">
        <v>0</v>
      </c>
      <c r="E671" s="3" t="n">
        <v>7</v>
      </c>
      <c r="F671" s="3"/>
      <c r="G671" s="3" t="n">
        <v>0</v>
      </c>
      <c r="H671" s="3" t="n">
        <v>691</v>
      </c>
      <c r="I671" s="3" t="s">
        <v>22</v>
      </c>
      <c r="J671" s="3" t="n">
        <v>306</v>
      </c>
      <c r="K671" s="3" t="n">
        <v>0</v>
      </c>
      <c r="L671" s="3" t="n">
        <v>21.3</v>
      </c>
      <c r="M671" s="3" t="s">
        <v>154</v>
      </c>
      <c r="N671" s="3" t="n">
        <v>30.1</v>
      </c>
      <c r="O671" s="3" t="n">
        <v>-3.595</v>
      </c>
      <c r="P671" s="3" t="n">
        <v>127.214</v>
      </c>
      <c r="Q671" s="3" t="s">
        <v>1770</v>
      </c>
      <c r="R671" s="3"/>
      <c r="S671" s="3" t="s">
        <v>68</v>
      </c>
      <c r="T671" s="5" t="n">
        <f aca="false">IF(C671="","",DATE(VALUE(MID(C671,7,4)),VALUE(MID(C671,4,2)),VALUE(MID(C671,1,2)))+TIME(VALUE(MID(C671,12,2)),VALUE(MID(C671,15,2)),0))</f>
        <v>38790.2895833333</v>
      </c>
      <c r="U671" s="3" t="str">
        <f aca="false">IFERROR(IF(ISNUMBER(VALUE(TRIM(MID(A671,FIND("-",A671)+1,FIND("km",A671)-FIND("-",A671)-1)))),"Distance + direction + city","Named-region"),"Named-region")</f>
        <v>Distance + direction + city</v>
      </c>
      <c r="V671" s="3" t="str">
        <f aca="false">LOWER(M671)</f>
        <v>mwb</v>
      </c>
      <c r="W671" s="3" t="n">
        <f aca="false">COUNTIFS($A$2:$A$1001,A671,$C$2:$C$1001,C671)</f>
        <v>1</v>
      </c>
      <c r="X671" s="3" t="str">
        <f aca="false">IF(W671&gt;1,"Duplicate","Unique")</f>
        <v>Unique</v>
      </c>
      <c r="Y671" s="3" t="str">
        <f aca="false">IF(B671&lt;6.5,"&lt;6.5",IF(B671&lt;7,"6.5–6.9",IF(B671&lt;7.5,"7.0–7.4",IF(B671&lt;8,"7.5–7.9","8.0+"))))</f>
        <v>6.5–6.9</v>
      </c>
      <c r="Z671" s="3" t="n">
        <f aca="false">IF(T671="","",YEAR(T671))</f>
        <v>2006</v>
      </c>
    </row>
    <row r="672" customFormat="false" ht="13.8" hidden="false" customHeight="false" outlineLevel="0" collapsed="false">
      <c r="A672" s="3" t="s">
        <v>1771</v>
      </c>
      <c r="B672" s="3" t="n">
        <v>7</v>
      </c>
      <c r="C672" s="3" t="s">
        <v>1772</v>
      </c>
      <c r="D672" s="3" t="n">
        <v>5</v>
      </c>
      <c r="E672" s="3" t="n">
        <v>9</v>
      </c>
      <c r="F672" s="3"/>
      <c r="G672" s="3" t="n">
        <v>0</v>
      </c>
      <c r="H672" s="3" t="n">
        <v>891</v>
      </c>
      <c r="I672" s="3" t="s">
        <v>22</v>
      </c>
      <c r="J672" s="3" t="n">
        <v>412</v>
      </c>
      <c r="K672" s="3" t="n">
        <v>0</v>
      </c>
      <c r="L672" s="3" t="n">
        <v>23.2</v>
      </c>
      <c r="M672" s="3" t="s">
        <v>154</v>
      </c>
      <c r="N672" s="3" t="n">
        <v>11</v>
      </c>
      <c r="O672" s="3" t="n">
        <v>-21.324</v>
      </c>
      <c r="P672" s="3" t="n">
        <v>33.583</v>
      </c>
      <c r="Q672" s="3" t="s">
        <v>1773</v>
      </c>
      <c r="R672" s="3" t="s">
        <v>722</v>
      </c>
      <c r="S672" s="3" t="s">
        <v>1774</v>
      </c>
      <c r="T672" s="5" t="n">
        <f aca="false">IF(C672="","",DATE(VALUE(MID(C672,7,4)),VALUE(MID(C672,4,2)),VALUE(MID(C672,1,2)))+TIME(VALUE(MID(C672,12,2)),VALUE(MID(C672,15,2)),0))</f>
        <v>38770.9298611111</v>
      </c>
      <c r="U672" s="3" t="str">
        <f aca="false">IFERROR(IF(ISNUMBER(VALUE(TRIM(MID(A672,FIND("-",A672)+1,FIND("km",A672)-FIND("-",A672)-1)))),"Distance + direction + city","Named-region"),"Named-region")</f>
        <v>Distance + direction + city</v>
      </c>
      <c r="V672" s="3" t="str">
        <f aca="false">LOWER(M672)</f>
        <v>mwb</v>
      </c>
      <c r="W672" s="3" t="n">
        <f aca="false">COUNTIFS($A$2:$A$1001,A672,$C$2:$C$1001,C672)</f>
        <v>1</v>
      </c>
      <c r="X672" s="3" t="str">
        <f aca="false">IF(W672&gt;1,"Duplicate","Unique")</f>
        <v>Unique</v>
      </c>
      <c r="Y672" s="3" t="str">
        <f aca="false">IF(B672&lt;6.5,"&lt;6.5",IF(B672&lt;7,"6.5–6.9",IF(B672&lt;7.5,"7.0–7.4",IF(B672&lt;8,"7.5–7.9","8.0+"))))</f>
        <v>7.0–7.4</v>
      </c>
      <c r="Z672" s="3" t="n">
        <f aca="false">IF(T672="","",YEAR(T672))</f>
        <v>2006</v>
      </c>
    </row>
    <row r="673" customFormat="false" ht="13.8" hidden="false" customHeight="false" outlineLevel="0" collapsed="false">
      <c r="A673" s="3" t="s">
        <v>1775</v>
      </c>
      <c r="B673" s="3" t="n">
        <v>6.7</v>
      </c>
      <c r="C673" s="6" t="s">
        <v>1776</v>
      </c>
      <c r="D673" s="3" t="n">
        <v>7</v>
      </c>
      <c r="E673" s="3" t="n">
        <v>6</v>
      </c>
      <c r="F673" s="3"/>
      <c r="G673" s="3" t="n">
        <v>0</v>
      </c>
      <c r="H673" s="3" t="n">
        <v>934</v>
      </c>
      <c r="I673" s="3" t="s">
        <v>22</v>
      </c>
      <c r="J673" s="3" t="n">
        <v>769</v>
      </c>
      <c r="K673" s="3" t="n">
        <v>0</v>
      </c>
      <c r="L673" s="3" t="n">
        <v>19.7</v>
      </c>
      <c r="M673" s="3" t="s">
        <v>154</v>
      </c>
      <c r="N673" s="3" t="n">
        <v>66</v>
      </c>
      <c r="O673" s="3" t="n">
        <v>36.311</v>
      </c>
      <c r="P673" s="3" t="n">
        <v>23.212</v>
      </c>
      <c r="Q673" s="3" t="s">
        <v>1777</v>
      </c>
      <c r="R673" s="3" t="s">
        <v>361</v>
      </c>
      <c r="S673" s="3" t="s">
        <v>362</v>
      </c>
      <c r="T673" s="5" t="n">
        <f aca="false">IF(C673="","",DATE(VALUE(MID(C673,7,4)),VALUE(MID(C673,4,2)),VALUE(MID(C673,1,2)))+TIME(VALUE(MID(C673,12,2)),VALUE(MID(C673,15,2)),0))</f>
        <v>38725.4819444444</v>
      </c>
      <c r="U673" s="3" t="str">
        <f aca="false">IFERROR(IF(ISNUMBER(VALUE(TRIM(MID(A673,FIND("-",A673)+1,FIND("km",A673)-FIND("-",A673)-1)))),"Distance + direction + city","Named-region"),"Named-region")</f>
        <v>Distance + direction + city</v>
      </c>
      <c r="V673" s="3" t="str">
        <f aca="false">LOWER(M673)</f>
        <v>mwb</v>
      </c>
      <c r="W673" s="3" t="n">
        <f aca="false">COUNTIFS($A$2:$A$1001,A673,$C$2:$C$1001,C673)</f>
        <v>1</v>
      </c>
      <c r="X673" s="3" t="str">
        <f aca="false">IF(W673&gt;1,"Duplicate","Unique")</f>
        <v>Unique</v>
      </c>
      <c r="Y673" s="3" t="str">
        <f aca="false">IF(B673&lt;6.5,"&lt;6.5",IF(B673&lt;7,"6.5–6.9",IF(B673&lt;7.5,"7.0–7.4",IF(B673&lt;8,"7.5–7.9","8.0+"))))</f>
        <v>6.5–6.9</v>
      </c>
      <c r="Z673" s="3" t="n">
        <f aca="false">IF(T673="","",YEAR(T673))</f>
        <v>2006</v>
      </c>
    </row>
    <row r="674" customFormat="false" ht="13.8" hidden="false" customHeight="false" outlineLevel="0" collapsed="false">
      <c r="A674" s="3" t="s">
        <v>1778</v>
      </c>
      <c r="B674" s="3" t="n">
        <v>6.6</v>
      </c>
      <c r="C674" s="6" t="s">
        <v>1779</v>
      </c>
      <c r="D674" s="3" t="n">
        <v>7</v>
      </c>
      <c r="E674" s="3" t="n">
        <v>6</v>
      </c>
      <c r="F674" s="3"/>
      <c r="G674" s="3" t="n">
        <v>0</v>
      </c>
      <c r="H674" s="3" t="n">
        <v>703</v>
      </c>
      <c r="I674" s="3" t="s">
        <v>22</v>
      </c>
      <c r="J674" s="3" t="n">
        <v>323</v>
      </c>
      <c r="K674" s="3" t="n">
        <v>0</v>
      </c>
      <c r="L674" s="3" t="n">
        <v>48.2</v>
      </c>
      <c r="M674" s="3" t="s">
        <v>127</v>
      </c>
      <c r="N674" s="3" t="n">
        <v>14</v>
      </c>
      <c r="O674" s="3" t="n">
        <v>28.164</v>
      </c>
      <c r="P674" s="3" t="n">
        <v>-112.117</v>
      </c>
      <c r="Q674" s="3" t="s">
        <v>1544</v>
      </c>
      <c r="R674" s="3"/>
      <c r="S674" s="3"/>
      <c r="T674" s="5" t="n">
        <f aca="false">IF(C674="","",DATE(VALUE(MID(C674,7,4)),VALUE(MID(C674,4,2)),VALUE(MID(C674,1,2)))+TIME(VALUE(MID(C674,12,2)),VALUE(MID(C674,15,2)),0))</f>
        <v>38721.3555555556</v>
      </c>
      <c r="U674" s="3" t="str">
        <f aca="false">IFERROR(IF(ISNUMBER(VALUE(TRIM(MID(A674,FIND("-",A674)+1,FIND("km",A674)-FIND("-",A674)-1)))),"Distance + direction + city","Named-region"),"Named-region")</f>
        <v>Distance + direction + city</v>
      </c>
      <c r="V674" s="3" t="str">
        <f aca="false">LOWER(M674)</f>
        <v>mwc</v>
      </c>
      <c r="W674" s="3" t="n">
        <f aca="false">COUNTIFS($A$2:$A$1001,A674,$C$2:$C$1001,C674)</f>
        <v>1</v>
      </c>
      <c r="X674" s="3" t="str">
        <f aca="false">IF(W674&gt;1,"Duplicate","Unique")</f>
        <v>Unique</v>
      </c>
      <c r="Y674" s="3" t="str">
        <f aca="false">IF(B674&lt;6.5,"&lt;6.5",IF(B674&lt;7,"6.5–6.9",IF(B674&lt;7.5,"7.0–7.4",IF(B674&lt;8,"7.5–7.9","8.0+"))))</f>
        <v>6.5–6.9</v>
      </c>
      <c r="Z674" s="3" t="n">
        <f aca="false">IF(T674="","",YEAR(T674))</f>
        <v>2006</v>
      </c>
    </row>
    <row r="675" customFormat="false" ht="13.8" hidden="false" customHeight="false" outlineLevel="0" collapsed="false">
      <c r="A675" s="3" t="s">
        <v>1780</v>
      </c>
      <c r="B675" s="3" t="n">
        <v>6.5</v>
      </c>
      <c r="C675" s="6" t="s">
        <v>1781</v>
      </c>
      <c r="D675" s="3" t="n">
        <v>6</v>
      </c>
      <c r="E675" s="3" t="n">
        <v>5</v>
      </c>
      <c r="F675" s="3"/>
      <c r="G675" s="3" t="n">
        <v>0</v>
      </c>
      <c r="H675" s="3" t="n">
        <v>721</v>
      </c>
      <c r="I675" s="3" t="s">
        <v>22</v>
      </c>
      <c r="J675" s="3" t="n">
        <v>529</v>
      </c>
      <c r="K675" s="3" t="n">
        <v>0</v>
      </c>
      <c r="L675" s="3" t="n">
        <v>20.5</v>
      </c>
      <c r="M675" s="3" t="s">
        <v>154</v>
      </c>
      <c r="N675" s="3" t="n">
        <v>224.6</v>
      </c>
      <c r="O675" s="3" t="n">
        <v>36.357</v>
      </c>
      <c r="P675" s="3" t="n">
        <v>71.093</v>
      </c>
      <c r="Q675" s="3" t="s">
        <v>832</v>
      </c>
      <c r="R675" s="3" t="s">
        <v>80</v>
      </c>
      <c r="S675" s="3" t="s">
        <v>92</v>
      </c>
      <c r="T675" s="5" t="n">
        <f aca="false">IF(C675="","",DATE(VALUE(MID(C675,7,4)),VALUE(MID(C675,4,2)),VALUE(MID(C675,1,2)))+TIME(VALUE(MID(C675,12,2)),VALUE(MID(C675,15,2)),0))</f>
        <v>38698.9076388889</v>
      </c>
      <c r="U675" s="3" t="str">
        <f aca="false">IFERROR(IF(ISNUMBER(VALUE(TRIM(MID(A675,FIND("-",A675)+1,FIND("km",A675)-FIND("-",A675)-1)))),"Distance + direction + city","Named-region"),"Named-region")</f>
        <v>Distance + direction + city</v>
      </c>
      <c r="V675" s="3" t="str">
        <f aca="false">LOWER(M675)</f>
        <v>mwb</v>
      </c>
      <c r="W675" s="3" t="n">
        <f aca="false">COUNTIFS($A$2:$A$1001,A675,$C$2:$C$1001,C675)</f>
        <v>1</v>
      </c>
      <c r="X675" s="3" t="str">
        <f aca="false">IF(W675&gt;1,"Duplicate","Unique")</f>
        <v>Unique</v>
      </c>
      <c r="Y675" s="3" t="str">
        <f aca="false">IF(B675&lt;6.5,"&lt;6.5",IF(B675&lt;7,"6.5–6.9",IF(B675&lt;7.5,"7.0–7.4",IF(B675&lt;8,"7.5–7.9","8.0+"))))</f>
        <v>6.5–6.9</v>
      </c>
      <c r="Z675" s="3" t="n">
        <f aca="false">IF(T675="","",YEAR(T675))</f>
        <v>2005</v>
      </c>
    </row>
    <row r="676" customFormat="false" ht="13.8" hidden="false" customHeight="false" outlineLevel="0" collapsed="false">
      <c r="A676" s="3" t="s">
        <v>1782</v>
      </c>
      <c r="B676" s="3" t="n">
        <v>6.8</v>
      </c>
      <c r="C676" s="6" t="s">
        <v>1783</v>
      </c>
      <c r="D676" s="3" t="n">
        <v>5</v>
      </c>
      <c r="E676" s="3" t="n">
        <v>7</v>
      </c>
      <c r="F676" s="3"/>
      <c r="G676" s="3" t="n">
        <v>0</v>
      </c>
      <c r="H676" s="3" t="n">
        <v>744</v>
      </c>
      <c r="I676" s="3" t="s">
        <v>22</v>
      </c>
      <c r="J676" s="3" t="n">
        <v>561</v>
      </c>
      <c r="K676" s="3" t="n">
        <v>0</v>
      </c>
      <c r="L676" s="3" t="n">
        <v>20</v>
      </c>
      <c r="M676" s="3" t="s">
        <v>127</v>
      </c>
      <c r="N676" s="3" t="n">
        <v>22</v>
      </c>
      <c r="O676" s="3" t="n">
        <v>-6.224</v>
      </c>
      <c r="P676" s="3" t="n">
        <v>29.83</v>
      </c>
      <c r="Q676" s="3" t="s">
        <v>1784</v>
      </c>
      <c r="R676" s="3" t="s">
        <v>722</v>
      </c>
      <c r="S676" s="3" t="s">
        <v>1785</v>
      </c>
      <c r="T676" s="5" t="n">
        <f aca="false">IF(C676="","",DATE(VALUE(MID(C676,7,4)),VALUE(MID(C676,4,2)),VALUE(MID(C676,1,2)))+TIME(VALUE(MID(C676,12,2)),VALUE(MID(C676,15,2)),0))</f>
        <v>38691.5131944444</v>
      </c>
      <c r="U676" s="3" t="str">
        <f aca="false">IFERROR(IF(ISNUMBER(VALUE(TRIM(MID(A676,FIND("-",A676)+1,FIND("km",A676)-FIND("-",A676)-1)))),"Distance + direction + city","Named-region"),"Named-region")</f>
        <v>Distance + direction + city</v>
      </c>
      <c r="V676" s="3" t="str">
        <f aca="false">LOWER(M676)</f>
        <v>mwc</v>
      </c>
      <c r="W676" s="3" t="n">
        <f aca="false">COUNTIFS($A$2:$A$1001,A676,$C$2:$C$1001,C676)</f>
        <v>1</v>
      </c>
      <c r="X676" s="3" t="str">
        <f aca="false">IF(W676&gt;1,"Duplicate","Unique")</f>
        <v>Unique</v>
      </c>
      <c r="Y676" s="3" t="str">
        <f aca="false">IF(B676&lt;6.5,"&lt;6.5",IF(B676&lt;7,"6.5–6.9",IF(B676&lt;7.5,"7.0–7.4",IF(B676&lt;8,"7.5–7.9","8.0+"))))</f>
        <v>6.5–6.9</v>
      </c>
      <c r="Z676" s="3" t="n">
        <f aca="false">IF(T676="","",YEAR(T676))</f>
        <v>2005</v>
      </c>
    </row>
    <row r="677" customFormat="false" ht="13.8" hidden="false" customHeight="false" outlineLevel="0" collapsed="false">
      <c r="A677" s="3" t="s">
        <v>1786</v>
      </c>
      <c r="B677" s="3" t="n">
        <v>6.5</v>
      </c>
      <c r="C677" s="6" t="s">
        <v>1787</v>
      </c>
      <c r="D677" s="3" t="n">
        <v>4</v>
      </c>
      <c r="E677" s="3" t="n">
        <v>5</v>
      </c>
      <c r="F677" s="3"/>
      <c r="G677" s="3" t="n">
        <v>0</v>
      </c>
      <c r="H677" s="3" t="n">
        <v>683</v>
      </c>
      <c r="I677" s="3" t="s">
        <v>22</v>
      </c>
      <c r="J677" s="3" t="n">
        <v>464</v>
      </c>
      <c r="K677" s="3" t="n">
        <v>0</v>
      </c>
      <c r="L677" s="3" t="n">
        <v>48.8</v>
      </c>
      <c r="M677" s="3" t="s">
        <v>127</v>
      </c>
      <c r="N677" s="3" t="n">
        <v>29</v>
      </c>
      <c r="O677" s="3" t="n">
        <v>38.089</v>
      </c>
      <c r="P677" s="3" t="n">
        <v>142.122</v>
      </c>
      <c r="Q677" s="3" t="s">
        <v>331</v>
      </c>
      <c r="R677" s="3"/>
      <c r="S677" s="3"/>
      <c r="T677" s="5" t="n">
        <f aca="false">IF(C677="","",DATE(VALUE(MID(C677,7,4)),VALUE(MID(C677,4,2)),VALUE(MID(C677,1,2)))+TIME(VALUE(MID(C677,12,2)),VALUE(MID(C677,15,2)),0))</f>
        <v>38688.5506944444</v>
      </c>
      <c r="U677" s="3" t="str">
        <f aca="false">IFERROR(IF(ISNUMBER(VALUE(TRIM(MID(A677,FIND("-",A677)+1,FIND("km",A677)-FIND("-",A677)-1)))),"Distance + direction + city","Named-region"),"Named-region")</f>
        <v>Distance + direction + city</v>
      </c>
      <c r="V677" s="3" t="str">
        <f aca="false">LOWER(M677)</f>
        <v>mwc</v>
      </c>
      <c r="W677" s="3" t="n">
        <f aca="false">COUNTIFS($A$2:$A$1001,A677,$C$2:$C$1001,C677)</f>
        <v>1</v>
      </c>
      <c r="X677" s="3" t="str">
        <f aca="false">IF(W677&gt;1,"Duplicate","Unique")</f>
        <v>Unique</v>
      </c>
      <c r="Y677" s="3" t="str">
        <f aca="false">IF(B677&lt;6.5,"&lt;6.5",IF(B677&lt;7,"6.5–6.9",IF(B677&lt;7.5,"7.0–7.4",IF(B677&lt;8,"7.5–7.9","8.0+"))))</f>
        <v>6.5–6.9</v>
      </c>
      <c r="Z677" s="3" t="n">
        <f aca="false">IF(T677="","",YEAR(T677))</f>
        <v>2005</v>
      </c>
    </row>
    <row r="678" customFormat="false" ht="13.8" hidden="false" customHeight="false" outlineLevel="0" collapsed="false">
      <c r="A678" s="3" t="s">
        <v>1788</v>
      </c>
      <c r="B678" s="3" t="n">
        <v>6.5</v>
      </c>
      <c r="C678" s="3" t="s">
        <v>1789</v>
      </c>
      <c r="D678" s="3" t="n">
        <v>3</v>
      </c>
      <c r="E678" s="3" t="n">
        <v>6</v>
      </c>
      <c r="F678" s="3"/>
      <c r="G678" s="3" t="n">
        <v>0</v>
      </c>
      <c r="H678" s="3" t="n">
        <v>651</v>
      </c>
      <c r="I678" s="3" t="s">
        <v>22</v>
      </c>
      <c r="J678" s="3" t="n">
        <v>358</v>
      </c>
      <c r="K678" s="3" t="n">
        <v>0</v>
      </c>
      <c r="L678" s="3" t="n">
        <v>20.7</v>
      </c>
      <c r="M678" s="3" t="s">
        <v>154</v>
      </c>
      <c r="N678" s="3" t="n">
        <v>21</v>
      </c>
      <c r="O678" s="3" t="n">
        <v>2.164</v>
      </c>
      <c r="P678" s="3" t="n">
        <v>96.786</v>
      </c>
      <c r="Q678" s="3" t="s">
        <v>317</v>
      </c>
      <c r="R678" s="3"/>
      <c r="S678" s="3" t="s">
        <v>68</v>
      </c>
      <c r="T678" s="5" t="n">
        <f aca="false">IF(C678="","",DATE(VALUE(MID(C678,7,4)),VALUE(MID(C678,4,2)),VALUE(MID(C678,1,2)))+TIME(VALUE(MID(C678,12,2)),VALUE(MID(C678,15,2)),0))</f>
        <v>38675.5902777778</v>
      </c>
      <c r="U678" s="3" t="str">
        <f aca="false">IFERROR(IF(ISNUMBER(VALUE(TRIM(MID(A678,FIND("-",A678)+1,FIND("km",A678)-FIND("-",A678)-1)))),"Distance + direction + city","Named-region"),"Named-region")</f>
        <v>Distance + direction + city</v>
      </c>
      <c r="V678" s="3" t="str">
        <f aca="false">LOWER(M678)</f>
        <v>mwb</v>
      </c>
      <c r="W678" s="3" t="n">
        <f aca="false">COUNTIFS($A$2:$A$1001,A678,$C$2:$C$1001,C678)</f>
        <v>1</v>
      </c>
      <c r="X678" s="3" t="str">
        <f aca="false">IF(W678&gt;1,"Duplicate","Unique")</f>
        <v>Unique</v>
      </c>
      <c r="Y678" s="3" t="str">
        <f aca="false">IF(B678&lt;6.5,"&lt;6.5",IF(B678&lt;7,"6.5–6.9",IF(B678&lt;7.5,"7.0–7.4",IF(B678&lt;8,"7.5–7.9","8.0+"))))</f>
        <v>6.5–6.9</v>
      </c>
      <c r="Z678" s="3" t="n">
        <f aca="false">IF(T678="","",YEAR(T678))</f>
        <v>2005</v>
      </c>
    </row>
    <row r="679" customFormat="false" ht="13.8" hidden="false" customHeight="false" outlineLevel="0" collapsed="false">
      <c r="A679" s="3" t="s">
        <v>1790</v>
      </c>
      <c r="B679" s="3" t="n">
        <v>6.8</v>
      </c>
      <c r="C679" s="3" t="s">
        <v>1791</v>
      </c>
      <c r="D679" s="3" t="n">
        <v>0</v>
      </c>
      <c r="E679" s="3" t="n">
        <v>6</v>
      </c>
      <c r="F679" s="3"/>
      <c r="G679" s="3" t="n">
        <v>0</v>
      </c>
      <c r="H679" s="3" t="n">
        <v>711</v>
      </c>
      <c r="I679" s="3" t="s">
        <v>22</v>
      </c>
      <c r="J679" s="3" t="n">
        <v>509</v>
      </c>
      <c r="K679" s="3" t="n">
        <v>0</v>
      </c>
      <c r="L679" s="3" t="n">
        <v>30.1</v>
      </c>
      <c r="M679" s="3" t="s">
        <v>154</v>
      </c>
      <c r="N679" s="3" t="n">
        <v>147</v>
      </c>
      <c r="O679" s="3" t="n">
        <v>-22.361</v>
      </c>
      <c r="P679" s="3" t="n">
        <v>-67.895</v>
      </c>
      <c r="Q679" s="3" t="s">
        <v>404</v>
      </c>
      <c r="R679" s="3" t="s">
        <v>33</v>
      </c>
      <c r="S679" s="3" t="s">
        <v>618</v>
      </c>
      <c r="T679" s="5" t="n">
        <f aca="false">IF(C679="","",DATE(VALUE(MID(C679,7,4)),VALUE(MID(C679,4,2)),VALUE(MID(C679,1,2)))+TIME(VALUE(MID(C679,12,2)),VALUE(MID(C679,15,2)),0))</f>
        <v>38673.8097222222</v>
      </c>
      <c r="U679" s="3" t="str">
        <f aca="false">IFERROR(IF(ISNUMBER(VALUE(TRIM(MID(A679,FIND("-",A679)+1,FIND("km",A679)-FIND("-",A679)-1)))),"Distance + direction + city","Named-region"),"Named-region")</f>
        <v>Distance + direction + city</v>
      </c>
      <c r="V679" s="3" t="str">
        <f aca="false">LOWER(M679)</f>
        <v>mwb</v>
      </c>
      <c r="W679" s="3" t="n">
        <f aca="false">COUNTIFS($A$2:$A$1001,A679,$C$2:$C$1001,C679)</f>
        <v>1</v>
      </c>
      <c r="X679" s="3" t="str">
        <f aca="false">IF(W679&gt;1,"Duplicate","Unique")</f>
        <v>Unique</v>
      </c>
      <c r="Y679" s="3" t="str">
        <f aca="false">IF(B679&lt;6.5,"&lt;6.5",IF(B679&lt;7,"6.5–6.9",IF(B679&lt;7.5,"7.0–7.4",IF(B679&lt;8,"7.5–7.9","8.0+"))))</f>
        <v>6.5–6.9</v>
      </c>
      <c r="Z679" s="3" t="n">
        <f aca="false">IF(T679="","",YEAR(T679))</f>
        <v>2005</v>
      </c>
    </row>
    <row r="680" customFormat="false" ht="13.8" hidden="false" customHeight="false" outlineLevel="0" collapsed="false">
      <c r="A680" s="3" t="s">
        <v>1792</v>
      </c>
      <c r="B680" s="3" t="n">
        <v>7.6</v>
      </c>
      <c r="C680" s="6" t="s">
        <v>1793</v>
      </c>
      <c r="D680" s="3" t="n">
        <v>9</v>
      </c>
      <c r="E680" s="3" t="n">
        <v>9</v>
      </c>
      <c r="F680" s="3"/>
      <c r="G680" s="3" t="n">
        <v>0</v>
      </c>
      <c r="H680" s="3" t="n">
        <v>1267</v>
      </c>
      <c r="I680" s="3" t="s">
        <v>22</v>
      </c>
      <c r="J680" s="3" t="n">
        <v>724</v>
      </c>
      <c r="K680" s="3" t="n">
        <v>0</v>
      </c>
      <c r="L680" s="3" t="n">
        <v>21.1</v>
      </c>
      <c r="M680" s="3" t="s">
        <v>127</v>
      </c>
      <c r="N680" s="3" t="n">
        <v>26</v>
      </c>
      <c r="O680" s="3" t="n">
        <v>34.539</v>
      </c>
      <c r="P680" s="3" t="n">
        <v>73.588</v>
      </c>
      <c r="Q680" s="3" t="s">
        <v>1794</v>
      </c>
      <c r="R680" s="3" t="s">
        <v>80</v>
      </c>
      <c r="S680" s="3" t="s">
        <v>1134</v>
      </c>
      <c r="T680" s="5" t="n">
        <f aca="false">IF(C680="","",DATE(VALUE(MID(C680,7,4)),VALUE(MID(C680,4,2)),VALUE(MID(C680,1,2)))+TIME(VALUE(MID(C680,12,2)),VALUE(MID(C680,15,2)),0))</f>
        <v>38633.1597222222</v>
      </c>
      <c r="U680" s="3" t="str">
        <f aca="false">IFERROR(IF(ISNUMBER(VALUE(TRIM(MID(A680,FIND("-",A680)+1,FIND("km",A680)-FIND("-",A680)-1)))),"Distance + direction + city","Named-region"),"Named-region")</f>
        <v>Distance + direction + city</v>
      </c>
      <c r="V680" s="3" t="str">
        <f aca="false">LOWER(M680)</f>
        <v>mwc</v>
      </c>
      <c r="W680" s="3" t="n">
        <f aca="false">COUNTIFS($A$2:$A$1001,A680,$C$2:$C$1001,C680)</f>
        <v>1</v>
      </c>
      <c r="X680" s="3" t="str">
        <f aca="false">IF(W680&gt;1,"Duplicate","Unique")</f>
        <v>Unique</v>
      </c>
      <c r="Y680" s="3" t="str">
        <f aca="false">IF(B680&lt;6.5,"&lt;6.5",IF(B680&lt;7,"6.5–6.9",IF(B680&lt;7.5,"7.0–7.4",IF(B680&lt;8,"7.5–7.9","8.0+"))))</f>
        <v>7.5–7.9</v>
      </c>
      <c r="Z680" s="3" t="n">
        <f aca="false">IF(T680="","",YEAR(T680))</f>
        <v>2005</v>
      </c>
    </row>
    <row r="681" customFormat="false" ht="13.8" hidden="false" customHeight="false" outlineLevel="0" collapsed="false">
      <c r="A681" s="3" t="s">
        <v>1795</v>
      </c>
      <c r="B681" s="3" t="n">
        <v>6.6</v>
      </c>
      <c r="C681" s="3" t="s">
        <v>1796</v>
      </c>
      <c r="D681" s="3" t="n">
        <v>0</v>
      </c>
      <c r="E681" s="3" t="n">
        <v>6</v>
      </c>
      <c r="F681" s="3"/>
      <c r="G681" s="3" t="n">
        <v>0</v>
      </c>
      <c r="H681" s="3" t="n">
        <v>670</v>
      </c>
      <c r="I681" s="3" t="s">
        <v>22</v>
      </c>
      <c r="J681" s="3" t="n">
        <v>402</v>
      </c>
      <c r="K681" s="3" t="n">
        <v>0</v>
      </c>
      <c r="L681" s="3" t="n">
        <v>17.7</v>
      </c>
      <c r="M681" s="3" t="s">
        <v>127</v>
      </c>
      <c r="N681" s="3" t="n">
        <v>25</v>
      </c>
      <c r="O681" s="3" t="n">
        <v>-5.437</v>
      </c>
      <c r="P681" s="3" t="n">
        <v>151.84</v>
      </c>
      <c r="Q681" s="3" t="s">
        <v>625</v>
      </c>
      <c r="R681" s="3"/>
      <c r="S681" s="3" t="s">
        <v>85</v>
      </c>
      <c r="T681" s="5" t="n">
        <f aca="false">IF(C681="","",DATE(VALUE(MID(C681,7,4)),VALUE(MID(C681,4,2)),VALUE(MID(C681,1,2)))+TIME(VALUE(MID(C681,12,2)),VALUE(MID(C681,15,2)),0))</f>
        <v>38624.6597222222</v>
      </c>
      <c r="U681" s="3" t="str">
        <f aca="false">IFERROR(IF(ISNUMBER(VALUE(TRIM(MID(A681,FIND("-",A681)+1,FIND("km",A681)-FIND("-",A681)-1)))),"Distance + direction + city","Named-region"),"Named-region")</f>
        <v>Distance + direction + city</v>
      </c>
      <c r="V681" s="3" t="str">
        <f aca="false">LOWER(M681)</f>
        <v>mwc</v>
      </c>
      <c r="W681" s="3" t="n">
        <f aca="false">COUNTIFS($A$2:$A$1001,A681,$C$2:$C$1001,C681)</f>
        <v>1</v>
      </c>
      <c r="X681" s="3" t="str">
        <f aca="false">IF(W681&gt;1,"Duplicate","Unique")</f>
        <v>Unique</v>
      </c>
      <c r="Y681" s="3" t="str">
        <f aca="false">IF(B681&lt;6.5,"&lt;6.5",IF(B681&lt;7,"6.5–6.9",IF(B681&lt;7.5,"7.0–7.4",IF(B681&lt;8,"7.5–7.9","8.0+"))))</f>
        <v>6.5–6.9</v>
      </c>
      <c r="Z681" s="3" t="n">
        <f aca="false">IF(T681="","",YEAR(T681))</f>
        <v>2005</v>
      </c>
    </row>
    <row r="682" customFormat="false" ht="13.8" hidden="false" customHeight="false" outlineLevel="0" collapsed="false">
      <c r="A682" s="3" t="s">
        <v>1797</v>
      </c>
      <c r="B682" s="3" t="n">
        <v>7.5</v>
      </c>
      <c r="C682" s="3" t="s">
        <v>1798</v>
      </c>
      <c r="D682" s="3" t="n">
        <v>8</v>
      </c>
      <c r="E682" s="3" t="n">
        <v>7</v>
      </c>
      <c r="F682" s="3"/>
      <c r="G682" s="3" t="n">
        <v>0</v>
      </c>
      <c r="H682" s="3" t="n">
        <v>1018</v>
      </c>
      <c r="I682" s="3" t="s">
        <v>22</v>
      </c>
      <c r="J682" s="3" t="n">
        <v>696</v>
      </c>
      <c r="K682" s="3" t="n">
        <v>0</v>
      </c>
      <c r="L682" s="3" t="n">
        <v>26.2</v>
      </c>
      <c r="M682" s="3" t="s">
        <v>154</v>
      </c>
      <c r="N682" s="3" t="n">
        <v>115</v>
      </c>
      <c r="O682" s="3" t="n">
        <v>-5.678</v>
      </c>
      <c r="P682" s="3" t="n">
        <v>-76.398</v>
      </c>
      <c r="Q682" s="3" t="s">
        <v>1799</v>
      </c>
      <c r="R682" s="3" t="s">
        <v>33</v>
      </c>
      <c r="S682" s="3" t="s">
        <v>199</v>
      </c>
      <c r="T682" s="5" t="n">
        <f aca="false">IF(C682="","",DATE(VALUE(MID(C682,7,4)),VALUE(MID(C682,4,2)),VALUE(MID(C682,1,2)))+TIME(VALUE(MID(C682,12,2)),VALUE(MID(C682,15,2)),0))</f>
        <v>38621.0798611111</v>
      </c>
      <c r="U682" s="3" t="str">
        <f aca="false">IFERROR(IF(ISNUMBER(VALUE(TRIM(MID(A682,FIND("-",A682)+1,FIND("km",A682)-FIND("-",A682)-1)))),"Distance + direction + city","Named-region"),"Named-region")</f>
        <v>Distance + direction + city</v>
      </c>
      <c r="V682" s="3" t="str">
        <f aca="false">LOWER(M682)</f>
        <v>mwb</v>
      </c>
      <c r="W682" s="3" t="n">
        <f aca="false">COUNTIFS($A$2:$A$1001,A682,$C$2:$C$1001,C682)</f>
        <v>1</v>
      </c>
      <c r="X682" s="3" t="str">
        <f aca="false">IF(W682&gt;1,"Duplicate","Unique")</f>
        <v>Unique</v>
      </c>
      <c r="Y682" s="3" t="str">
        <f aca="false">IF(B682&lt;6.5,"&lt;6.5",IF(B682&lt;7,"6.5–6.9",IF(B682&lt;7.5,"7.0–7.4",IF(B682&lt;8,"7.5–7.9","8.0+"))))</f>
        <v>7.5–7.9</v>
      </c>
      <c r="Z682" s="3" t="n">
        <f aca="false">IF(T682="","",YEAR(T682))</f>
        <v>2005</v>
      </c>
    </row>
    <row r="683" customFormat="false" ht="13.8" hidden="false" customHeight="false" outlineLevel="0" collapsed="false">
      <c r="A683" s="3" t="s">
        <v>1800</v>
      </c>
      <c r="B683" s="3" t="n">
        <v>7.6</v>
      </c>
      <c r="C683" s="6" t="s">
        <v>1801</v>
      </c>
      <c r="D683" s="3" t="n">
        <v>5</v>
      </c>
      <c r="E683" s="3" t="n">
        <v>7</v>
      </c>
      <c r="F683" s="3"/>
      <c r="G683" s="3" t="n">
        <v>0</v>
      </c>
      <c r="H683" s="3" t="n">
        <v>891</v>
      </c>
      <c r="I683" s="3" t="s">
        <v>22</v>
      </c>
      <c r="J683" s="3" t="n">
        <v>502</v>
      </c>
      <c r="K683" s="3" t="n">
        <v>0</v>
      </c>
      <c r="L683" s="3" t="n">
        <v>20</v>
      </c>
      <c r="M683" s="3" t="s">
        <v>127</v>
      </c>
      <c r="N683" s="3" t="n">
        <v>90</v>
      </c>
      <c r="O683" s="3" t="n">
        <v>-4.539</v>
      </c>
      <c r="P683" s="3" t="n">
        <v>153.474</v>
      </c>
      <c r="Q683" s="3" t="s">
        <v>625</v>
      </c>
      <c r="R683" s="3"/>
      <c r="S683" s="3" t="s">
        <v>85</v>
      </c>
      <c r="T683" s="5" t="n">
        <f aca="false">IF(C683="","",DATE(VALUE(MID(C683,7,4)),VALUE(MID(C683,4,2)),VALUE(MID(C683,1,2)))+TIME(VALUE(MID(C683,12,2)),VALUE(MID(C683,15,2)),0))</f>
        <v>38604.3097222222</v>
      </c>
      <c r="U683" s="3" t="str">
        <f aca="false">IFERROR(IF(ISNUMBER(VALUE(TRIM(MID(A683,FIND("-",A683)+1,FIND("km",A683)-FIND("-",A683)-1)))),"Distance + direction + city","Named-region"),"Named-region")</f>
        <v>Distance + direction + city</v>
      </c>
      <c r="V683" s="3" t="str">
        <f aca="false">LOWER(M683)</f>
        <v>mwc</v>
      </c>
      <c r="W683" s="3" t="n">
        <f aca="false">COUNTIFS($A$2:$A$1001,A683,$C$2:$C$1001,C683)</f>
        <v>1</v>
      </c>
      <c r="X683" s="3" t="str">
        <f aca="false">IF(W683&gt;1,"Duplicate","Unique")</f>
        <v>Unique</v>
      </c>
      <c r="Y683" s="3" t="str">
        <f aca="false">IF(B683&lt;6.5,"&lt;6.5",IF(B683&lt;7,"6.5–6.9",IF(B683&lt;7.5,"7.0–7.4",IF(B683&lt;8,"7.5–7.9","8.0+"))))</f>
        <v>7.5–7.9</v>
      </c>
      <c r="Z683" s="3" t="n">
        <f aca="false">IF(T683="","",YEAR(T683))</f>
        <v>2005</v>
      </c>
    </row>
    <row r="684" customFormat="false" ht="13.8" hidden="false" customHeight="false" outlineLevel="0" collapsed="false">
      <c r="A684" s="3" t="s">
        <v>1802</v>
      </c>
      <c r="B684" s="3" t="n">
        <v>7.2</v>
      </c>
      <c r="C684" s="3" t="s">
        <v>1803</v>
      </c>
      <c r="D684" s="3" t="n">
        <v>7</v>
      </c>
      <c r="E684" s="3" t="n">
        <v>7</v>
      </c>
      <c r="F684" s="3"/>
      <c r="G684" s="3" t="n">
        <v>0</v>
      </c>
      <c r="H684" s="3" t="n">
        <v>1104</v>
      </c>
      <c r="I684" s="3" t="s">
        <v>22</v>
      </c>
      <c r="J684" s="3" t="n">
        <v>698</v>
      </c>
      <c r="K684" s="3" t="n">
        <v>0</v>
      </c>
      <c r="L684" s="3" t="n">
        <v>19.6</v>
      </c>
      <c r="M684" s="3" t="s">
        <v>127</v>
      </c>
      <c r="N684" s="3" t="n">
        <v>36</v>
      </c>
      <c r="O684" s="3" t="n">
        <v>38.276</v>
      </c>
      <c r="P684" s="3" t="n">
        <v>142.039</v>
      </c>
      <c r="Q684" s="3" t="s">
        <v>331</v>
      </c>
      <c r="R684" s="3"/>
      <c r="S684" s="3"/>
      <c r="T684" s="5" t="n">
        <f aca="false">IF(C684="","",DATE(VALUE(MID(C684,7,4)),VALUE(MID(C684,4,2)),VALUE(MID(C684,1,2)))+TIME(VALUE(MID(C684,12,2)),VALUE(MID(C684,15,2)),0))</f>
        <v>38580.1152777778</v>
      </c>
      <c r="U684" s="3" t="str">
        <f aca="false">IFERROR(IF(ISNUMBER(VALUE(TRIM(MID(A684,FIND("-",A684)+1,FIND("km",A684)-FIND("-",A684)-1)))),"Distance + direction + city","Named-region"),"Named-region")</f>
        <v>Distance + direction + city</v>
      </c>
      <c r="V684" s="3" t="str">
        <f aca="false">LOWER(M684)</f>
        <v>mwc</v>
      </c>
      <c r="W684" s="3" t="n">
        <f aca="false">COUNTIFS($A$2:$A$1001,A684,$C$2:$C$1001,C684)</f>
        <v>1</v>
      </c>
      <c r="X684" s="3" t="str">
        <f aca="false">IF(W684&gt;1,"Duplicate","Unique")</f>
        <v>Unique</v>
      </c>
      <c r="Y684" s="3" t="str">
        <f aca="false">IF(B684&lt;6.5,"&lt;6.5",IF(B684&lt;7,"6.5–6.9",IF(B684&lt;7.5,"7.0–7.4",IF(B684&lt;8,"7.5–7.9","8.0+"))))</f>
        <v>7.0–7.4</v>
      </c>
      <c r="Z684" s="3" t="n">
        <f aca="false">IF(T684="","",YEAR(T684))</f>
        <v>2005</v>
      </c>
    </row>
    <row r="685" customFormat="false" ht="13.8" hidden="false" customHeight="false" outlineLevel="0" collapsed="false">
      <c r="A685" s="3" t="s">
        <v>1804</v>
      </c>
      <c r="B685" s="3" t="n">
        <v>7.2</v>
      </c>
      <c r="C685" s="3" t="s">
        <v>1805</v>
      </c>
      <c r="D685" s="3" t="n">
        <v>4</v>
      </c>
      <c r="E685" s="3" t="n">
        <v>5</v>
      </c>
      <c r="F685" s="3"/>
      <c r="G685" s="3" t="n">
        <v>0</v>
      </c>
      <c r="H685" s="3" t="n">
        <v>808</v>
      </c>
      <c r="I685" s="3" t="s">
        <v>22</v>
      </c>
      <c r="J685" s="3" t="n">
        <v>636</v>
      </c>
      <c r="K685" s="3" t="n">
        <v>0</v>
      </c>
      <c r="L685" s="3" t="n">
        <v>26.4</v>
      </c>
      <c r="M685" s="3" t="s">
        <v>127</v>
      </c>
      <c r="N685" s="3" t="n">
        <v>16</v>
      </c>
      <c r="O685" s="3" t="n">
        <v>7.92</v>
      </c>
      <c r="P685" s="3" t="n">
        <v>92.19</v>
      </c>
      <c r="Q685" s="3" t="s">
        <v>890</v>
      </c>
      <c r="R685" s="3"/>
      <c r="S685" s="3"/>
      <c r="T685" s="5" t="n">
        <f aca="false">IF(C685="","",DATE(VALUE(MID(C685,7,4)),VALUE(MID(C685,4,2)),VALUE(MID(C685,1,2)))+TIME(VALUE(MID(C685,12,2)),VALUE(MID(C685,15,2)),0))</f>
        <v>38557.6541666667</v>
      </c>
      <c r="U685" s="3" t="str">
        <f aca="false">IFERROR(IF(ISNUMBER(VALUE(TRIM(MID(A685,FIND("-",A685)+1,FIND("km",A685)-FIND("-",A685)-1)))),"Distance + direction + city","Named-region"),"Named-region")</f>
        <v>Named-region</v>
      </c>
      <c r="V685" s="3" t="str">
        <f aca="false">LOWER(M685)</f>
        <v>mwc</v>
      </c>
      <c r="W685" s="3" t="n">
        <f aca="false">COUNTIFS($A$2:$A$1001,A685,$C$2:$C$1001,C685)</f>
        <v>1</v>
      </c>
      <c r="X685" s="3" t="str">
        <f aca="false">IF(W685&gt;1,"Duplicate","Unique")</f>
        <v>Unique</v>
      </c>
      <c r="Y685" s="3" t="str">
        <f aca="false">IF(B685&lt;6.5,"&lt;6.5",IF(B685&lt;7,"6.5–6.9",IF(B685&lt;7.5,"7.0–7.4",IF(B685&lt;8,"7.5–7.9","8.0+"))))</f>
        <v>7.0–7.4</v>
      </c>
      <c r="Z685" s="3" t="n">
        <f aca="false">IF(T685="","",YEAR(T685))</f>
        <v>2005</v>
      </c>
    </row>
    <row r="686" customFormat="false" ht="13.8" hidden="false" customHeight="false" outlineLevel="0" collapsed="false">
      <c r="A686" s="3" t="s">
        <v>1806</v>
      </c>
      <c r="B686" s="3" t="n">
        <v>6.7</v>
      </c>
      <c r="C686" s="6" t="s">
        <v>1807</v>
      </c>
      <c r="D686" s="3" t="n">
        <v>3</v>
      </c>
      <c r="E686" s="3" t="n">
        <v>6</v>
      </c>
      <c r="F686" s="3"/>
      <c r="G686" s="3" t="n">
        <v>0</v>
      </c>
      <c r="H686" s="3" t="n">
        <v>693</v>
      </c>
      <c r="I686" s="3" t="s">
        <v>22</v>
      </c>
      <c r="J686" s="3" t="n">
        <v>398</v>
      </c>
      <c r="K686" s="3" t="n">
        <v>0</v>
      </c>
      <c r="L686" s="3" t="n">
        <v>22.3</v>
      </c>
      <c r="M686" s="3" t="s">
        <v>127</v>
      </c>
      <c r="N686" s="3" t="n">
        <v>21</v>
      </c>
      <c r="O686" s="3" t="n">
        <v>1.819</v>
      </c>
      <c r="P686" s="3" t="n">
        <v>97.082</v>
      </c>
      <c r="Q686" s="3" t="s">
        <v>1752</v>
      </c>
      <c r="R686" s="3"/>
      <c r="S686" s="3" t="s">
        <v>68</v>
      </c>
      <c r="T686" s="5" t="n">
        <f aca="false">IF(C686="","",DATE(VALUE(MID(C686,7,4)),VALUE(MID(C686,4,2)),VALUE(MID(C686,1,2)))+TIME(VALUE(MID(C686,12,2)),VALUE(MID(C686,15,2)),0))</f>
        <v>38538.0777777778</v>
      </c>
      <c r="U686" s="3" t="str">
        <f aca="false">IFERROR(IF(ISNUMBER(VALUE(TRIM(MID(A686,FIND("-",A686)+1,FIND("km",A686)-FIND("-",A686)-1)))),"Distance + direction + city","Named-region"),"Named-region")</f>
        <v>Distance + direction + city</v>
      </c>
      <c r="V686" s="3" t="str">
        <f aca="false">LOWER(M686)</f>
        <v>mwc</v>
      </c>
      <c r="W686" s="3" t="n">
        <f aca="false">COUNTIFS($A$2:$A$1001,A686,$C$2:$C$1001,C686)</f>
        <v>1</v>
      </c>
      <c r="X686" s="3" t="str">
        <f aca="false">IF(W686&gt;1,"Duplicate","Unique")</f>
        <v>Unique</v>
      </c>
      <c r="Y686" s="3" t="str">
        <f aca="false">IF(B686&lt;6.5,"&lt;6.5",IF(B686&lt;7,"6.5–6.9",IF(B686&lt;7.5,"7.0–7.4",IF(B686&lt;8,"7.5–7.9","8.0+"))))</f>
        <v>6.5–6.9</v>
      </c>
      <c r="Z686" s="3" t="n">
        <f aca="false">IF(T686="","",YEAR(T686))</f>
        <v>2005</v>
      </c>
    </row>
    <row r="687" customFormat="false" ht="13.8" hidden="false" customHeight="false" outlineLevel="0" collapsed="false">
      <c r="A687" s="3" t="s">
        <v>1808</v>
      </c>
      <c r="B687" s="3" t="n">
        <v>6.6</v>
      </c>
      <c r="C687" s="6" t="s">
        <v>1809</v>
      </c>
      <c r="D687" s="3" t="n">
        <v>6</v>
      </c>
      <c r="E687" s="3" t="n">
        <v>5</v>
      </c>
      <c r="F687" s="3"/>
      <c r="G687" s="3" t="n">
        <v>0</v>
      </c>
      <c r="H687" s="3" t="n">
        <v>719</v>
      </c>
      <c r="I687" s="3" t="s">
        <v>22</v>
      </c>
      <c r="J687" s="3" t="n">
        <v>446</v>
      </c>
      <c r="K687" s="3" t="n">
        <v>0</v>
      </c>
      <c r="L687" s="3" t="n">
        <v>21.1</v>
      </c>
      <c r="M687" s="3" t="s">
        <v>127</v>
      </c>
      <c r="N687" s="3" t="n">
        <v>27</v>
      </c>
      <c r="O687" s="3" t="n">
        <v>11.245</v>
      </c>
      <c r="P687" s="3" t="n">
        <v>-86.172</v>
      </c>
      <c r="Q687" s="3" t="s">
        <v>1810</v>
      </c>
      <c r="R687" s="3"/>
      <c r="S687" s="3"/>
      <c r="T687" s="5" t="n">
        <f aca="false">IF(C687="","",DATE(VALUE(MID(C687,7,4)),VALUE(MID(C687,4,2)),VALUE(MID(C687,1,2)))+TIME(VALUE(MID(C687,12,2)),VALUE(MID(C687,15,2)),0))</f>
        <v>38535.0944444445</v>
      </c>
      <c r="U687" s="3" t="str">
        <f aca="false">IFERROR(IF(ISNUMBER(VALUE(TRIM(MID(A687,FIND("-",A687)+1,FIND("km",A687)-FIND("-",A687)-1)))),"Distance + direction + city","Named-region"),"Named-region")</f>
        <v>Distance + direction + city</v>
      </c>
      <c r="V687" s="3" t="str">
        <f aca="false">LOWER(M687)</f>
        <v>mwc</v>
      </c>
      <c r="W687" s="3" t="n">
        <f aca="false">COUNTIFS($A$2:$A$1001,A687,$C$2:$C$1001,C687)</f>
        <v>1</v>
      </c>
      <c r="X687" s="3" t="str">
        <f aca="false">IF(W687&gt;1,"Duplicate","Unique")</f>
        <v>Unique</v>
      </c>
      <c r="Y687" s="3" t="str">
        <f aca="false">IF(B687&lt;6.5,"&lt;6.5",IF(B687&lt;7,"6.5–6.9",IF(B687&lt;7.5,"7.0–7.4",IF(B687&lt;8,"7.5–7.9","8.0+"))))</f>
        <v>6.5–6.9</v>
      </c>
      <c r="Z687" s="3" t="n">
        <f aca="false">IF(T687="","",YEAR(T687))</f>
        <v>2005</v>
      </c>
    </row>
    <row r="688" customFormat="false" ht="13.8" hidden="false" customHeight="false" outlineLevel="0" collapsed="false">
      <c r="A688" s="3" t="s">
        <v>1811</v>
      </c>
      <c r="B688" s="3" t="n">
        <v>7.2</v>
      </c>
      <c r="C688" s="3" t="s">
        <v>1812</v>
      </c>
      <c r="D688" s="3" t="n">
        <v>5</v>
      </c>
      <c r="E688" s="3" t="n">
        <v>4</v>
      </c>
      <c r="F688" s="3"/>
      <c r="G688" s="3" t="n">
        <v>0</v>
      </c>
      <c r="H688" s="3" t="n">
        <v>1318</v>
      </c>
      <c r="I688" s="3" t="s">
        <v>22</v>
      </c>
      <c r="J688" s="3" t="n">
        <v>420</v>
      </c>
      <c r="K688" s="3" t="n">
        <v>0</v>
      </c>
      <c r="L688" s="3" t="n">
        <v>31.4</v>
      </c>
      <c r="M688" s="3" t="s">
        <v>127</v>
      </c>
      <c r="N688" s="3" t="n">
        <v>16</v>
      </c>
      <c r="O688" s="3" t="n">
        <v>41.292</v>
      </c>
      <c r="P688" s="3" t="n">
        <v>-125.953</v>
      </c>
      <c r="Q688" s="3" t="s">
        <v>1813</v>
      </c>
      <c r="R688" s="3"/>
      <c r="S688" s="3"/>
      <c r="T688" s="5" t="n">
        <f aca="false">IF(C688="","",DATE(VALUE(MID(C688,7,4)),VALUE(MID(C688,4,2)),VALUE(MID(C688,1,2)))+TIME(VALUE(MID(C688,12,2)),VALUE(MID(C688,15,2)),0))</f>
        <v>38518.1180555556</v>
      </c>
      <c r="U688" s="3" t="str">
        <f aca="false">IFERROR(IF(ISNUMBER(VALUE(TRIM(MID(A688,FIND("-",A688)+1,FIND("km",A688)-FIND("-",A688)-1)))),"Distance + direction + city","Named-region"),"Named-region")</f>
        <v>Distance + direction + city</v>
      </c>
      <c r="V688" s="3" t="str">
        <f aca="false">LOWER(M688)</f>
        <v>mwc</v>
      </c>
      <c r="W688" s="3" t="n">
        <f aca="false">COUNTIFS($A$2:$A$1001,A688,$C$2:$C$1001,C688)</f>
        <v>1</v>
      </c>
      <c r="X688" s="3" t="str">
        <f aca="false">IF(W688&gt;1,"Duplicate","Unique")</f>
        <v>Unique</v>
      </c>
      <c r="Y688" s="3" t="str">
        <f aca="false">IF(B688&lt;6.5,"&lt;6.5",IF(B688&lt;7,"6.5–6.9",IF(B688&lt;7.5,"7.0–7.4",IF(B688&lt;8,"7.5–7.9","8.0+"))))</f>
        <v>7.0–7.4</v>
      </c>
      <c r="Z688" s="3" t="n">
        <f aca="false">IF(T688="","",YEAR(T688))</f>
        <v>2005</v>
      </c>
    </row>
    <row r="689" customFormat="false" ht="13.8" hidden="false" customHeight="false" outlineLevel="0" collapsed="false">
      <c r="A689" s="3" t="s">
        <v>1814</v>
      </c>
      <c r="B689" s="3" t="n">
        <v>7.8</v>
      </c>
      <c r="C689" s="3" t="s">
        <v>1815</v>
      </c>
      <c r="D689" s="3" t="n">
        <v>8</v>
      </c>
      <c r="E689" s="3" t="n">
        <v>7</v>
      </c>
      <c r="F689" s="3"/>
      <c r="G689" s="3" t="n">
        <v>0</v>
      </c>
      <c r="H689" s="3" t="n">
        <v>1020</v>
      </c>
      <c r="I689" s="3" t="s">
        <v>22</v>
      </c>
      <c r="J689" s="3" t="n">
        <v>714</v>
      </c>
      <c r="K689" s="3" t="n">
        <v>0</v>
      </c>
      <c r="L689" s="3" t="n">
        <v>16.1</v>
      </c>
      <c r="M689" s="3" t="s">
        <v>154</v>
      </c>
      <c r="N689" s="3" t="n">
        <v>115.6</v>
      </c>
      <c r="O689" s="3" t="n">
        <v>-19.987</v>
      </c>
      <c r="P689" s="3" t="n">
        <v>-69.197</v>
      </c>
      <c r="Q689" s="3" t="s">
        <v>1076</v>
      </c>
      <c r="R689" s="3" t="s">
        <v>33</v>
      </c>
      <c r="S689" s="3" t="s">
        <v>373</v>
      </c>
      <c r="T689" s="5" t="n">
        <f aca="false">IF(C689="","",DATE(VALUE(MID(C689,7,4)),VALUE(MID(C689,4,2)),VALUE(MID(C689,1,2)))+TIME(VALUE(MID(C689,12,2)),VALUE(MID(C689,15,2)),0))</f>
        <v>38516.9472222222</v>
      </c>
      <c r="U689" s="3" t="str">
        <f aca="false">IFERROR(IF(ISNUMBER(VALUE(TRIM(MID(A689,FIND("-",A689)+1,FIND("km",A689)-FIND("-",A689)-1)))),"Distance + direction + city","Named-region"),"Named-region")</f>
        <v>Distance + direction + city</v>
      </c>
      <c r="V689" s="3" t="str">
        <f aca="false">LOWER(M689)</f>
        <v>mwb</v>
      </c>
      <c r="W689" s="3" t="n">
        <f aca="false">COUNTIFS($A$2:$A$1001,A689,$C$2:$C$1001,C689)</f>
        <v>1</v>
      </c>
      <c r="X689" s="3" t="str">
        <f aca="false">IF(W689&gt;1,"Duplicate","Unique")</f>
        <v>Unique</v>
      </c>
      <c r="Y689" s="3" t="str">
        <f aca="false">IF(B689&lt;6.5,"&lt;6.5",IF(B689&lt;7,"6.5–6.9",IF(B689&lt;7.5,"7.0–7.4",IF(B689&lt;8,"7.5–7.9","8.0+"))))</f>
        <v>7.5–7.9</v>
      </c>
      <c r="Z689" s="3" t="n">
        <f aca="false">IF(T689="","",YEAR(T689))</f>
        <v>2005</v>
      </c>
    </row>
    <row r="690" customFormat="false" ht="13.8" hidden="false" customHeight="false" outlineLevel="0" collapsed="false">
      <c r="A690" s="3" t="s">
        <v>1816</v>
      </c>
      <c r="B690" s="3" t="n">
        <v>6.9</v>
      </c>
      <c r="C690" s="3" t="s">
        <v>1817</v>
      </c>
      <c r="D690" s="3" t="n">
        <v>5</v>
      </c>
      <c r="E690" s="3" t="n">
        <v>7</v>
      </c>
      <c r="F690" s="3"/>
      <c r="G690" s="3" t="n">
        <v>0</v>
      </c>
      <c r="H690" s="3" t="n">
        <v>740</v>
      </c>
      <c r="I690" s="3" t="s">
        <v>22</v>
      </c>
      <c r="J690" s="3" t="n">
        <v>635</v>
      </c>
      <c r="K690" s="3" t="n">
        <v>0</v>
      </c>
      <c r="L690" s="3" t="n">
        <v>26</v>
      </c>
      <c r="M690" s="3" t="s">
        <v>127</v>
      </c>
      <c r="N690" s="3" t="n">
        <v>30</v>
      </c>
      <c r="O690" s="3" t="n">
        <v>1.989</v>
      </c>
      <c r="P690" s="3" t="n">
        <v>97.041</v>
      </c>
      <c r="Q690" s="3" t="s">
        <v>1752</v>
      </c>
      <c r="R690" s="3"/>
      <c r="S690" s="3" t="s">
        <v>68</v>
      </c>
      <c r="T690" s="5" t="n">
        <f aca="false">IF(C690="","",DATE(VALUE(MID(C690,7,4)),VALUE(MID(C690,4,2)),VALUE(MID(C690,1,2)))+TIME(VALUE(MID(C690,12,2)),VALUE(MID(C690,15,2)),0))</f>
        <v>38491.0791666667</v>
      </c>
      <c r="U690" s="3" t="str">
        <f aca="false">IFERROR(IF(ISNUMBER(VALUE(TRIM(MID(A690,FIND("-",A690)+1,FIND("km",A690)-FIND("-",A690)-1)))),"Distance + direction + city","Named-region"),"Named-region")</f>
        <v>Distance + direction + city</v>
      </c>
      <c r="V690" s="3" t="str">
        <f aca="false">LOWER(M690)</f>
        <v>mwc</v>
      </c>
      <c r="W690" s="3" t="n">
        <f aca="false">COUNTIFS($A$2:$A$1001,A690,$C$2:$C$1001,C690)</f>
        <v>1</v>
      </c>
      <c r="X690" s="3" t="str">
        <f aca="false">IF(W690&gt;1,"Duplicate","Unique")</f>
        <v>Unique</v>
      </c>
      <c r="Y690" s="3" t="str">
        <f aca="false">IF(B690&lt;6.5,"&lt;6.5",IF(B690&lt;7,"6.5–6.9",IF(B690&lt;7.5,"7.0–7.4",IF(B690&lt;8,"7.5–7.9","8.0+"))))</f>
        <v>6.5–6.9</v>
      </c>
      <c r="Z690" s="3" t="n">
        <f aca="false">IF(T690="","",YEAR(T690))</f>
        <v>2005</v>
      </c>
    </row>
    <row r="691" customFormat="false" ht="13.8" hidden="false" customHeight="false" outlineLevel="0" collapsed="false">
      <c r="A691" s="3" t="s">
        <v>1818</v>
      </c>
      <c r="B691" s="3" t="n">
        <v>6.7</v>
      </c>
      <c r="C691" s="3" t="s">
        <v>1819</v>
      </c>
      <c r="D691" s="3" t="n">
        <v>6</v>
      </c>
      <c r="E691" s="3" t="n">
        <v>5</v>
      </c>
      <c r="F691" s="3"/>
      <c r="G691" s="3" t="n">
        <v>0</v>
      </c>
      <c r="H691" s="3" t="n">
        <v>731</v>
      </c>
      <c r="I691" s="3" t="s">
        <v>22</v>
      </c>
      <c r="J691" s="3" t="n">
        <v>695</v>
      </c>
      <c r="K691" s="3" t="n">
        <v>0</v>
      </c>
      <c r="L691" s="3" t="n">
        <v>20.9</v>
      </c>
      <c r="M691" s="3" t="s">
        <v>154</v>
      </c>
      <c r="N691" s="3" t="n">
        <v>34</v>
      </c>
      <c r="O691" s="3" t="n">
        <v>0.587</v>
      </c>
      <c r="P691" s="3" t="n">
        <v>98.459</v>
      </c>
      <c r="Q691" s="3" t="s">
        <v>1820</v>
      </c>
      <c r="R691" s="3"/>
      <c r="S691" s="3" t="s">
        <v>68</v>
      </c>
      <c r="T691" s="5" t="n">
        <f aca="false">IF(C691="","",DATE(VALUE(MID(C691,7,4)),VALUE(MID(C691,4,2)),VALUE(MID(C691,1,2)))+TIME(VALUE(MID(C691,12,2)),VALUE(MID(C691,15,2)),0))</f>
        <v>38486.2118055556</v>
      </c>
      <c r="U691" s="3" t="str">
        <f aca="false">IFERROR(IF(ISNUMBER(VALUE(TRIM(MID(A691,FIND("-",A691)+1,FIND("km",A691)-FIND("-",A691)-1)))),"Distance + direction + city","Named-region"),"Named-region")</f>
        <v>Distance + direction + city</v>
      </c>
      <c r="V691" s="3" t="str">
        <f aca="false">LOWER(M691)</f>
        <v>mwb</v>
      </c>
      <c r="W691" s="3" t="n">
        <f aca="false">COUNTIFS($A$2:$A$1001,A691,$C$2:$C$1001,C691)</f>
        <v>1</v>
      </c>
      <c r="X691" s="3" t="str">
        <f aca="false">IF(W691&gt;1,"Duplicate","Unique")</f>
        <v>Unique</v>
      </c>
      <c r="Y691" s="3" t="str">
        <f aca="false">IF(B691&lt;6.5,"&lt;6.5",IF(B691&lt;7,"6.5–6.9",IF(B691&lt;7.5,"7.0–7.4",IF(B691&lt;8,"7.5–7.9","8.0+"))))</f>
        <v>6.5–6.9</v>
      </c>
      <c r="Z691" s="3" t="n">
        <f aca="false">IF(T691="","",YEAR(T691))</f>
        <v>2005</v>
      </c>
    </row>
    <row r="692" customFormat="false" ht="13.8" hidden="false" customHeight="false" outlineLevel="0" collapsed="false">
      <c r="A692" s="3" t="s">
        <v>1821</v>
      </c>
      <c r="B692" s="3" t="n">
        <v>6.5</v>
      </c>
      <c r="C692" s="6" t="s">
        <v>1822</v>
      </c>
      <c r="D692" s="3" t="n">
        <v>3</v>
      </c>
      <c r="E692" s="3" t="n">
        <v>6</v>
      </c>
      <c r="F692" s="3"/>
      <c r="G692" s="3" t="n">
        <v>0</v>
      </c>
      <c r="H692" s="3" t="n">
        <v>657</v>
      </c>
      <c r="I692" s="3" t="s">
        <v>22</v>
      </c>
      <c r="J692" s="3" t="n">
        <v>478</v>
      </c>
      <c r="K692" s="3" t="n">
        <v>0</v>
      </c>
      <c r="L692" s="3" t="n">
        <v>21.2</v>
      </c>
      <c r="M692" s="3" t="s">
        <v>127</v>
      </c>
      <c r="N692" s="3" t="n">
        <v>30</v>
      </c>
      <c r="O692" s="3" t="n">
        <v>-1.714</v>
      </c>
      <c r="P692" s="3" t="n">
        <v>99.779</v>
      </c>
      <c r="Q692" s="3" t="s">
        <v>1533</v>
      </c>
      <c r="R692" s="3"/>
      <c r="S692" s="3" t="s">
        <v>68</v>
      </c>
      <c r="T692" s="5" t="n">
        <f aca="false">IF(C692="","",DATE(VALUE(MID(C692,7,4)),VALUE(MID(C692,4,2)),VALUE(MID(C692,1,2)))+TIME(VALUE(MID(C692,12,2)),VALUE(MID(C692,15,2)),0))</f>
        <v>38452.4680555556</v>
      </c>
      <c r="U692" s="3" t="str">
        <f aca="false">IFERROR(IF(ISNUMBER(VALUE(TRIM(MID(A692,FIND("-",A692)+1,FIND("km",A692)-FIND("-",A692)-1)))),"Distance + direction + city","Named-region"),"Named-region")</f>
        <v>Distance + direction + city</v>
      </c>
      <c r="V692" s="3" t="str">
        <f aca="false">LOWER(M692)</f>
        <v>mwc</v>
      </c>
      <c r="W692" s="3" t="n">
        <f aca="false">COUNTIFS($A$2:$A$1001,A692,$C$2:$C$1001,C692)</f>
        <v>1</v>
      </c>
      <c r="X692" s="3" t="str">
        <f aca="false">IF(W692&gt;1,"Duplicate","Unique")</f>
        <v>Unique</v>
      </c>
      <c r="Y692" s="3" t="str">
        <f aca="false">IF(B692&lt;6.5,"&lt;6.5",IF(B692&lt;7,"6.5–6.9",IF(B692&lt;7.5,"7.0–7.4",IF(B692&lt;8,"7.5–7.9","8.0+"))))</f>
        <v>6.5–6.9</v>
      </c>
      <c r="Z692" s="3" t="n">
        <f aca="false">IF(T692="","",YEAR(T692))</f>
        <v>2005</v>
      </c>
    </row>
    <row r="693" customFormat="false" ht="13.8" hidden="false" customHeight="false" outlineLevel="0" collapsed="false">
      <c r="A693" s="3" t="s">
        <v>1823</v>
      </c>
      <c r="B693" s="3" t="n">
        <v>6.7</v>
      </c>
      <c r="C693" s="6" t="s">
        <v>1824</v>
      </c>
      <c r="D693" s="3" t="n">
        <v>5</v>
      </c>
      <c r="E693" s="3" t="n">
        <v>6</v>
      </c>
      <c r="F693" s="3"/>
      <c r="G693" s="3" t="n">
        <v>0</v>
      </c>
      <c r="H693" s="3" t="n">
        <v>717</v>
      </c>
      <c r="I693" s="3" t="s">
        <v>22</v>
      </c>
      <c r="J693" s="3" t="n">
        <v>656</v>
      </c>
      <c r="K693" s="3" t="n">
        <v>0</v>
      </c>
      <c r="L693" s="3" t="n">
        <v>21.2</v>
      </c>
      <c r="M693" s="3" t="s">
        <v>127</v>
      </c>
      <c r="N693" s="3" t="n">
        <v>19</v>
      </c>
      <c r="O693" s="3" t="n">
        <v>-1.644</v>
      </c>
      <c r="P693" s="3" t="n">
        <v>99.607</v>
      </c>
      <c r="Q693" s="3" t="s">
        <v>1533</v>
      </c>
      <c r="R693" s="3"/>
      <c r="S693" s="3" t="s">
        <v>68</v>
      </c>
      <c r="T693" s="5" t="n">
        <f aca="false">IF(C693="","",DATE(VALUE(MID(C693,7,4)),VALUE(MID(C693,4,2)),VALUE(MID(C693,1,2)))+TIME(VALUE(MID(C693,12,2)),VALUE(MID(C693,15,2)),0))</f>
        <v>38452.4368055556</v>
      </c>
      <c r="U693" s="3" t="str">
        <f aca="false">IFERROR(IF(ISNUMBER(VALUE(TRIM(MID(A693,FIND("-",A693)+1,FIND("km",A693)-FIND("-",A693)-1)))),"Distance + direction + city","Named-region"),"Named-region")</f>
        <v>Distance + direction + city</v>
      </c>
      <c r="V693" s="3" t="str">
        <f aca="false">LOWER(M693)</f>
        <v>mwc</v>
      </c>
      <c r="W693" s="3" t="n">
        <f aca="false">COUNTIFS($A$2:$A$1001,A693,$C$2:$C$1001,C693)</f>
        <v>1</v>
      </c>
      <c r="X693" s="3" t="str">
        <f aca="false">IF(W693&gt;1,"Duplicate","Unique")</f>
        <v>Unique</v>
      </c>
      <c r="Y693" s="3" t="str">
        <f aca="false">IF(B693&lt;6.5,"&lt;6.5",IF(B693&lt;7,"6.5–6.9",IF(B693&lt;7.5,"7.0–7.4",IF(B693&lt;8,"7.5–7.9","8.0+"))))</f>
        <v>6.5–6.9</v>
      </c>
      <c r="Z693" s="3" t="n">
        <f aca="false">IF(T693="","",YEAR(T693))</f>
        <v>2005</v>
      </c>
    </row>
    <row r="694" customFormat="false" ht="13.8" hidden="false" customHeight="false" outlineLevel="0" collapsed="false">
      <c r="A694" s="3" t="s">
        <v>1825</v>
      </c>
      <c r="B694" s="3" t="n">
        <v>8.6</v>
      </c>
      <c r="C694" s="3" t="s">
        <v>1826</v>
      </c>
      <c r="D694" s="3" t="n">
        <v>0</v>
      </c>
      <c r="E694" s="3" t="n">
        <v>8</v>
      </c>
      <c r="F694" s="3"/>
      <c r="G694" s="3" t="n">
        <v>0</v>
      </c>
      <c r="H694" s="3" t="n">
        <v>1138</v>
      </c>
      <c r="I694" s="3" t="s">
        <v>1293</v>
      </c>
      <c r="J694" s="3" t="n">
        <v>510</v>
      </c>
      <c r="K694" s="3" t="n">
        <v>0</v>
      </c>
      <c r="L694" s="3" t="n">
        <v>22.1</v>
      </c>
      <c r="M694" s="3" t="s">
        <v>23</v>
      </c>
      <c r="N694" s="3" t="n">
        <v>30</v>
      </c>
      <c r="O694" s="3" t="n">
        <v>2.085</v>
      </c>
      <c r="P694" s="3" t="n">
        <v>97.108</v>
      </c>
      <c r="Q694" s="3" t="s">
        <v>1752</v>
      </c>
      <c r="R694" s="3"/>
      <c r="S694" s="3" t="s">
        <v>68</v>
      </c>
      <c r="T694" s="5" t="n">
        <f aca="false">IF(C694="","",DATE(VALUE(MID(C694,7,4)),VALUE(MID(C694,4,2)),VALUE(MID(C694,1,2)))+TIME(VALUE(MID(C694,12,2)),VALUE(MID(C694,15,2)),0))</f>
        <v>38439.6729166667</v>
      </c>
      <c r="U694" s="3" t="str">
        <f aca="false">IFERROR(IF(ISNUMBER(VALUE(TRIM(MID(A694,FIND("-",A694)+1,FIND("km",A694)-FIND("-",A694)-1)))),"Distance + direction + city","Named-region"),"Named-region")</f>
        <v>Distance + direction + city</v>
      </c>
      <c r="V694" s="3" t="str">
        <f aca="false">LOWER(M694)</f>
        <v>mww</v>
      </c>
      <c r="W694" s="3" t="n">
        <f aca="false">COUNTIFS($A$2:$A$1001,A694,$C$2:$C$1001,C694)</f>
        <v>1</v>
      </c>
      <c r="X694" s="3" t="str">
        <f aca="false">IF(W694&gt;1,"Duplicate","Unique")</f>
        <v>Unique</v>
      </c>
      <c r="Y694" s="3" t="str">
        <f aca="false">IF(B694&lt;6.5,"&lt;6.5",IF(B694&lt;7,"6.5–6.9",IF(B694&lt;7.5,"7.0–7.4",IF(B694&lt;8,"7.5–7.9","8.0+"))))</f>
        <v>8.0+</v>
      </c>
      <c r="Z694" s="3" t="n">
        <f aca="false">IF(T694="","",YEAR(T694))</f>
        <v>2005</v>
      </c>
    </row>
    <row r="695" customFormat="false" ht="13.8" hidden="false" customHeight="false" outlineLevel="0" collapsed="false">
      <c r="A695" s="3" t="s">
        <v>1827</v>
      </c>
      <c r="B695" s="3" t="n">
        <v>6.6</v>
      </c>
      <c r="C695" s="3" t="s">
        <v>1828</v>
      </c>
      <c r="D695" s="3" t="n">
        <v>8</v>
      </c>
      <c r="E695" s="3" t="n">
        <v>7</v>
      </c>
      <c r="F695" s="3"/>
      <c r="G695" s="3" t="n">
        <v>0</v>
      </c>
      <c r="H695" s="3" t="n">
        <v>805</v>
      </c>
      <c r="I695" s="3" t="s">
        <v>22</v>
      </c>
      <c r="J695" s="3" t="n">
        <v>401</v>
      </c>
      <c r="K695" s="3" t="n">
        <v>0</v>
      </c>
      <c r="L695" s="3" t="n">
        <v>22.9</v>
      </c>
      <c r="M695" s="3" t="s">
        <v>127</v>
      </c>
      <c r="N695" s="3" t="n">
        <v>10</v>
      </c>
      <c r="O695" s="3" t="n">
        <v>33.807</v>
      </c>
      <c r="P695" s="3" t="n">
        <v>130.131</v>
      </c>
      <c r="Q695" s="3" t="s">
        <v>1829</v>
      </c>
      <c r="R695" s="3" t="s">
        <v>80</v>
      </c>
      <c r="S695" s="3" t="s">
        <v>322</v>
      </c>
      <c r="T695" s="5" t="n">
        <f aca="false">IF(C695="","",DATE(VALUE(MID(C695,7,4)),VALUE(MID(C695,4,2)),VALUE(MID(C695,1,2)))+TIME(VALUE(MID(C695,12,2)),VALUE(MID(C695,15,2)),0))</f>
        <v>38431.0784722222</v>
      </c>
      <c r="U695" s="3" t="str">
        <f aca="false">IFERROR(IF(ISNUMBER(VALUE(TRIM(MID(A695,FIND("-",A695)+1,FIND("km",A695)-FIND("-",A695)-1)))),"Distance + direction + city","Named-region"),"Named-region")</f>
        <v>Distance + direction + city</v>
      </c>
      <c r="V695" s="3" t="str">
        <f aca="false">LOWER(M695)</f>
        <v>mwc</v>
      </c>
      <c r="W695" s="3" t="n">
        <f aca="false">COUNTIFS($A$2:$A$1001,A695,$C$2:$C$1001,C695)</f>
        <v>1</v>
      </c>
      <c r="X695" s="3" t="str">
        <f aca="false">IF(W695&gt;1,"Duplicate","Unique")</f>
        <v>Unique</v>
      </c>
      <c r="Y695" s="3" t="str">
        <f aca="false">IF(B695&lt;6.5,"&lt;6.5",IF(B695&lt;7,"6.5–6.9",IF(B695&lt;7.5,"7.0–7.4",IF(B695&lt;8,"7.5–7.9","8.0+"))))</f>
        <v>6.5–6.9</v>
      </c>
      <c r="Z695" s="3" t="n">
        <f aca="false">IF(T695="","",YEAR(T695))</f>
        <v>2005</v>
      </c>
    </row>
    <row r="696" customFormat="false" ht="13.8" hidden="false" customHeight="false" outlineLevel="0" collapsed="false">
      <c r="A696" s="3" t="s">
        <v>1232</v>
      </c>
      <c r="B696" s="3" t="n">
        <v>7.1</v>
      </c>
      <c r="C696" s="6" t="s">
        <v>1830</v>
      </c>
      <c r="D696" s="3" t="n">
        <v>0</v>
      </c>
      <c r="E696" s="3" t="n">
        <v>5</v>
      </c>
      <c r="F696" s="3"/>
      <c r="G696" s="3" t="n">
        <v>0</v>
      </c>
      <c r="H696" s="3" t="n">
        <v>776</v>
      </c>
      <c r="I696" s="3" t="s">
        <v>22</v>
      </c>
      <c r="J696" s="3" t="n">
        <v>569</v>
      </c>
      <c r="K696" s="3" t="n">
        <v>0</v>
      </c>
      <c r="L696" s="3" t="n">
        <v>18.1</v>
      </c>
      <c r="M696" s="3" t="s">
        <v>154</v>
      </c>
      <c r="N696" s="3" t="n">
        <v>201.7</v>
      </c>
      <c r="O696" s="3" t="n">
        <v>-6.527</v>
      </c>
      <c r="P696" s="3" t="n">
        <v>129.933</v>
      </c>
      <c r="Q696" s="3" t="s">
        <v>415</v>
      </c>
      <c r="R696" s="3"/>
      <c r="S696" s="3" t="s">
        <v>68</v>
      </c>
      <c r="T696" s="5" t="n">
        <f aca="false">IF(C696="","",DATE(VALUE(MID(C696,7,4)),VALUE(MID(C696,4,2)),VALUE(MID(C696,1,2)))+TIME(VALUE(MID(C696,12,2)),VALUE(MID(C696,15,2)),0))</f>
        <v>38413.4458333333</v>
      </c>
      <c r="U696" s="3" t="str">
        <f aca="false">IFERROR(IF(ISNUMBER(VALUE(TRIM(MID(A696,FIND("-",A696)+1,FIND("km",A696)-FIND("-",A696)-1)))),"Distance + direction + city","Named-region"),"Named-region")</f>
        <v>Named-region</v>
      </c>
      <c r="V696" s="3" t="str">
        <f aca="false">LOWER(M696)</f>
        <v>mwb</v>
      </c>
      <c r="W696" s="3" t="n">
        <f aca="false">COUNTIFS($A$2:$A$1001,A696,$C$2:$C$1001,C696)</f>
        <v>1</v>
      </c>
      <c r="X696" s="3" t="str">
        <f aca="false">IF(W696&gt;1,"Duplicate","Unique")</f>
        <v>Unique</v>
      </c>
      <c r="Y696" s="3" t="str">
        <f aca="false">IF(B696&lt;6.5,"&lt;6.5",IF(B696&lt;7,"6.5–6.9",IF(B696&lt;7.5,"7.0–7.4",IF(B696&lt;8,"7.5–7.9","8.0+"))))</f>
        <v>7.0–7.4</v>
      </c>
      <c r="Z696" s="3" t="n">
        <f aca="false">IF(T696="","",YEAR(T696))</f>
        <v>2005</v>
      </c>
    </row>
    <row r="697" customFormat="false" ht="13.8" hidden="false" customHeight="false" outlineLevel="0" collapsed="false">
      <c r="A697" s="3" t="s">
        <v>1831</v>
      </c>
      <c r="B697" s="3" t="n">
        <v>6.8</v>
      </c>
      <c r="C697" s="3" t="s">
        <v>1832</v>
      </c>
      <c r="D697" s="3" t="n">
        <v>0</v>
      </c>
      <c r="E697" s="3" t="n">
        <v>6</v>
      </c>
      <c r="F697" s="3"/>
      <c r="G697" s="3" t="n">
        <v>0</v>
      </c>
      <c r="H697" s="3" t="n">
        <v>711</v>
      </c>
      <c r="I697" s="3" t="s">
        <v>22</v>
      </c>
      <c r="J697" s="3" t="n">
        <v>444</v>
      </c>
      <c r="K697" s="3" t="n">
        <v>0</v>
      </c>
      <c r="L697" s="3" t="n">
        <v>33.8</v>
      </c>
      <c r="M697" s="3" t="s">
        <v>154</v>
      </c>
      <c r="N697" s="3" t="n">
        <v>36</v>
      </c>
      <c r="O697" s="3" t="n">
        <v>2.908</v>
      </c>
      <c r="P697" s="3" t="n">
        <v>95.592</v>
      </c>
      <c r="Q697" s="3" t="s">
        <v>317</v>
      </c>
      <c r="R697" s="3"/>
      <c r="S697" s="3" t="s">
        <v>68</v>
      </c>
      <c r="T697" s="5" t="n">
        <f aca="false">IF(C697="","",DATE(VALUE(MID(C697,7,4)),VALUE(MID(C697,4,2)),VALUE(MID(C697,1,2)))+TIME(VALUE(MID(C697,12,2)),VALUE(MID(C697,15,2)),0))</f>
        <v>38409.5388888889</v>
      </c>
      <c r="U697" s="3" t="str">
        <f aca="false">IFERROR(IF(ISNUMBER(VALUE(TRIM(MID(A697,FIND("-",A697)+1,FIND("km",A697)-FIND("-",A697)-1)))),"Distance + direction + city","Named-region"),"Named-region")</f>
        <v>Distance + direction + city</v>
      </c>
      <c r="V697" s="3" t="str">
        <f aca="false">LOWER(M697)</f>
        <v>mwb</v>
      </c>
      <c r="W697" s="3" t="n">
        <f aca="false">COUNTIFS($A$2:$A$1001,A697,$C$2:$C$1001,C697)</f>
        <v>1</v>
      </c>
      <c r="X697" s="3" t="str">
        <f aca="false">IF(W697&gt;1,"Duplicate","Unique")</f>
        <v>Unique</v>
      </c>
      <c r="Y697" s="3" t="str">
        <f aca="false">IF(B697&lt;6.5,"&lt;6.5",IF(B697&lt;7,"6.5–6.9",IF(B697&lt;7.5,"7.0–7.4",IF(B697&lt;8,"7.5–7.9","8.0+"))))</f>
        <v>6.5–6.9</v>
      </c>
      <c r="Z697" s="3" t="n">
        <f aca="false">IF(T697="","",YEAR(T697))</f>
        <v>2005</v>
      </c>
    </row>
    <row r="698" customFormat="false" ht="13.8" hidden="false" customHeight="false" outlineLevel="0" collapsed="false">
      <c r="A698" s="3" t="s">
        <v>1833</v>
      </c>
      <c r="B698" s="3" t="n">
        <v>6.5</v>
      </c>
      <c r="C698" s="3" t="s">
        <v>1834</v>
      </c>
      <c r="D698" s="3" t="n">
        <v>0</v>
      </c>
      <c r="E698" s="3" t="n">
        <v>7</v>
      </c>
      <c r="F698" s="3"/>
      <c r="G698" s="3" t="n">
        <v>0</v>
      </c>
      <c r="H698" s="3" t="n">
        <v>650</v>
      </c>
      <c r="I698" s="3" t="s">
        <v>22</v>
      </c>
      <c r="J698" s="3" t="n">
        <v>371</v>
      </c>
      <c r="K698" s="3" t="n">
        <v>0</v>
      </c>
      <c r="L698" s="3" t="n">
        <v>31.8</v>
      </c>
      <c r="M698" s="3" t="s">
        <v>154</v>
      </c>
      <c r="N698" s="3" t="n">
        <v>10</v>
      </c>
      <c r="O698" s="3" t="n">
        <v>-5.562</v>
      </c>
      <c r="P698" s="3" t="n">
        <v>122.129</v>
      </c>
      <c r="Q698" s="3" t="s">
        <v>378</v>
      </c>
      <c r="R698" s="3"/>
      <c r="S698" s="3" t="s">
        <v>68</v>
      </c>
      <c r="T698" s="5" t="n">
        <f aca="false">IF(C698="","",DATE(VALUE(MID(C698,7,4)),VALUE(MID(C698,4,2)),VALUE(MID(C698,1,2)))+TIME(VALUE(MID(C698,12,2)),VALUE(MID(C698,15,2)),0))</f>
        <v>38402.0027777778</v>
      </c>
      <c r="U698" s="3" t="str">
        <f aca="false">IFERROR(IF(ISNUMBER(VALUE(TRIM(MID(A698,FIND("-",A698)+1,FIND("km",A698)-FIND("-",A698)-1)))),"Distance + direction + city","Named-region"),"Named-region")</f>
        <v>Distance + direction + city</v>
      </c>
      <c r="V698" s="3" t="str">
        <f aca="false">LOWER(M698)</f>
        <v>mwb</v>
      </c>
      <c r="W698" s="3" t="n">
        <f aca="false">COUNTIFS($A$2:$A$1001,A698,$C$2:$C$1001,C698)</f>
        <v>1</v>
      </c>
      <c r="X698" s="3" t="str">
        <f aca="false">IF(W698&gt;1,"Duplicate","Unique")</f>
        <v>Unique</v>
      </c>
      <c r="Y698" s="3" t="str">
        <f aca="false">IF(B698&lt;6.5,"&lt;6.5",IF(B698&lt;7,"6.5–6.9",IF(B698&lt;7.5,"7.0–7.4",IF(B698&lt;8,"7.5–7.9","8.0+"))))</f>
        <v>6.5–6.9</v>
      </c>
      <c r="Z698" s="3" t="n">
        <f aca="false">IF(T698="","",YEAR(T698))</f>
        <v>2005</v>
      </c>
    </row>
    <row r="699" customFormat="false" ht="13.8" hidden="false" customHeight="false" outlineLevel="0" collapsed="false">
      <c r="A699" s="3" t="s">
        <v>1835</v>
      </c>
      <c r="B699" s="3" t="n">
        <v>6.5</v>
      </c>
      <c r="C699" s="3" t="s">
        <v>1836</v>
      </c>
      <c r="D699" s="3" t="n">
        <v>3</v>
      </c>
      <c r="E699" s="3" t="n">
        <v>5</v>
      </c>
      <c r="F699" s="3"/>
      <c r="G699" s="3" t="n">
        <v>0</v>
      </c>
      <c r="H699" s="3" t="n">
        <v>652</v>
      </c>
      <c r="I699" s="3" t="s">
        <v>22</v>
      </c>
      <c r="J699" s="3" t="n">
        <v>286</v>
      </c>
      <c r="K699" s="3" t="n">
        <v>0</v>
      </c>
      <c r="L699" s="3" t="n">
        <v>47.3</v>
      </c>
      <c r="M699" s="3" t="s">
        <v>127</v>
      </c>
      <c r="N699" s="3" t="n">
        <v>39.7</v>
      </c>
      <c r="O699" s="3" t="n">
        <v>4.756</v>
      </c>
      <c r="P699" s="3" t="n">
        <v>126.421</v>
      </c>
      <c r="Q699" s="3" t="s">
        <v>1837</v>
      </c>
      <c r="R699" s="3"/>
      <c r="S699" s="3" t="s">
        <v>68</v>
      </c>
      <c r="T699" s="5" t="n">
        <f aca="false">IF(C699="","",DATE(VALUE(MID(C699,7,4)),VALUE(MID(C699,4,2)),VALUE(MID(C699,1,2)))+TIME(VALUE(MID(C699,12,2)),VALUE(MID(C699,15,2)),0))</f>
        <v>38398.6125</v>
      </c>
      <c r="U699" s="3" t="str">
        <f aca="false">IFERROR(IF(ISNUMBER(VALUE(TRIM(MID(A699,FIND("-",A699)+1,FIND("km",A699)-FIND("-",A699)-1)))),"Distance + direction + city","Named-region"),"Named-region")</f>
        <v>Named-region</v>
      </c>
      <c r="V699" s="3" t="str">
        <f aca="false">LOWER(M699)</f>
        <v>mwc</v>
      </c>
      <c r="W699" s="3" t="n">
        <f aca="false">COUNTIFS($A$2:$A$1001,A699,$C$2:$C$1001,C699)</f>
        <v>1</v>
      </c>
      <c r="X699" s="3" t="str">
        <f aca="false">IF(W699&gt;1,"Duplicate","Unique")</f>
        <v>Unique</v>
      </c>
      <c r="Y699" s="3" t="str">
        <f aca="false">IF(B699&lt;6.5,"&lt;6.5",IF(B699&lt;7,"6.5–6.9",IF(B699&lt;7.5,"7.0–7.4",IF(B699&lt;8,"7.5–7.9","8.0+"))))</f>
        <v>6.5–6.9</v>
      </c>
      <c r="Z699" s="3" t="n">
        <f aca="false">IF(T699="","",YEAR(T699))</f>
        <v>2005</v>
      </c>
    </row>
    <row r="700" customFormat="false" ht="13.8" hidden="false" customHeight="false" outlineLevel="0" collapsed="false">
      <c r="A700" s="3" t="s">
        <v>1838</v>
      </c>
      <c r="B700" s="3" t="n">
        <v>6.7</v>
      </c>
      <c r="C700" s="6" t="s">
        <v>1839</v>
      </c>
      <c r="D700" s="3" t="n">
        <v>0</v>
      </c>
      <c r="E700" s="3" t="n">
        <v>4</v>
      </c>
      <c r="F700" s="3"/>
      <c r="G700" s="3" t="n">
        <v>0</v>
      </c>
      <c r="H700" s="3" t="n">
        <v>691</v>
      </c>
      <c r="I700" s="3" t="s">
        <v>22</v>
      </c>
      <c r="J700" s="3" t="n">
        <v>457</v>
      </c>
      <c r="K700" s="3" t="n">
        <v>0</v>
      </c>
      <c r="L700" s="3" t="n">
        <v>30.2</v>
      </c>
      <c r="M700" s="3" t="s">
        <v>154</v>
      </c>
      <c r="N700" s="3" t="n">
        <v>206.3</v>
      </c>
      <c r="O700" s="3" t="n">
        <v>-14.252</v>
      </c>
      <c r="P700" s="3" t="n">
        <v>167.259</v>
      </c>
      <c r="Q700" s="3" t="s">
        <v>24</v>
      </c>
      <c r="R700" s="3"/>
      <c r="S700" s="3" t="s">
        <v>25</v>
      </c>
      <c r="T700" s="5" t="n">
        <f aca="false">IF(C700="","",DATE(VALUE(MID(C700,7,4)),VALUE(MID(C700,4,2)),VALUE(MID(C700,1,2)))+TIME(VALUE(MID(C700,12,2)),VALUE(MID(C700,15,2)),0))</f>
        <v>38391.6166666667</v>
      </c>
      <c r="U700" s="3" t="str">
        <f aca="false">IFERROR(IF(ISNUMBER(VALUE(TRIM(MID(A700,FIND("-",A700)+1,FIND("km",A700)-FIND("-",A700)-1)))),"Distance + direction + city","Named-region"),"Named-region")</f>
        <v>Distance + direction + city</v>
      </c>
      <c r="V700" s="3" t="str">
        <f aca="false">LOWER(M700)</f>
        <v>mwb</v>
      </c>
      <c r="W700" s="3" t="n">
        <f aca="false">COUNTIFS($A$2:$A$1001,A700,$C$2:$C$1001,C700)</f>
        <v>1</v>
      </c>
      <c r="X700" s="3" t="str">
        <f aca="false">IF(W700&gt;1,"Duplicate","Unique")</f>
        <v>Unique</v>
      </c>
      <c r="Y700" s="3" t="str">
        <f aca="false">IF(B700&lt;6.5,"&lt;6.5",IF(B700&lt;7,"6.5–6.9",IF(B700&lt;7.5,"7.0–7.4",IF(B700&lt;8,"7.5–7.9","8.0+"))))</f>
        <v>6.5–6.9</v>
      </c>
      <c r="Z700" s="3" t="n">
        <f aca="false">IF(T700="","",YEAR(T700))</f>
        <v>2005</v>
      </c>
    </row>
    <row r="701" customFormat="false" ht="13.8" hidden="false" customHeight="false" outlineLevel="0" collapsed="false">
      <c r="A701" s="3" t="s">
        <v>1840</v>
      </c>
      <c r="B701" s="3" t="n">
        <v>7.1</v>
      </c>
      <c r="C701" s="6" t="s">
        <v>1841</v>
      </c>
      <c r="D701" s="3" t="n">
        <v>7</v>
      </c>
      <c r="E701" s="3" t="n">
        <v>3</v>
      </c>
      <c r="F701" s="3"/>
      <c r="G701" s="3" t="n">
        <v>0</v>
      </c>
      <c r="H701" s="3" t="n">
        <v>782</v>
      </c>
      <c r="I701" s="3" t="s">
        <v>22</v>
      </c>
      <c r="J701" s="3" t="n">
        <v>640</v>
      </c>
      <c r="K701" s="3" t="n">
        <v>0</v>
      </c>
      <c r="L701" s="3" t="n">
        <v>26.4</v>
      </c>
      <c r="M701" s="3" t="s">
        <v>127</v>
      </c>
      <c r="N701" s="3" t="n">
        <v>525</v>
      </c>
      <c r="O701" s="3" t="n">
        <v>5.293</v>
      </c>
      <c r="P701" s="3" t="n">
        <v>123.337</v>
      </c>
      <c r="Q701" s="3" t="s">
        <v>1842</v>
      </c>
      <c r="R701" s="3"/>
      <c r="S701" s="3"/>
      <c r="T701" s="5" t="n">
        <f aca="false">IF(C701="","",DATE(VALUE(MID(C701,7,4)),VALUE(MID(C701,4,2)),VALUE(MID(C701,1,2)))+TIME(VALUE(MID(C701,12,2)),VALUE(MID(C701,15,2)),0))</f>
        <v>38388.5159722222</v>
      </c>
      <c r="U701" s="3" t="str">
        <f aca="false">IFERROR(IF(ISNUMBER(VALUE(TRIM(MID(A701,FIND("-",A701)+1,FIND("km",A701)-FIND("-",A701)-1)))),"Distance + direction + city","Named-region"),"Named-region")</f>
        <v>Distance + direction + city</v>
      </c>
      <c r="V701" s="3" t="str">
        <f aca="false">LOWER(M701)</f>
        <v>mwc</v>
      </c>
      <c r="W701" s="3" t="n">
        <f aca="false">COUNTIFS($A$2:$A$1001,A701,$C$2:$C$1001,C701)</f>
        <v>1</v>
      </c>
      <c r="X701" s="3" t="str">
        <f aca="false">IF(W701&gt;1,"Duplicate","Unique")</f>
        <v>Unique</v>
      </c>
      <c r="Y701" s="3" t="str">
        <f aca="false">IF(B701&lt;6.5,"&lt;6.5",IF(B701&lt;7,"6.5–6.9",IF(B701&lt;7.5,"7.0–7.4",IF(B701&lt;8,"7.5–7.9","8.0+"))))</f>
        <v>7.0–7.4</v>
      </c>
      <c r="Z701" s="3" t="n">
        <f aca="false">IF(T701="","",YEAR(T701))</f>
        <v>2005</v>
      </c>
    </row>
    <row r="702" customFormat="false" ht="13.8" hidden="false" customHeight="false" outlineLevel="0" collapsed="false">
      <c r="A702" s="3" t="s">
        <v>1843</v>
      </c>
      <c r="B702" s="3" t="n">
        <v>6.6</v>
      </c>
      <c r="C702" s="3" t="s">
        <v>1844</v>
      </c>
      <c r="D702" s="3" t="n">
        <v>6</v>
      </c>
      <c r="E702" s="3" t="n">
        <v>4</v>
      </c>
      <c r="F702" s="3"/>
      <c r="G702" s="3" t="n">
        <v>0</v>
      </c>
      <c r="H702" s="3" t="n">
        <v>676</v>
      </c>
      <c r="I702" s="3" t="s">
        <v>22</v>
      </c>
      <c r="J702" s="3" t="n">
        <v>225</v>
      </c>
      <c r="K702" s="3" t="n">
        <v>0</v>
      </c>
      <c r="L702" s="3" t="n">
        <v>78.5</v>
      </c>
      <c r="M702" s="3" t="s">
        <v>127</v>
      </c>
      <c r="N702" s="3" t="n">
        <v>27.8</v>
      </c>
      <c r="O702" s="3" t="n">
        <v>34.064</v>
      </c>
      <c r="P702" s="3" t="n">
        <v>141.491</v>
      </c>
      <c r="Q702" s="3" t="s">
        <v>1845</v>
      </c>
      <c r="R702" s="3"/>
      <c r="S702" s="3"/>
      <c r="T702" s="5" t="n">
        <f aca="false">IF(C702="","",DATE(VALUE(MID(C702,7,4)),VALUE(MID(C702,4,2)),VALUE(MID(C702,1,2)))+TIME(VALUE(MID(C702,12,2)),VALUE(MID(C702,15,2)),0))</f>
        <v>38371.2576388889</v>
      </c>
      <c r="U702" s="3" t="str">
        <f aca="false">IFERROR(IF(ISNUMBER(VALUE(TRIM(MID(A702,FIND("-",A702)+1,FIND("km",A702)-FIND("-",A702)-1)))),"Distance + direction + city","Named-region"),"Named-region")</f>
        <v>Distance + direction + city</v>
      </c>
      <c r="V702" s="3" t="str">
        <f aca="false">LOWER(M702)</f>
        <v>mwc</v>
      </c>
      <c r="W702" s="3" t="n">
        <f aca="false">COUNTIFS($A$2:$A$1001,A702,$C$2:$C$1001,C702)</f>
        <v>1</v>
      </c>
      <c r="X702" s="3" t="str">
        <f aca="false">IF(W702&gt;1,"Duplicate","Unique")</f>
        <v>Unique</v>
      </c>
      <c r="Y702" s="3" t="str">
        <f aca="false">IF(B702&lt;6.5,"&lt;6.5",IF(B702&lt;7,"6.5–6.9",IF(B702&lt;7.5,"7.0–7.4",IF(B702&lt;8,"7.5–7.9","8.0+"))))</f>
        <v>6.5–6.9</v>
      </c>
      <c r="Z702" s="3" t="n">
        <f aca="false">IF(T702="","",YEAR(T702))</f>
        <v>2005</v>
      </c>
    </row>
    <row r="703" customFormat="false" ht="13.8" hidden="false" customHeight="false" outlineLevel="0" collapsed="false">
      <c r="A703" s="3" t="s">
        <v>888</v>
      </c>
      <c r="B703" s="3" t="n">
        <v>6.6</v>
      </c>
      <c r="C703" s="3" t="s">
        <v>1846</v>
      </c>
      <c r="D703" s="3" t="n">
        <v>0</v>
      </c>
      <c r="E703" s="3" t="n">
        <v>5</v>
      </c>
      <c r="F703" s="3"/>
      <c r="G703" s="3" t="n">
        <v>0</v>
      </c>
      <c r="H703" s="3" t="n">
        <v>670</v>
      </c>
      <c r="I703" s="3" t="s">
        <v>22</v>
      </c>
      <c r="J703" s="3" t="n">
        <v>353</v>
      </c>
      <c r="K703" s="3" t="n">
        <v>0</v>
      </c>
      <c r="L703" s="3" t="n">
        <v>31.9</v>
      </c>
      <c r="M703" s="3" t="s">
        <v>127</v>
      </c>
      <c r="N703" s="3" t="n">
        <v>16.1</v>
      </c>
      <c r="O703" s="3" t="n">
        <v>8.879</v>
      </c>
      <c r="P703" s="3" t="n">
        <v>92.375</v>
      </c>
      <c r="Q703" s="3" t="s">
        <v>890</v>
      </c>
      <c r="R703" s="3"/>
      <c r="S703" s="3"/>
      <c r="T703" s="5" t="n">
        <f aca="false">IF(C703="","",DATE(VALUE(MID(C703,7,4)),VALUE(MID(C703,4,2)),VALUE(MID(C703,1,2)))+TIME(VALUE(MID(C703,12,2)),VALUE(MID(C703,15,2)),0))</f>
        <v>38347.3888888889</v>
      </c>
      <c r="U703" s="3" t="str">
        <f aca="false">IFERROR(IF(ISNUMBER(VALUE(TRIM(MID(A703,FIND("-",A703)+1,FIND("km",A703)-FIND("-",A703)-1)))),"Distance + direction + city","Named-region"),"Named-region")</f>
        <v>Named-region</v>
      </c>
      <c r="V703" s="3" t="str">
        <f aca="false">LOWER(M703)</f>
        <v>mwc</v>
      </c>
      <c r="W703" s="3" t="n">
        <f aca="false">COUNTIFS($A$2:$A$1001,A703,$C$2:$C$1001,C703)</f>
        <v>1</v>
      </c>
      <c r="X703" s="3" t="str">
        <f aca="false">IF(W703&gt;1,"Duplicate","Unique")</f>
        <v>Unique</v>
      </c>
      <c r="Y703" s="3" t="str">
        <f aca="false">IF(B703&lt;6.5,"&lt;6.5",IF(B703&lt;7,"6.5–6.9",IF(B703&lt;7.5,"7.0–7.4",IF(B703&lt;8,"7.5–7.9","8.0+"))))</f>
        <v>6.5–6.9</v>
      </c>
      <c r="Z703" s="3" t="n">
        <f aca="false">IF(T703="","",YEAR(T703))</f>
        <v>2004</v>
      </c>
    </row>
    <row r="704" customFormat="false" ht="13.8" hidden="false" customHeight="false" outlineLevel="0" collapsed="false">
      <c r="A704" s="3" t="s">
        <v>1847</v>
      </c>
      <c r="B704" s="3" t="n">
        <v>7.2</v>
      </c>
      <c r="C704" s="3" t="s">
        <v>1848</v>
      </c>
      <c r="D704" s="3" t="n">
        <v>5</v>
      </c>
      <c r="E704" s="3" t="n">
        <v>6</v>
      </c>
      <c r="F704" s="3"/>
      <c r="G704" s="3" t="n">
        <v>0</v>
      </c>
      <c r="H704" s="3" t="n">
        <v>802</v>
      </c>
      <c r="I704" s="3" t="s">
        <v>22</v>
      </c>
      <c r="J704" s="3" t="n">
        <v>385</v>
      </c>
      <c r="K704" s="3" t="n">
        <v>0</v>
      </c>
      <c r="L704" s="3" t="n">
        <v>27.9</v>
      </c>
      <c r="M704" s="3" t="s">
        <v>127</v>
      </c>
      <c r="N704" s="3" t="n">
        <v>39.2</v>
      </c>
      <c r="O704" s="3" t="n">
        <v>6.91</v>
      </c>
      <c r="P704" s="3" t="n">
        <v>92.958</v>
      </c>
      <c r="Q704" s="3" t="s">
        <v>1849</v>
      </c>
      <c r="R704" s="3"/>
      <c r="S704" s="3"/>
      <c r="T704" s="5" t="n">
        <f aca="false">IF(C704="","",DATE(VALUE(MID(C704,7,4)),VALUE(MID(C704,4,2)),VALUE(MID(C704,1,2)))+TIME(VALUE(MID(C704,12,2)),VALUE(MID(C704,15,2)),0))</f>
        <v>38347.18125</v>
      </c>
      <c r="U704" s="3" t="str">
        <f aca="false">IFERROR(IF(ISNUMBER(VALUE(TRIM(MID(A704,FIND("-",A704)+1,FIND("km",A704)-FIND("-",A704)-1)))),"Distance + direction + city","Named-region"),"Named-region")</f>
        <v>Distance + direction + city</v>
      </c>
      <c r="V704" s="3" t="str">
        <f aca="false">LOWER(M704)</f>
        <v>mwc</v>
      </c>
      <c r="W704" s="3" t="n">
        <f aca="false">COUNTIFS($A$2:$A$1001,A704,$C$2:$C$1001,C704)</f>
        <v>1</v>
      </c>
      <c r="X704" s="3" t="str">
        <f aca="false">IF(W704&gt;1,"Duplicate","Unique")</f>
        <v>Unique</v>
      </c>
      <c r="Y704" s="3" t="str">
        <f aca="false">IF(B704&lt;6.5,"&lt;6.5",IF(B704&lt;7,"6.5–6.9",IF(B704&lt;7.5,"7.0–7.4",IF(B704&lt;8,"7.5–7.9","8.0+"))))</f>
        <v>7.0–7.4</v>
      </c>
      <c r="Z704" s="3" t="n">
        <f aca="false">IF(T704="","",YEAR(T704))</f>
        <v>2004</v>
      </c>
    </row>
    <row r="705" customFormat="false" ht="13.8" hidden="false" customHeight="false" outlineLevel="0" collapsed="false">
      <c r="A705" s="3" t="s">
        <v>1850</v>
      </c>
      <c r="B705" s="3" t="n">
        <v>9.1</v>
      </c>
      <c r="C705" s="3" t="s">
        <v>1851</v>
      </c>
      <c r="D705" s="3" t="n">
        <v>0</v>
      </c>
      <c r="E705" s="3" t="n">
        <v>8</v>
      </c>
      <c r="F705" s="3"/>
      <c r="G705" s="3" t="n">
        <v>0</v>
      </c>
      <c r="H705" s="3" t="n">
        <v>1274</v>
      </c>
      <c r="I705" s="3" t="s">
        <v>1293</v>
      </c>
      <c r="J705" s="3" t="n">
        <v>601</v>
      </c>
      <c r="K705" s="3" t="n">
        <v>0</v>
      </c>
      <c r="L705" s="3" t="n">
        <v>22</v>
      </c>
      <c r="M705" s="3" t="s">
        <v>485</v>
      </c>
      <c r="N705" s="3" t="n">
        <v>30</v>
      </c>
      <c r="O705" s="3" t="n">
        <v>3.295</v>
      </c>
      <c r="P705" s="3" t="n">
        <v>95.982</v>
      </c>
      <c r="Q705" s="3" t="s">
        <v>1852</v>
      </c>
      <c r="R705" s="3"/>
      <c r="S705" s="3" t="s">
        <v>68</v>
      </c>
      <c r="T705" s="5" t="n">
        <f aca="false">IF(C705="","",DATE(VALUE(MID(C705,7,4)),VALUE(MID(C705,4,2)),VALUE(MID(C705,1,2)))+TIME(VALUE(MID(C705,12,2)),VALUE(MID(C705,15,2)),0))</f>
        <v>38347.0402777778</v>
      </c>
      <c r="U705" s="3" t="str">
        <f aca="false">IFERROR(IF(ISNUMBER(VALUE(TRIM(MID(A705,FIND("-",A705)+1,FIND("km",A705)-FIND("-",A705)-1)))),"Distance + direction + city","Named-region"),"Named-region")</f>
        <v>Named-region</v>
      </c>
      <c r="V705" s="3" t="str">
        <f aca="false">LOWER(M705)</f>
        <v>mw</v>
      </c>
      <c r="W705" s="3" t="n">
        <f aca="false">COUNTIFS($A$2:$A$1001,A705,$C$2:$C$1001,C705)</f>
        <v>1</v>
      </c>
      <c r="X705" s="3" t="str">
        <f aca="false">IF(W705&gt;1,"Duplicate","Unique")</f>
        <v>Unique</v>
      </c>
      <c r="Y705" s="3" t="str">
        <f aca="false">IF(B705&lt;6.5,"&lt;6.5",IF(B705&lt;7,"6.5–6.9",IF(B705&lt;7.5,"7.0–7.4",IF(B705&lt;8,"7.5–7.9","8.0+"))))</f>
        <v>8.0+</v>
      </c>
      <c r="Z705" s="3" t="n">
        <f aca="false">IF(T705="","",YEAR(T705))</f>
        <v>2004</v>
      </c>
    </row>
    <row r="706" customFormat="false" ht="13.8" hidden="false" customHeight="false" outlineLevel="0" collapsed="false">
      <c r="A706" s="3" t="s">
        <v>1853</v>
      </c>
      <c r="B706" s="3" t="n">
        <v>8.1</v>
      </c>
      <c r="C706" s="3" t="s">
        <v>1854</v>
      </c>
      <c r="D706" s="3" t="n">
        <v>0</v>
      </c>
      <c r="E706" s="3" t="n">
        <v>5</v>
      </c>
      <c r="F706" s="3"/>
      <c r="G706" s="3" t="n">
        <v>0</v>
      </c>
      <c r="H706" s="3" t="n">
        <v>1009</v>
      </c>
      <c r="I706" s="3" t="s">
        <v>22</v>
      </c>
      <c r="J706" s="3" t="n">
        <v>331</v>
      </c>
      <c r="K706" s="3" t="n">
        <v>0</v>
      </c>
      <c r="L706" s="3" t="n">
        <v>59.3</v>
      </c>
      <c r="M706" s="3" t="s">
        <v>127</v>
      </c>
      <c r="N706" s="3" t="n">
        <v>10</v>
      </c>
      <c r="O706" s="3" t="n">
        <v>-49.312</v>
      </c>
      <c r="P706" s="3" t="n">
        <v>161.345</v>
      </c>
      <c r="Q706" s="3" t="s">
        <v>1855</v>
      </c>
      <c r="R706" s="3"/>
      <c r="S706" s="3"/>
      <c r="T706" s="5" t="n">
        <f aca="false">IF(C706="","",DATE(VALUE(MID(C706,7,4)),VALUE(MID(C706,4,2)),VALUE(MID(C706,1,2)))+TIME(VALUE(MID(C706,12,2)),VALUE(MID(C706,15,2)),0))</f>
        <v>38344.6243055556</v>
      </c>
      <c r="U706" s="3" t="str">
        <f aca="false">IFERROR(IF(ISNUMBER(VALUE(TRIM(MID(A706,FIND("-",A706)+1,FIND("km",A706)-FIND("-",A706)-1)))),"Distance + direction + city","Named-region"),"Named-region")</f>
        <v>Named-region</v>
      </c>
      <c r="V706" s="3" t="str">
        <f aca="false">LOWER(M706)</f>
        <v>mwc</v>
      </c>
      <c r="W706" s="3" t="n">
        <f aca="false">COUNTIFS($A$2:$A$1001,A706,$C$2:$C$1001,C706)</f>
        <v>1</v>
      </c>
      <c r="X706" s="3" t="str">
        <f aca="false">IF(W706&gt;1,"Duplicate","Unique")</f>
        <v>Unique</v>
      </c>
      <c r="Y706" s="3" t="str">
        <f aca="false">IF(B706&lt;6.5,"&lt;6.5",IF(B706&lt;7,"6.5–6.9",IF(B706&lt;7.5,"7.0–7.4",IF(B706&lt;8,"7.5–7.9","8.0+"))))</f>
        <v>8.0+</v>
      </c>
      <c r="Z706" s="3" t="n">
        <f aca="false">IF(T706="","",YEAR(T706))</f>
        <v>2004</v>
      </c>
    </row>
    <row r="707" customFormat="false" ht="13.8" hidden="false" customHeight="false" outlineLevel="0" collapsed="false">
      <c r="A707" s="3" t="s">
        <v>1856</v>
      </c>
      <c r="B707" s="3" t="n">
        <v>6.8</v>
      </c>
      <c r="C707" s="3" t="s">
        <v>1857</v>
      </c>
      <c r="D707" s="3" t="n">
        <v>5</v>
      </c>
      <c r="E707" s="3" t="n">
        <v>6</v>
      </c>
      <c r="F707" s="3"/>
      <c r="G707" s="3" t="n">
        <v>0</v>
      </c>
      <c r="H707" s="3" t="n">
        <v>858</v>
      </c>
      <c r="I707" s="3" t="s">
        <v>22</v>
      </c>
      <c r="J707" s="3" t="n">
        <v>639</v>
      </c>
      <c r="K707" s="3" t="n">
        <v>0</v>
      </c>
      <c r="L707" s="3" t="n">
        <v>21.8</v>
      </c>
      <c r="M707" s="3" t="s">
        <v>154</v>
      </c>
      <c r="N707" s="3" t="n">
        <v>10</v>
      </c>
      <c r="O707" s="3" t="n">
        <v>18.958</v>
      </c>
      <c r="P707" s="3" t="n">
        <v>-81.409</v>
      </c>
      <c r="Q707" s="3" t="s">
        <v>1858</v>
      </c>
      <c r="R707" s="3"/>
      <c r="S707" s="3"/>
      <c r="T707" s="5" t="n">
        <f aca="false">IF(C707="","",DATE(VALUE(MID(C707,7,4)),VALUE(MID(C707,4,2)),VALUE(MID(C707,1,2)))+TIME(VALUE(MID(C707,12,2)),VALUE(MID(C707,15,2)),0))</f>
        <v>38335.9722222222</v>
      </c>
      <c r="U707" s="3" t="str">
        <f aca="false">IFERROR(IF(ISNUMBER(VALUE(TRIM(MID(A707,FIND("-",A707)+1,FIND("km",A707)-FIND("-",A707)-1)))),"Distance + direction + city","Named-region"),"Named-region")</f>
        <v>Distance + direction + city</v>
      </c>
      <c r="V707" s="3" t="str">
        <f aca="false">LOWER(M707)</f>
        <v>mwb</v>
      </c>
      <c r="W707" s="3" t="n">
        <f aca="false">COUNTIFS($A$2:$A$1001,A707,$C$2:$C$1001,C707)</f>
        <v>1</v>
      </c>
      <c r="X707" s="3" t="str">
        <f aca="false">IF(W707&gt;1,"Duplicate","Unique")</f>
        <v>Unique</v>
      </c>
      <c r="Y707" s="3" t="str">
        <f aca="false">IF(B707&lt;6.5,"&lt;6.5",IF(B707&lt;7,"6.5–6.9",IF(B707&lt;7.5,"7.0–7.4",IF(B707&lt;8,"7.5–7.9","8.0+"))))</f>
        <v>6.5–6.9</v>
      </c>
      <c r="Z707" s="3" t="n">
        <f aca="false">IF(T707="","",YEAR(T707))</f>
        <v>2004</v>
      </c>
    </row>
    <row r="708" customFormat="false" ht="13.8" hidden="false" customHeight="false" outlineLevel="0" collapsed="false">
      <c r="A708" s="3" t="s">
        <v>1859</v>
      </c>
      <c r="B708" s="3" t="n">
        <v>6.8</v>
      </c>
      <c r="C708" s="6" t="s">
        <v>1860</v>
      </c>
      <c r="D708" s="3" t="n">
        <v>4</v>
      </c>
      <c r="E708" s="3" t="n">
        <v>7</v>
      </c>
      <c r="F708" s="3"/>
      <c r="G708" s="3" t="n">
        <v>0</v>
      </c>
      <c r="H708" s="3" t="n">
        <v>724</v>
      </c>
      <c r="I708" s="3" t="s">
        <v>22</v>
      </c>
      <c r="J708" s="3" t="n">
        <v>759</v>
      </c>
      <c r="K708" s="3" t="n">
        <v>0</v>
      </c>
      <c r="L708" s="3" t="n">
        <v>23.6</v>
      </c>
      <c r="M708" s="3" t="s">
        <v>154</v>
      </c>
      <c r="N708" s="3" t="n">
        <v>35</v>
      </c>
      <c r="O708" s="3" t="n">
        <v>42.9</v>
      </c>
      <c r="P708" s="3" t="n">
        <v>145.228</v>
      </c>
      <c r="Q708" s="3" t="s">
        <v>1861</v>
      </c>
      <c r="R708" s="3" t="s">
        <v>80</v>
      </c>
      <c r="S708" s="3" t="s">
        <v>322</v>
      </c>
      <c r="T708" s="5" t="n">
        <f aca="false">IF(C708="","",DATE(VALUE(MID(C708,7,4)),VALUE(MID(C708,4,2)),VALUE(MID(C708,1,2)))+TIME(VALUE(MID(C708,12,2)),VALUE(MID(C708,15,2)),0))</f>
        <v>38327.59375</v>
      </c>
      <c r="U708" s="3" t="str">
        <f aca="false">IFERROR(IF(ISNUMBER(VALUE(TRIM(MID(A708,FIND("-",A708)+1,FIND("km",A708)-FIND("-",A708)-1)))),"Distance + direction + city","Named-region"),"Named-region")</f>
        <v>Distance + direction + city</v>
      </c>
      <c r="V708" s="3" t="str">
        <f aca="false">LOWER(M708)</f>
        <v>mwb</v>
      </c>
      <c r="W708" s="3" t="n">
        <f aca="false">COUNTIFS($A$2:$A$1001,A708,$C$2:$C$1001,C708)</f>
        <v>1</v>
      </c>
      <c r="X708" s="3" t="str">
        <f aca="false">IF(W708&gt;1,"Duplicate","Unique")</f>
        <v>Unique</v>
      </c>
      <c r="Y708" s="3" t="str">
        <f aca="false">IF(B708&lt;6.5,"&lt;6.5",IF(B708&lt;7,"6.5–6.9",IF(B708&lt;7.5,"7.0–7.4",IF(B708&lt;8,"7.5–7.9","8.0+"))))</f>
        <v>6.5–6.9</v>
      </c>
      <c r="Z708" s="3" t="n">
        <f aca="false">IF(T708="","",YEAR(T708))</f>
        <v>2004</v>
      </c>
    </row>
    <row r="709" customFormat="false" ht="13.8" hidden="false" customHeight="false" outlineLevel="0" collapsed="false">
      <c r="A709" s="3" t="s">
        <v>1862</v>
      </c>
      <c r="B709" s="3" t="n">
        <v>7</v>
      </c>
      <c r="C709" s="3" t="s">
        <v>1863</v>
      </c>
      <c r="D709" s="3" t="n">
        <v>4</v>
      </c>
      <c r="E709" s="3" t="n">
        <v>7</v>
      </c>
      <c r="F709" s="3"/>
      <c r="G709" s="3" t="n">
        <v>0</v>
      </c>
      <c r="H709" s="3" t="n">
        <v>771</v>
      </c>
      <c r="I709" s="3" t="s">
        <v>22</v>
      </c>
      <c r="J709" s="3" t="n">
        <v>929</v>
      </c>
      <c r="K709" s="3" t="n">
        <v>0</v>
      </c>
      <c r="L709" s="3" t="n">
        <v>23.9</v>
      </c>
      <c r="M709" s="3" t="s">
        <v>154</v>
      </c>
      <c r="N709" s="3" t="n">
        <v>39</v>
      </c>
      <c r="O709" s="3" t="n">
        <v>43.006</v>
      </c>
      <c r="P709" s="3" t="n">
        <v>145.119</v>
      </c>
      <c r="Q709" s="3" t="s">
        <v>1861</v>
      </c>
      <c r="R709" s="3" t="s">
        <v>80</v>
      </c>
      <c r="S709" s="3" t="s">
        <v>322</v>
      </c>
      <c r="T709" s="5" t="n">
        <f aca="false">IF(C709="","",DATE(VALUE(MID(C709,7,4)),VALUE(MID(C709,4,2)),VALUE(MID(C709,1,2)))+TIME(VALUE(MID(C709,12,2)),VALUE(MID(C709,15,2)),0))</f>
        <v>38319.7722222222</v>
      </c>
      <c r="U709" s="3" t="str">
        <f aca="false">IFERROR(IF(ISNUMBER(VALUE(TRIM(MID(A709,FIND("-",A709)+1,FIND("km",A709)-FIND("-",A709)-1)))),"Distance + direction + city","Named-region"),"Named-region")</f>
        <v>Distance + direction + city</v>
      </c>
      <c r="V709" s="3" t="str">
        <f aca="false">LOWER(M709)</f>
        <v>mwb</v>
      </c>
      <c r="W709" s="3" t="n">
        <f aca="false">COUNTIFS($A$2:$A$1001,A709,$C$2:$C$1001,C709)</f>
        <v>1</v>
      </c>
      <c r="X709" s="3" t="str">
        <f aca="false">IF(W709&gt;1,"Duplicate","Unique")</f>
        <v>Unique</v>
      </c>
      <c r="Y709" s="3" t="str">
        <f aca="false">IF(B709&lt;6.5,"&lt;6.5",IF(B709&lt;7,"6.5–6.9",IF(B709&lt;7.5,"7.0–7.4",IF(B709&lt;8,"7.5–7.9","8.0+"))))</f>
        <v>7.0–7.4</v>
      </c>
      <c r="Z709" s="3" t="n">
        <f aca="false">IF(T709="","",YEAR(T709))</f>
        <v>2004</v>
      </c>
    </row>
    <row r="710" customFormat="false" ht="13.8" hidden="false" customHeight="false" outlineLevel="0" collapsed="false">
      <c r="A710" s="3" t="s">
        <v>1864</v>
      </c>
      <c r="B710" s="3" t="n">
        <v>7.1</v>
      </c>
      <c r="C710" s="3" t="s">
        <v>1865</v>
      </c>
      <c r="D710" s="3" t="n">
        <v>0</v>
      </c>
      <c r="E710" s="3" t="n">
        <v>7</v>
      </c>
      <c r="F710" s="3"/>
      <c r="G710" s="3" t="n">
        <v>0</v>
      </c>
      <c r="H710" s="3" t="n">
        <v>776</v>
      </c>
      <c r="I710" s="3" t="s">
        <v>22</v>
      </c>
      <c r="J710" s="3" t="n">
        <v>439</v>
      </c>
      <c r="K710" s="3" t="n">
        <v>0</v>
      </c>
      <c r="L710" s="3" t="n">
        <v>28.8</v>
      </c>
      <c r="M710" s="3" t="s">
        <v>127</v>
      </c>
      <c r="N710" s="3" t="n">
        <v>10</v>
      </c>
      <c r="O710" s="3" t="n">
        <v>-3.609</v>
      </c>
      <c r="P710" s="3" t="n">
        <v>135.404</v>
      </c>
      <c r="Q710" s="3" t="s">
        <v>1866</v>
      </c>
      <c r="R710" s="3"/>
      <c r="S710" s="3" t="s">
        <v>68</v>
      </c>
      <c r="T710" s="5" t="n">
        <f aca="false">IF(C710="","",DATE(VALUE(MID(C710,7,4)),VALUE(MID(C710,4,2)),VALUE(MID(C710,1,2)))+TIME(VALUE(MID(C710,12,2)),VALUE(MID(C710,15,2)),0))</f>
        <v>38317.1006944444</v>
      </c>
      <c r="U710" s="3" t="str">
        <f aca="false">IFERROR(IF(ISNUMBER(VALUE(TRIM(MID(A710,FIND("-",A710)+1,FIND("km",A710)-FIND("-",A710)-1)))),"Distance + direction + city","Named-region"),"Named-region")</f>
        <v>Distance + direction + city</v>
      </c>
      <c r="V710" s="3" t="str">
        <f aca="false">LOWER(M710)</f>
        <v>mwc</v>
      </c>
      <c r="W710" s="3" t="n">
        <f aca="false">COUNTIFS($A$2:$A$1001,A710,$C$2:$C$1001,C710)</f>
        <v>1</v>
      </c>
      <c r="X710" s="3" t="str">
        <f aca="false">IF(W710&gt;1,"Duplicate","Unique")</f>
        <v>Unique</v>
      </c>
      <c r="Y710" s="3" t="str">
        <f aca="false">IF(B710&lt;6.5,"&lt;6.5",IF(B710&lt;7,"6.5–6.9",IF(B710&lt;7.5,"7.0–7.4",IF(B710&lt;8,"7.5–7.9","8.0+"))))</f>
        <v>7.0–7.4</v>
      </c>
      <c r="Z710" s="3" t="n">
        <f aca="false">IF(T710="","",YEAR(T710))</f>
        <v>2004</v>
      </c>
    </row>
    <row r="711" customFormat="false" ht="13.8" hidden="false" customHeight="false" outlineLevel="0" collapsed="false">
      <c r="A711" s="3" t="s">
        <v>1867</v>
      </c>
      <c r="B711" s="3" t="n">
        <v>7.1</v>
      </c>
      <c r="C711" s="3" t="s">
        <v>1868</v>
      </c>
      <c r="D711" s="3" t="n">
        <v>5</v>
      </c>
      <c r="E711" s="3" t="n">
        <v>5</v>
      </c>
      <c r="F711" s="3"/>
      <c r="G711" s="3" t="n">
        <v>0</v>
      </c>
      <c r="H711" s="3" t="n">
        <v>782</v>
      </c>
      <c r="I711" s="3" t="s">
        <v>22</v>
      </c>
      <c r="J711" s="3" t="n">
        <v>585</v>
      </c>
      <c r="K711" s="3" t="n">
        <v>0</v>
      </c>
      <c r="L711" s="3" t="n">
        <v>14.7</v>
      </c>
      <c r="M711" s="3" t="s">
        <v>127</v>
      </c>
      <c r="N711" s="3" t="n">
        <v>10</v>
      </c>
      <c r="O711" s="3" t="n">
        <v>-46.676</v>
      </c>
      <c r="P711" s="3" t="n">
        <v>164.721</v>
      </c>
      <c r="Q711" s="3" t="s">
        <v>1869</v>
      </c>
      <c r="R711" s="3"/>
      <c r="S711" s="3"/>
      <c r="T711" s="5" t="n">
        <f aca="false">IF(C711="","",DATE(VALUE(MID(C711,7,4)),VALUE(MID(C711,4,2)),VALUE(MID(C711,1,2)))+TIME(VALUE(MID(C711,12,2)),VALUE(MID(C711,15,2)),0))</f>
        <v>38313.8513888889</v>
      </c>
      <c r="U711" s="3" t="str">
        <f aca="false">IFERROR(IF(ISNUMBER(VALUE(TRIM(MID(A711,FIND("-",A711)+1,FIND("km",A711)-FIND("-",A711)-1)))),"Distance + direction + city","Named-region"),"Named-region")</f>
        <v>Distance + direction + city</v>
      </c>
      <c r="V711" s="3" t="str">
        <f aca="false">LOWER(M711)</f>
        <v>mwc</v>
      </c>
      <c r="W711" s="3" t="n">
        <f aca="false">COUNTIFS($A$2:$A$1001,A711,$C$2:$C$1001,C711)</f>
        <v>1</v>
      </c>
      <c r="X711" s="3" t="str">
        <f aca="false">IF(W711&gt;1,"Duplicate","Unique")</f>
        <v>Unique</v>
      </c>
      <c r="Y711" s="3" t="str">
        <f aca="false">IF(B711&lt;6.5,"&lt;6.5",IF(B711&lt;7,"6.5–6.9",IF(B711&lt;7.5,"7.0–7.4",IF(B711&lt;8,"7.5–7.9","8.0+"))))</f>
        <v>7.0–7.4</v>
      </c>
      <c r="Z711" s="3" t="n">
        <f aca="false">IF(T711="","",YEAR(T711))</f>
        <v>2004</v>
      </c>
    </row>
    <row r="712" customFormat="false" ht="13.8" hidden="false" customHeight="false" outlineLevel="0" collapsed="false">
      <c r="A712" s="3" t="s">
        <v>1870</v>
      </c>
      <c r="B712" s="3" t="n">
        <v>7.2</v>
      </c>
      <c r="C712" s="3" t="s">
        <v>1871</v>
      </c>
      <c r="D712" s="3" t="n">
        <v>8</v>
      </c>
      <c r="E712" s="3" t="n">
        <v>8</v>
      </c>
      <c r="F712" s="3"/>
      <c r="G712" s="3" t="n">
        <v>0</v>
      </c>
      <c r="H712" s="3" t="n">
        <v>820</v>
      </c>
      <c r="I712" s="3" t="s">
        <v>22</v>
      </c>
      <c r="J712" s="3" t="n">
        <v>708</v>
      </c>
      <c r="K712" s="3" t="n">
        <v>0</v>
      </c>
      <c r="L712" s="3" t="n">
        <v>50.2</v>
      </c>
      <c r="M712" s="3" t="s">
        <v>154</v>
      </c>
      <c r="N712" s="3" t="n">
        <v>15</v>
      </c>
      <c r="O712" s="3" t="n">
        <v>4.695</v>
      </c>
      <c r="P712" s="3" t="n">
        <v>-77.508</v>
      </c>
      <c r="Q712" s="3" t="s">
        <v>1872</v>
      </c>
      <c r="R712" s="3"/>
      <c r="S712" s="3" t="s">
        <v>54</v>
      </c>
      <c r="T712" s="5" t="n">
        <f aca="false">IF(C712="","",DATE(VALUE(MID(C712,7,4)),VALUE(MID(C712,4,2)),VALUE(MID(C712,1,2)))+TIME(VALUE(MID(C712,12,2)),VALUE(MID(C712,15,2)),0))</f>
        <v>38306.3791666667</v>
      </c>
      <c r="U712" s="3" t="str">
        <f aca="false">IFERROR(IF(ISNUMBER(VALUE(TRIM(MID(A712,FIND("-",A712)+1,FIND("km",A712)-FIND("-",A712)-1)))),"Distance + direction + city","Named-region"),"Named-region")</f>
        <v>Distance + direction + city</v>
      </c>
      <c r="V712" s="3" t="str">
        <f aca="false">LOWER(M712)</f>
        <v>mwb</v>
      </c>
      <c r="W712" s="3" t="n">
        <f aca="false">COUNTIFS($A$2:$A$1001,A712,$C$2:$C$1001,C712)</f>
        <v>1</v>
      </c>
      <c r="X712" s="3" t="str">
        <f aca="false">IF(W712&gt;1,"Duplicate","Unique")</f>
        <v>Unique</v>
      </c>
      <c r="Y712" s="3" t="str">
        <f aca="false">IF(B712&lt;6.5,"&lt;6.5",IF(B712&lt;7,"6.5–6.9",IF(B712&lt;7.5,"7.0–7.4",IF(B712&lt;8,"7.5–7.9","8.0+"))))</f>
        <v>7.0–7.4</v>
      </c>
      <c r="Z712" s="3" t="n">
        <f aca="false">IF(T712="","",YEAR(T712))</f>
        <v>2004</v>
      </c>
    </row>
    <row r="713" customFormat="false" ht="13.8" hidden="false" customHeight="false" outlineLevel="0" collapsed="false">
      <c r="A713" s="3" t="s">
        <v>1873</v>
      </c>
      <c r="B713" s="3" t="n">
        <v>7.5</v>
      </c>
      <c r="C713" s="6" t="s">
        <v>1874</v>
      </c>
      <c r="D713" s="3" t="n">
        <v>5</v>
      </c>
      <c r="E713" s="3" t="n">
        <v>7</v>
      </c>
      <c r="F713" s="3"/>
      <c r="G713" s="3" t="n">
        <v>0</v>
      </c>
      <c r="H713" s="3" t="n">
        <v>870</v>
      </c>
      <c r="I713" s="3" t="s">
        <v>22</v>
      </c>
      <c r="J713" s="3" t="n">
        <v>301</v>
      </c>
      <c r="K713" s="3" t="n">
        <v>0</v>
      </c>
      <c r="L713" s="3" t="n">
        <v>33.8</v>
      </c>
      <c r="M713" s="3" t="s">
        <v>127</v>
      </c>
      <c r="N713" s="3" t="n">
        <v>10</v>
      </c>
      <c r="O713" s="3" t="n">
        <v>-8.152</v>
      </c>
      <c r="P713" s="3" t="n">
        <v>124.868</v>
      </c>
      <c r="Q713" s="3" t="s">
        <v>896</v>
      </c>
      <c r="R713" s="3"/>
      <c r="S713" s="3" t="s">
        <v>68</v>
      </c>
      <c r="T713" s="5" t="n">
        <f aca="false">IF(C713="","",DATE(VALUE(MID(C713,7,4)),VALUE(MID(C713,4,2)),VALUE(MID(C713,1,2)))+TIME(VALUE(MID(C713,12,2)),VALUE(MID(C713,15,2)),0))</f>
        <v>38302.8930555556</v>
      </c>
      <c r="U713" s="3" t="str">
        <f aca="false">IFERROR(IF(ISNUMBER(VALUE(TRIM(MID(A713,FIND("-",A713)+1,FIND("km",A713)-FIND("-",A713)-1)))),"Distance + direction + city","Named-region"),"Named-region")</f>
        <v>Distance + direction + city</v>
      </c>
      <c r="V713" s="3" t="str">
        <f aca="false">LOWER(M713)</f>
        <v>mwc</v>
      </c>
      <c r="W713" s="3" t="n">
        <f aca="false">COUNTIFS($A$2:$A$1001,A713,$C$2:$C$1001,C713)</f>
        <v>1</v>
      </c>
      <c r="X713" s="3" t="str">
        <f aca="false">IF(W713&gt;1,"Duplicate","Unique")</f>
        <v>Unique</v>
      </c>
      <c r="Y713" s="3" t="str">
        <f aca="false">IF(B713&lt;6.5,"&lt;6.5",IF(B713&lt;7,"6.5–6.9",IF(B713&lt;7.5,"7.0–7.4",IF(B713&lt;8,"7.5–7.9","8.0+"))))</f>
        <v>7.5–7.9</v>
      </c>
      <c r="Z713" s="3" t="n">
        <f aca="false">IF(T713="","",YEAR(T713))</f>
        <v>2004</v>
      </c>
    </row>
    <row r="714" customFormat="false" ht="13.8" hidden="false" customHeight="false" outlineLevel="0" collapsed="false">
      <c r="A714" s="3" t="s">
        <v>1875</v>
      </c>
      <c r="B714" s="3" t="n">
        <v>6.7</v>
      </c>
      <c r="C714" s="6" t="s">
        <v>1876</v>
      </c>
      <c r="D714" s="3" t="n">
        <v>0</v>
      </c>
      <c r="E714" s="3" t="n">
        <v>6</v>
      </c>
      <c r="F714" s="3"/>
      <c r="G714" s="3" t="n">
        <v>0</v>
      </c>
      <c r="H714" s="3" t="n">
        <v>691</v>
      </c>
      <c r="I714" s="3" t="s">
        <v>22</v>
      </c>
      <c r="J714" s="3" t="n">
        <v>233</v>
      </c>
      <c r="K714" s="3" t="n">
        <v>0</v>
      </c>
      <c r="L714" s="3" t="n">
        <v>21.5</v>
      </c>
      <c r="M714" s="3" t="s">
        <v>154</v>
      </c>
      <c r="N714" s="3" t="n">
        <v>10</v>
      </c>
      <c r="O714" s="3" t="n">
        <v>-11.128</v>
      </c>
      <c r="P714" s="3" t="n">
        <v>162.208</v>
      </c>
      <c r="Q714" s="3" t="s">
        <v>581</v>
      </c>
      <c r="R714" s="3"/>
      <c r="S714" s="3"/>
      <c r="T714" s="5" t="n">
        <f aca="false">IF(C714="","",DATE(VALUE(MID(C714,7,4)),VALUE(MID(C714,4,2)),VALUE(MID(C714,1,2)))+TIME(VALUE(MID(C714,12,2)),VALUE(MID(C714,15,2)),0))</f>
        <v>38302.7319444444</v>
      </c>
      <c r="U714" s="3" t="str">
        <f aca="false">IFERROR(IF(ISNUMBER(VALUE(TRIM(MID(A714,FIND("-",A714)+1,FIND("km",A714)-FIND("-",A714)-1)))),"Distance + direction + city","Named-region"),"Named-region")</f>
        <v>Distance + direction + city</v>
      </c>
      <c r="V714" s="3" t="str">
        <f aca="false">LOWER(M714)</f>
        <v>mwb</v>
      </c>
      <c r="W714" s="3" t="n">
        <f aca="false">COUNTIFS($A$2:$A$1001,A714,$C$2:$C$1001,C714)</f>
        <v>1</v>
      </c>
      <c r="X714" s="3" t="str">
        <f aca="false">IF(W714&gt;1,"Duplicate","Unique")</f>
        <v>Unique</v>
      </c>
      <c r="Y714" s="3" t="str">
        <f aca="false">IF(B714&lt;6.5,"&lt;6.5",IF(B714&lt;7,"6.5–6.9",IF(B714&lt;7.5,"7.0–7.4",IF(B714&lt;8,"7.5–7.9","8.0+"))))</f>
        <v>6.5–6.9</v>
      </c>
      <c r="Z714" s="3" t="n">
        <f aca="false">IF(T714="","",YEAR(T714))</f>
        <v>2004</v>
      </c>
    </row>
    <row r="715" customFormat="false" ht="13.8" hidden="false" customHeight="false" outlineLevel="0" collapsed="false">
      <c r="A715" s="3" t="s">
        <v>1877</v>
      </c>
      <c r="B715" s="3" t="n">
        <v>6.7</v>
      </c>
      <c r="C715" s="6" t="s">
        <v>1878</v>
      </c>
      <c r="D715" s="3" t="n">
        <v>7</v>
      </c>
      <c r="E715" s="3" t="n">
        <v>4</v>
      </c>
      <c r="F715" s="3"/>
      <c r="G715" s="3" t="n">
        <v>0</v>
      </c>
      <c r="H715" s="3" t="n">
        <v>703</v>
      </c>
      <c r="I715" s="3" t="s">
        <v>22</v>
      </c>
      <c r="J715" s="3" t="n">
        <v>459</v>
      </c>
      <c r="K715" s="3" t="n">
        <v>0</v>
      </c>
      <c r="L715" s="3" t="n">
        <v>37.3</v>
      </c>
      <c r="M715" s="3" t="s">
        <v>154</v>
      </c>
      <c r="N715" s="3" t="n">
        <v>10</v>
      </c>
      <c r="O715" s="3" t="n">
        <v>49.277</v>
      </c>
      <c r="P715" s="3" t="n">
        <v>-128.772</v>
      </c>
      <c r="Q715" s="3" t="s">
        <v>556</v>
      </c>
      <c r="R715" s="3"/>
      <c r="S715" s="3"/>
      <c r="T715" s="5" t="n">
        <f aca="false">IF(C715="","",DATE(VALUE(MID(C715,7,4)),VALUE(MID(C715,4,2)),VALUE(MID(C715,1,2)))+TIME(VALUE(MID(C715,12,2)),VALUE(MID(C715,15,2)),0))</f>
        <v>38293.4180555556</v>
      </c>
      <c r="U715" s="3" t="str">
        <f aca="false">IFERROR(IF(ISNUMBER(VALUE(TRIM(MID(A715,FIND("-",A715)+1,FIND("km",A715)-FIND("-",A715)-1)))),"Distance + direction + city","Named-region"),"Named-region")</f>
        <v>Distance + direction + city</v>
      </c>
      <c r="V715" s="3" t="str">
        <f aca="false">LOWER(M715)</f>
        <v>mwb</v>
      </c>
      <c r="W715" s="3" t="n">
        <f aca="false">COUNTIFS($A$2:$A$1001,A715,$C$2:$C$1001,C715)</f>
        <v>1</v>
      </c>
      <c r="X715" s="3" t="str">
        <f aca="false">IF(W715&gt;1,"Duplicate","Unique")</f>
        <v>Unique</v>
      </c>
      <c r="Y715" s="3" t="str">
        <f aca="false">IF(B715&lt;6.5,"&lt;6.5",IF(B715&lt;7,"6.5–6.9",IF(B715&lt;7.5,"7.0–7.4",IF(B715&lt;8,"7.5–7.9","8.0+"))))</f>
        <v>6.5–6.9</v>
      </c>
      <c r="Z715" s="3" t="n">
        <f aca="false">IF(T715="","",YEAR(T715))</f>
        <v>2004</v>
      </c>
    </row>
    <row r="716" customFormat="false" ht="13.8" hidden="false" customHeight="false" outlineLevel="0" collapsed="false">
      <c r="A716" s="3" t="s">
        <v>1879</v>
      </c>
      <c r="B716" s="3" t="n">
        <v>6.6</v>
      </c>
      <c r="C716" s="3" t="s">
        <v>1880</v>
      </c>
      <c r="D716" s="3" t="n">
        <v>0</v>
      </c>
      <c r="E716" s="3" t="n">
        <v>8</v>
      </c>
      <c r="F716" s="3"/>
      <c r="G716" s="3" t="n">
        <v>0</v>
      </c>
      <c r="H716" s="3" t="n">
        <v>670</v>
      </c>
      <c r="I716" s="3" t="s">
        <v>22</v>
      </c>
      <c r="J716" s="3" t="n">
        <v>782</v>
      </c>
      <c r="K716" s="3" t="n">
        <v>0</v>
      </c>
      <c r="L716" s="3" t="n">
        <v>37</v>
      </c>
      <c r="M716" s="3" t="s">
        <v>127</v>
      </c>
      <c r="N716" s="3" t="n">
        <v>16</v>
      </c>
      <c r="O716" s="3" t="n">
        <v>37.226</v>
      </c>
      <c r="P716" s="3" t="n">
        <v>138.779</v>
      </c>
      <c r="Q716" s="3" t="s">
        <v>1881</v>
      </c>
      <c r="R716" s="3" t="s">
        <v>80</v>
      </c>
      <c r="S716" s="3" t="s">
        <v>322</v>
      </c>
      <c r="T716" s="5" t="n">
        <f aca="false">IF(C716="","",DATE(VALUE(MID(C716,7,4)),VALUE(MID(C716,4,2)),VALUE(MID(C716,1,2)))+TIME(VALUE(MID(C716,12,2)),VALUE(MID(C716,15,2)),0))</f>
        <v>38283.3722222222</v>
      </c>
      <c r="U716" s="3" t="str">
        <f aca="false">IFERROR(IF(ISNUMBER(VALUE(TRIM(MID(A716,FIND("-",A716)+1,FIND("km",A716)-FIND("-",A716)-1)))),"Distance + direction + city","Named-region"),"Named-region")</f>
        <v>Distance + direction + city</v>
      </c>
      <c r="V716" s="3" t="str">
        <f aca="false">LOWER(M716)</f>
        <v>mwc</v>
      </c>
      <c r="W716" s="3" t="n">
        <f aca="false">COUNTIFS($A$2:$A$1001,A716,$C$2:$C$1001,C716)</f>
        <v>1</v>
      </c>
      <c r="X716" s="3" t="str">
        <f aca="false">IF(W716&gt;1,"Duplicate","Unique")</f>
        <v>Unique</v>
      </c>
      <c r="Y716" s="3" t="str">
        <f aca="false">IF(B716&lt;6.5,"&lt;6.5",IF(B716&lt;7,"6.5–6.9",IF(B716&lt;7.5,"7.0–7.4",IF(B716&lt;8,"7.5–7.9","8.0+"))))</f>
        <v>6.5–6.9</v>
      </c>
      <c r="Z716" s="3" t="n">
        <f aca="false">IF(T716="","",YEAR(T716))</f>
        <v>2004</v>
      </c>
    </row>
    <row r="717" customFormat="false" ht="13.8" hidden="false" customHeight="false" outlineLevel="0" collapsed="false">
      <c r="A717" s="3" t="s">
        <v>1882</v>
      </c>
      <c r="B717" s="3" t="n">
        <v>6.7</v>
      </c>
      <c r="C717" s="3" t="s">
        <v>1883</v>
      </c>
      <c r="D717" s="3" t="n">
        <v>5</v>
      </c>
      <c r="E717" s="3" t="n">
        <v>6</v>
      </c>
      <c r="F717" s="3"/>
      <c r="G717" s="3" t="n">
        <v>0</v>
      </c>
      <c r="H717" s="3" t="n">
        <v>705</v>
      </c>
      <c r="I717" s="3" t="s">
        <v>22</v>
      </c>
      <c r="J717" s="3" t="n">
        <v>698</v>
      </c>
      <c r="K717" s="3" t="n">
        <v>0</v>
      </c>
      <c r="L717" s="3" t="n">
        <v>24.7</v>
      </c>
      <c r="M717" s="3" t="s">
        <v>154</v>
      </c>
      <c r="N717" s="3" t="n">
        <v>94</v>
      </c>
      <c r="O717" s="3" t="n">
        <v>24.53</v>
      </c>
      <c r="P717" s="3" t="n">
        <v>122.694</v>
      </c>
      <c r="Q717" s="3" t="s">
        <v>1884</v>
      </c>
      <c r="R717" s="3"/>
      <c r="S717" s="3"/>
      <c r="T717" s="5" t="n">
        <f aca="false">IF(C717="","",DATE(VALUE(MID(C717,7,4)),VALUE(MID(C717,4,2)),VALUE(MID(C717,1,2)))+TIME(VALUE(MID(C717,12,2)),VALUE(MID(C717,15,2)),0))</f>
        <v>38275.1722222222</v>
      </c>
      <c r="U717" s="3" t="str">
        <f aca="false">IFERROR(IF(ISNUMBER(VALUE(TRIM(MID(A717,FIND("-",A717)+1,FIND("km",A717)-FIND("-",A717)-1)))),"Distance + direction + city","Named-region"),"Named-region")</f>
        <v>Distance + direction + city</v>
      </c>
      <c r="V717" s="3" t="str">
        <f aca="false">LOWER(M717)</f>
        <v>mwb</v>
      </c>
      <c r="W717" s="3" t="n">
        <f aca="false">COUNTIFS($A$2:$A$1001,A717,$C$2:$C$1001,C717)</f>
        <v>1</v>
      </c>
      <c r="X717" s="3" t="str">
        <f aca="false">IF(W717&gt;1,"Duplicate","Unique")</f>
        <v>Unique</v>
      </c>
      <c r="Y717" s="3" t="str">
        <f aca="false">IF(B717&lt;6.5,"&lt;6.5",IF(B717&lt;7,"6.5–6.9",IF(B717&lt;7.5,"7.0–7.4",IF(B717&lt;8,"7.5–7.9","8.0+"))))</f>
        <v>6.5–6.9</v>
      </c>
      <c r="Z717" s="3" t="n">
        <f aca="false">IF(T717="","",YEAR(T717))</f>
        <v>2004</v>
      </c>
    </row>
    <row r="718" customFormat="false" ht="13.8" hidden="false" customHeight="false" outlineLevel="0" collapsed="false">
      <c r="A718" s="3" t="s">
        <v>1885</v>
      </c>
      <c r="B718" s="3" t="n">
        <v>7</v>
      </c>
      <c r="C718" s="6" t="s">
        <v>1886</v>
      </c>
      <c r="D718" s="3" t="n">
        <v>0</v>
      </c>
      <c r="E718" s="3" t="n">
        <v>6</v>
      </c>
      <c r="F718" s="3"/>
      <c r="G718" s="3" t="n">
        <v>0</v>
      </c>
      <c r="H718" s="3" t="n">
        <v>754</v>
      </c>
      <c r="I718" s="3" t="s">
        <v>22</v>
      </c>
      <c r="J718" s="3" t="n">
        <v>441</v>
      </c>
      <c r="K718" s="3" t="n">
        <v>0</v>
      </c>
      <c r="L718" s="3" t="n">
        <v>32.2</v>
      </c>
      <c r="M718" s="3" t="s">
        <v>127</v>
      </c>
      <c r="N718" s="3" t="n">
        <v>35</v>
      </c>
      <c r="O718" s="3" t="n">
        <v>11.422</v>
      </c>
      <c r="P718" s="3" t="n">
        <v>-86.665</v>
      </c>
      <c r="Q718" s="3" t="s">
        <v>206</v>
      </c>
      <c r="R718" s="3"/>
      <c r="S718" s="3"/>
      <c r="T718" s="5" t="n">
        <f aca="false">IF(C718="","",DATE(VALUE(MID(C718,7,4)),VALUE(MID(C718,4,2)),VALUE(MID(C718,1,2)))+TIME(VALUE(MID(C718,12,2)),VALUE(MID(C718,15,2)),0))</f>
        <v>38269.8930555556</v>
      </c>
      <c r="U718" s="3" t="str">
        <f aca="false">IFERROR(IF(ISNUMBER(VALUE(TRIM(MID(A718,FIND("-",A718)+1,FIND("km",A718)-FIND("-",A718)-1)))),"Distance + direction + city","Named-region"),"Named-region")</f>
        <v>Distance + direction + city</v>
      </c>
      <c r="V718" s="3" t="str">
        <f aca="false">LOWER(M718)</f>
        <v>mwc</v>
      </c>
      <c r="W718" s="3" t="n">
        <f aca="false">COUNTIFS($A$2:$A$1001,A718,$C$2:$C$1001,C718)</f>
        <v>1</v>
      </c>
      <c r="X718" s="3" t="str">
        <f aca="false">IF(W718&gt;1,"Duplicate","Unique")</f>
        <v>Unique</v>
      </c>
      <c r="Y718" s="3" t="str">
        <f aca="false">IF(B718&lt;6.5,"&lt;6.5",IF(B718&lt;7,"6.5–6.9",IF(B718&lt;7.5,"7.0–7.4",IF(B718&lt;8,"7.5–7.9","8.0+"))))</f>
        <v>7.0–7.4</v>
      </c>
      <c r="Z718" s="3" t="n">
        <f aca="false">IF(T718="","",YEAR(T718))</f>
        <v>2004</v>
      </c>
    </row>
    <row r="719" customFormat="false" ht="13.8" hidden="false" customHeight="false" outlineLevel="0" collapsed="false">
      <c r="A719" s="3" t="s">
        <v>1887</v>
      </c>
      <c r="B719" s="3" t="n">
        <v>6.5</v>
      </c>
      <c r="C719" s="6" t="s">
        <v>1888</v>
      </c>
      <c r="D719" s="3" t="n">
        <v>5</v>
      </c>
      <c r="E719" s="3" t="n">
        <v>5</v>
      </c>
      <c r="F719" s="3"/>
      <c r="G719" s="3" t="n">
        <v>0</v>
      </c>
      <c r="H719" s="3" t="n">
        <v>665</v>
      </c>
      <c r="I719" s="3" t="s">
        <v>22</v>
      </c>
      <c r="J719" s="3" t="n">
        <v>526</v>
      </c>
      <c r="K719" s="3" t="n">
        <v>0</v>
      </c>
      <c r="L719" s="3" t="n">
        <v>18.3</v>
      </c>
      <c r="M719" s="3" t="s">
        <v>154</v>
      </c>
      <c r="N719" s="3" t="n">
        <v>105</v>
      </c>
      <c r="O719" s="3" t="n">
        <v>13.925</v>
      </c>
      <c r="P719" s="3" t="n">
        <v>120.534</v>
      </c>
      <c r="Q719" s="3" t="s">
        <v>1889</v>
      </c>
      <c r="R719" s="3"/>
      <c r="S719" s="3" t="s">
        <v>191</v>
      </c>
      <c r="T719" s="5" t="n">
        <f aca="false">IF(C719="","",DATE(VALUE(MID(C719,7,4)),VALUE(MID(C719,4,2)),VALUE(MID(C719,1,2)))+TIME(VALUE(MID(C719,12,2)),VALUE(MID(C719,15,2)),0))</f>
        <v>38268.6083333333</v>
      </c>
      <c r="U719" s="3" t="str">
        <f aca="false">IFERROR(IF(ISNUMBER(VALUE(TRIM(MID(A719,FIND("-",A719)+1,FIND("km",A719)-FIND("-",A719)-1)))),"Distance + direction + city","Named-region"),"Named-region")</f>
        <v>Distance + direction + city</v>
      </c>
      <c r="V719" s="3" t="str">
        <f aca="false">LOWER(M719)</f>
        <v>mwb</v>
      </c>
      <c r="W719" s="3" t="n">
        <f aca="false">COUNTIFS($A$2:$A$1001,A719,$C$2:$C$1001,C719)</f>
        <v>1</v>
      </c>
      <c r="X719" s="3" t="str">
        <f aca="false">IF(W719&gt;1,"Duplicate","Unique")</f>
        <v>Unique</v>
      </c>
      <c r="Y719" s="3" t="str">
        <f aca="false">IF(B719&lt;6.5,"&lt;6.5",IF(B719&lt;7,"6.5–6.9",IF(B719&lt;7.5,"7.0–7.4",IF(B719&lt;8,"7.5–7.9","8.0+"))))</f>
        <v>6.5–6.9</v>
      </c>
      <c r="Z719" s="3" t="n">
        <f aca="false">IF(T719="","",YEAR(T719))</f>
        <v>2004</v>
      </c>
    </row>
    <row r="720" customFormat="false" ht="13.8" hidden="false" customHeight="false" outlineLevel="0" collapsed="false">
      <c r="A720" s="3" t="s">
        <v>1890</v>
      </c>
      <c r="B720" s="3" t="n">
        <v>6.8</v>
      </c>
      <c r="C720" s="6" t="s">
        <v>1891</v>
      </c>
      <c r="D720" s="3" t="n">
        <v>0</v>
      </c>
      <c r="E720" s="3" t="n">
        <v>6</v>
      </c>
      <c r="F720" s="3"/>
      <c r="G720" s="3" t="n">
        <v>0</v>
      </c>
      <c r="H720" s="3" t="n">
        <v>711</v>
      </c>
      <c r="I720" s="3" t="s">
        <v>22</v>
      </c>
      <c r="J720" s="3" t="n">
        <v>545</v>
      </c>
      <c r="K720" s="3" t="n">
        <v>0</v>
      </c>
      <c r="L720" s="3" t="n">
        <v>15.7</v>
      </c>
      <c r="M720" s="3" t="s">
        <v>154</v>
      </c>
      <c r="N720" s="3" t="n">
        <v>36</v>
      </c>
      <c r="O720" s="3" t="n">
        <v>-10.951</v>
      </c>
      <c r="P720" s="3" t="n">
        <v>162.161</v>
      </c>
      <c r="Q720" s="3" t="s">
        <v>581</v>
      </c>
      <c r="R720" s="3"/>
      <c r="S720" s="3" t="s">
        <v>140</v>
      </c>
      <c r="T720" s="5" t="n">
        <f aca="false">IF(C720="","",DATE(VALUE(MID(C720,7,4)),VALUE(MID(C720,4,2)),VALUE(MID(C720,1,2)))+TIME(VALUE(MID(C720,12,2)),VALUE(MID(C720,15,2)),0))</f>
        <v>38268.3520833333</v>
      </c>
      <c r="U720" s="3" t="str">
        <f aca="false">IFERROR(IF(ISNUMBER(VALUE(TRIM(MID(A720,FIND("-",A720)+1,FIND("km",A720)-FIND("-",A720)-1)))),"Distance + direction + city","Named-region"),"Named-region")</f>
        <v>Distance + direction + city</v>
      </c>
      <c r="V720" s="3" t="str">
        <f aca="false">LOWER(M720)</f>
        <v>mwb</v>
      </c>
      <c r="W720" s="3" t="n">
        <f aca="false">COUNTIFS($A$2:$A$1001,A720,$C$2:$C$1001,C720)</f>
        <v>1</v>
      </c>
      <c r="X720" s="3" t="str">
        <f aca="false">IF(W720&gt;1,"Duplicate","Unique")</f>
        <v>Unique</v>
      </c>
      <c r="Y720" s="3" t="str">
        <f aca="false">IF(B720&lt;6.5,"&lt;6.5",IF(B720&lt;7,"6.5–6.9",IF(B720&lt;7.5,"7.0–7.4",IF(B720&lt;8,"7.5–7.9","8.0+"))))</f>
        <v>6.5–6.9</v>
      </c>
      <c r="Z720" s="3" t="n">
        <f aca="false">IF(T720="","",YEAR(T720))</f>
        <v>2004</v>
      </c>
    </row>
    <row r="721" customFormat="false" ht="13.8" hidden="false" customHeight="false" outlineLevel="0" collapsed="false">
      <c r="A721" s="3" t="s">
        <v>1892</v>
      </c>
      <c r="B721" s="3" t="n">
        <v>6.6</v>
      </c>
      <c r="C721" s="6" t="s">
        <v>1893</v>
      </c>
      <c r="D721" s="3" t="n">
        <v>0</v>
      </c>
      <c r="E721" s="3" t="n">
        <v>4</v>
      </c>
      <c r="F721" s="3"/>
      <c r="G721" s="3" t="n">
        <v>0</v>
      </c>
      <c r="H721" s="3" t="n">
        <v>670</v>
      </c>
      <c r="I721" s="3" t="s">
        <v>22</v>
      </c>
      <c r="J721" s="3" t="n">
        <v>478</v>
      </c>
      <c r="K721" s="3" t="n">
        <v>0</v>
      </c>
      <c r="L721" s="3" t="n">
        <v>29.8</v>
      </c>
      <c r="M721" s="3" t="s">
        <v>127</v>
      </c>
      <c r="N721" s="3" t="n">
        <v>10</v>
      </c>
      <c r="O721" s="3" t="n">
        <v>33.205</v>
      </c>
      <c r="P721" s="3" t="n">
        <v>137.227</v>
      </c>
      <c r="Q721" s="3" t="s">
        <v>1894</v>
      </c>
      <c r="R721" s="3"/>
      <c r="S721" s="3"/>
      <c r="T721" s="5" t="n">
        <f aca="false">IF(C721="","",DATE(VALUE(MID(C721,7,4)),VALUE(MID(C721,4,2)),VALUE(MID(C721,1,2)))+TIME(VALUE(MID(C721,12,2)),VALUE(MID(C721,15,2)),0))</f>
        <v>38236.9784722222</v>
      </c>
      <c r="U721" s="3" t="str">
        <f aca="false">IFERROR(IF(ISNUMBER(VALUE(TRIM(MID(A721,FIND("-",A721)+1,FIND("km",A721)-FIND("-",A721)-1)))),"Distance + direction + city","Named-region"),"Named-region")</f>
        <v>Distance + direction + city</v>
      </c>
      <c r="V721" s="3" t="str">
        <f aca="false">LOWER(M721)</f>
        <v>mwc</v>
      </c>
      <c r="W721" s="3" t="n">
        <f aca="false">COUNTIFS($A$2:$A$1001,A721,$C$2:$C$1001,C721)</f>
        <v>1</v>
      </c>
      <c r="X721" s="3" t="str">
        <f aca="false">IF(W721&gt;1,"Duplicate","Unique")</f>
        <v>Unique</v>
      </c>
      <c r="Y721" s="3" t="str">
        <f aca="false">IF(B721&lt;6.5,"&lt;6.5",IF(B721&lt;7,"6.5–6.9",IF(B721&lt;7.5,"7.0–7.4",IF(B721&lt;8,"7.5–7.9","8.0+"))))</f>
        <v>6.5–6.9</v>
      </c>
      <c r="Z721" s="3" t="n">
        <f aca="false">IF(T721="","",YEAR(T721))</f>
        <v>2004</v>
      </c>
    </row>
    <row r="722" customFormat="false" ht="13.8" hidden="false" customHeight="false" outlineLevel="0" collapsed="false">
      <c r="A722" s="3" t="s">
        <v>1895</v>
      </c>
      <c r="B722" s="3" t="n">
        <v>7.4</v>
      </c>
      <c r="C722" s="6" t="s">
        <v>1896</v>
      </c>
      <c r="D722" s="3" t="n">
        <v>0</v>
      </c>
      <c r="E722" s="3" t="n">
        <v>5</v>
      </c>
      <c r="F722" s="3"/>
      <c r="G722" s="3" t="n">
        <v>0</v>
      </c>
      <c r="H722" s="3" t="n">
        <v>842</v>
      </c>
      <c r="I722" s="3" t="s">
        <v>22</v>
      </c>
      <c r="J722" s="3" t="n">
        <v>594</v>
      </c>
      <c r="K722" s="3" t="n">
        <v>0</v>
      </c>
      <c r="L722" s="3" t="n">
        <v>27.5</v>
      </c>
      <c r="M722" s="3" t="s">
        <v>154</v>
      </c>
      <c r="N722" s="3" t="n">
        <v>10</v>
      </c>
      <c r="O722" s="3" t="n">
        <v>33.184</v>
      </c>
      <c r="P722" s="3" t="n">
        <v>137.071</v>
      </c>
      <c r="Q722" s="3" t="s">
        <v>1894</v>
      </c>
      <c r="R722" s="3"/>
      <c r="S722" s="3"/>
      <c r="T722" s="5" t="n">
        <f aca="false">IF(C722="","",DATE(VALUE(MID(C722,7,4)),VALUE(MID(C722,4,2)),VALUE(MID(C722,1,2)))+TIME(VALUE(MID(C722,12,2)),VALUE(MID(C722,15,2)),0))</f>
        <v>38235.6229166667</v>
      </c>
      <c r="U722" s="3" t="str">
        <f aca="false">IFERROR(IF(ISNUMBER(VALUE(TRIM(MID(A722,FIND("-",A722)+1,FIND("km",A722)-FIND("-",A722)-1)))),"Distance + direction + city","Named-region"),"Named-region")</f>
        <v>Distance + direction + city</v>
      </c>
      <c r="V722" s="3" t="str">
        <f aca="false">LOWER(M722)</f>
        <v>mwb</v>
      </c>
      <c r="W722" s="3" t="n">
        <f aca="false">COUNTIFS($A$2:$A$1001,A722,$C$2:$C$1001,C722)</f>
        <v>1</v>
      </c>
      <c r="X722" s="3" t="str">
        <f aca="false">IF(W722&gt;1,"Duplicate","Unique")</f>
        <v>Unique</v>
      </c>
      <c r="Y722" s="3" t="str">
        <f aca="false">IF(B722&lt;6.5,"&lt;6.5",IF(B722&lt;7,"6.5–6.9",IF(B722&lt;7.5,"7.0–7.4",IF(B722&lt;8,"7.5–7.9","8.0+"))))</f>
        <v>7.0–7.4</v>
      </c>
      <c r="Z722" s="3" t="n">
        <f aca="false">IF(T722="","",YEAR(T722))</f>
        <v>2004</v>
      </c>
    </row>
    <row r="723" customFormat="false" ht="13.8" hidden="false" customHeight="false" outlineLevel="0" collapsed="false">
      <c r="A723" s="3" t="s">
        <v>1897</v>
      </c>
      <c r="B723" s="3" t="n">
        <v>7.2</v>
      </c>
      <c r="C723" s="6" t="s">
        <v>1898</v>
      </c>
      <c r="D723" s="3" t="n">
        <v>0</v>
      </c>
      <c r="E723" s="3" t="n">
        <v>5</v>
      </c>
      <c r="F723" s="3"/>
      <c r="G723" s="3" t="n">
        <v>0</v>
      </c>
      <c r="H723" s="3" t="n">
        <v>798</v>
      </c>
      <c r="I723" s="3" t="s">
        <v>22</v>
      </c>
      <c r="J723" s="3" t="n">
        <v>643</v>
      </c>
      <c r="K723" s="3" t="n">
        <v>0</v>
      </c>
      <c r="L723" s="3" t="n">
        <v>28.4</v>
      </c>
      <c r="M723" s="3" t="s">
        <v>127</v>
      </c>
      <c r="N723" s="3" t="n">
        <v>14</v>
      </c>
      <c r="O723" s="3" t="n">
        <v>33.07</v>
      </c>
      <c r="P723" s="3" t="n">
        <v>136.618</v>
      </c>
      <c r="Q723" s="3" t="s">
        <v>1894</v>
      </c>
      <c r="R723" s="3"/>
      <c r="S723" s="3"/>
      <c r="T723" s="5" t="n">
        <f aca="false">IF(C723="","",DATE(VALUE(MID(C723,7,4)),VALUE(MID(C723,4,2)),VALUE(MID(C723,1,2)))+TIME(VALUE(MID(C723,12,2)),VALUE(MID(C723,15,2)),0))</f>
        <v>38235.4215277778</v>
      </c>
      <c r="U723" s="3" t="str">
        <f aca="false">IFERROR(IF(ISNUMBER(VALUE(TRIM(MID(A723,FIND("-",A723)+1,FIND("km",A723)-FIND("-",A723)-1)))),"Distance + direction + city","Named-region"),"Named-region")</f>
        <v>Distance + direction + city</v>
      </c>
      <c r="V723" s="3" t="str">
        <f aca="false">LOWER(M723)</f>
        <v>mwc</v>
      </c>
      <c r="W723" s="3" t="n">
        <f aca="false">COUNTIFS($A$2:$A$1001,A723,$C$2:$C$1001,C723)</f>
        <v>1</v>
      </c>
      <c r="X723" s="3" t="str">
        <f aca="false">IF(W723&gt;1,"Duplicate","Unique")</f>
        <v>Unique</v>
      </c>
      <c r="Y723" s="3" t="str">
        <f aca="false">IF(B723&lt;6.5,"&lt;6.5",IF(B723&lt;7,"6.5–6.9",IF(B723&lt;7.5,"7.0–7.4",IF(B723&lt;8,"7.5–7.9","8.0+"))))</f>
        <v>7.0–7.4</v>
      </c>
      <c r="Z723" s="3" t="n">
        <f aca="false">IF(T723="","",YEAR(T723))</f>
        <v>2004</v>
      </c>
    </row>
    <row r="724" customFormat="false" ht="13.8" hidden="false" customHeight="false" outlineLevel="0" collapsed="false">
      <c r="A724" s="3" t="s">
        <v>1899</v>
      </c>
      <c r="B724" s="3" t="n">
        <v>6.5</v>
      </c>
      <c r="C724" s="3" t="s">
        <v>1900</v>
      </c>
      <c r="D724" s="3" t="n">
        <v>0</v>
      </c>
      <c r="E724" s="3" t="n">
        <v>7</v>
      </c>
      <c r="F724" s="3"/>
      <c r="G724" s="3" t="n">
        <v>0</v>
      </c>
      <c r="H724" s="3" t="n">
        <v>650</v>
      </c>
      <c r="I724" s="3" t="s">
        <v>22</v>
      </c>
      <c r="J724" s="3" t="n">
        <v>349</v>
      </c>
      <c r="K724" s="3" t="n">
        <v>0</v>
      </c>
      <c r="L724" s="3" t="n">
        <v>30.1</v>
      </c>
      <c r="M724" s="3" t="s">
        <v>154</v>
      </c>
      <c r="N724" s="3" t="n">
        <v>5</v>
      </c>
      <c r="O724" s="3" t="n">
        <v>-35.173</v>
      </c>
      <c r="P724" s="3" t="n">
        <v>-70.525</v>
      </c>
      <c r="Q724" s="3" t="s">
        <v>1901</v>
      </c>
      <c r="R724" s="3" t="s">
        <v>33</v>
      </c>
      <c r="S724" s="3" t="s">
        <v>373</v>
      </c>
      <c r="T724" s="5" t="n">
        <f aca="false">IF(C724="","",DATE(VALUE(MID(C724,7,4)),VALUE(MID(C724,4,2)),VALUE(MID(C724,1,2)))+TIME(VALUE(MID(C724,12,2)),VALUE(MID(C724,15,2)),0))</f>
        <v>38227.5701388889</v>
      </c>
      <c r="U724" s="3" t="str">
        <f aca="false">IFERROR(IF(ISNUMBER(VALUE(TRIM(MID(A724,FIND("-",A724)+1,FIND("km",A724)-FIND("-",A724)-1)))),"Distance + direction + city","Named-region"),"Named-region")</f>
        <v>Distance + direction + city</v>
      </c>
      <c r="V724" s="3" t="str">
        <f aca="false">LOWER(M724)</f>
        <v>mwb</v>
      </c>
      <c r="W724" s="3" t="n">
        <f aca="false">COUNTIFS($A$2:$A$1001,A724,$C$2:$C$1001,C724)</f>
        <v>1</v>
      </c>
      <c r="X724" s="3" t="str">
        <f aca="false">IF(W724&gt;1,"Duplicate","Unique")</f>
        <v>Unique</v>
      </c>
      <c r="Y724" s="3" t="str">
        <f aca="false">IF(B724&lt;6.5,"&lt;6.5",IF(B724&lt;7,"6.5–6.9",IF(B724&lt;7.5,"7.0–7.4",IF(B724&lt;8,"7.5–7.9","8.0+"))))</f>
        <v>6.5–6.9</v>
      </c>
      <c r="Z724" s="3" t="n">
        <f aca="false">IF(T724="","",YEAR(T724))</f>
        <v>2004</v>
      </c>
    </row>
    <row r="725" customFormat="false" ht="13.8" hidden="false" customHeight="false" outlineLevel="0" collapsed="false">
      <c r="A725" s="3" t="s">
        <v>1902</v>
      </c>
      <c r="B725" s="3" t="n">
        <v>6.5</v>
      </c>
      <c r="C725" s="3" t="s">
        <v>1903</v>
      </c>
      <c r="D725" s="3" t="n">
        <v>0</v>
      </c>
      <c r="E725" s="3" t="n">
        <v>7</v>
      </c>
      <c r="F725" s="3"/>
      <c r="G725" s="3" t="n">
        <v>0</v>
      </c>
      <c r="H725" s="3" t="n">
        <v>650</v>
      </c>
      <c r="I725" s="3" t="s">
        <v>22</v>
      </c>
      <c r="J725" s="3" t="n">
        <v>305</v>
      </c>
      <c r="K725" s="3" t="n">
        <v>0</v>
      </c>
      <c r="L725" s="3" t="n">
        <v>39</v>
      </c>
      <c r="M725" s="3" t="s">
        <v>127</v>
      </c>
      <c r="N725" s="3" t="n">
        <v>13.4</v>
      </c>
      <c r="O725" s="3" t="n">
        <v>-0.443</v>
      </c>
      <c r="P725" s="3" t="n">
        <v>133.091</v>
      </c>
      <c r="Q725" s="3" t="s">
        <v>1275</v>
      </c>
      <c r="R725" s="3"/>
      <c r="S725" s="3" t="s">
        <v>68</v>
      </c>
      <c r="T725" s="5" t="n">
        <f aca="false">IF(C725="","",DATE(VALUE(MID(C725,7,4)),VALUE(MID(C725,4,2)),VALUE(MID(C725,1,2)))+TIME(VALUE(MID(C725,12,2)),VALUE(MID(C725,15,2)),0))</f>
        <v>38196.1638888889</v>
      </c>
      <c r="U725" s="3" t="str">
        <f aca="false">IFERROR(IF(ISNUMBER(VALUE(TRIM(MID(A725,FIND("-",A725)+1,FIND("km",A725)-FIND("-",A725)-1)))),"Distance + direction + city","Named-region"),"Named-region")</f>
        <v>Distance + direction + city</v>
      </c>
      <c r="V725" s="3" t="str">
        <f aca="false">LOWER(M725)</f>
        <v>mwc</v>
      </c>
      <c r="W725" s="3" t="n">
        <f aca="false">COUNTIFS($A$2:$A$1001,A725,$C$2:$C$1001,C725)</f>
        <v>1</v>
      </c>
      <c r="X725" s="3" t="str">
        <f aca="false">IF(W725&gt;1,"Duplicate","Unique")</f>
        <v>Unique</v>
      </c>
      <c r="Y725" s="3" t="str">
        <f aca="false">IF(B725&lt;6.5,"&lt;6.5",IF(B725&lt;7,"6.5–6.9",IF(B725&lt;7.5,"7.0–7.4",IF(B725&lt;8,"7.5–7.9","8.0+"))))</f>
        <v>6.5–6.9</v>
      </c>
      <c r="Z725" s="3" t="n">
        <f aca="false">IF(T725="","",YEAR(T725))</f>
        <v>2004</v>
      </c>
    </row>
    <row r="726" customFormat="false" ht="13.8" hidden="false" customHeight="false" outlineLevel="0" collapsed="false">
      <c r="A726" s="3" t="s">
        <v>1904</v>
      </c>
      <c r="B726" s="3" t="n">
        <v>6.9</v>
      </c>
      <c r="C726" s="6" t="s">
        <v>1905</v>
      </c>
      <c r="D726" s="3" t="n">
        <v>0</v>
      </c>
      <c r="E726" s="3" t="n">
        <v>5</v>
      </c>
      <c r="F726" s="3"/>
      <c r="G726" s="3" t="n">
        <v>0</v>
      </c>
      <c r="H726" s="3" t="n">
        <v>732</v>
      </c>
      <c r="I726" s="3" t="s">
        <v>22</v>
      </c>
      <c r="J726" s="3" t="n">
        <v>798</v>
      </c>
      <c r="K726" s="3" t="n">
        <v>0</v>
      </c>
      <c r="L726" s="3" t="n">
        <v>31.2</v>
      </c>
      <c r="M726" s="3" t="s">
        <v>154</v>
      </c>
      <c r="N726" s="3" t="n">
        <v>188.6</v>
      </c>
      <c r="O726" s="3" t="n">
        <v>55.682</v>
      </c>
      <c r="P726" s="3" t="n">
        <v>160.003</v>
      </c>
      <c r="Q726" s="3" t="s">
        <v>1906</v>
      </c>
      <c r="R726" s="3" t="s">
        <v>80</v>
      </c>
      <c r="S726" s="3" t="s">
        <v>428</v>
      </c>
      <c r="T726" s="5" t="n">
        <f aca="false">IF(C726="","",DATE(VALUE(MID(C726,7,4)),VALUE(MID(C726,4,2)),VALUE(MID(C726,1,2)))+TIME(VALUE(MID(C726,12,2)),VALUE(MID(C726,15,2)),0))</f>
        <v>38148.6381944444</v>
      </c>
      <c r="U726" s="3" t="str">
        <f aca="false">IFERROR(IF(ISNUMBER(VALUE(TRIM(MID(A726,FIND("-",A726)+1,FIND("km",A726)-FIND("-",A726)-1)))),"Distance + direction + city","Named-region"),"Named-region")</f>
        <v>Distance + direction + city</v>
      </c>
      <c r="V726" s="3" t="str">
        <f aca="false">LOWER(M726)</f>
        <v>mwb</v>
      </c>
      <c r="W726" s="3" t="n">
        <f aca="false">COUNTIFS($A$2:$A$1001,A726,$C$2:$C$1001,C726)</f>
        <v>1</v>
      </c>
      <c r="X726" s="3" t="str">
        <f aca="false">IF(W726&gt;1,"Duplicate","Unique")</f>
        <v>Unique</v>
      </c>
      <c r="Y726" s="3" t="str">
        <f aca="false">IF(B726&lt;6.5,"&lt;6.5",IF(B726&lt;7,"6.5–6.9",IF(B726&lt;7.5,"7.0–7.4",IF(B726&lt;8,"7.5–7.9","8.0+"))))</f>
        <v>6.5–6.9</v>
      </c>
      <c r="Z726" s="3" t="n">
        <f aca="false">IF(T726="","",YEAR(T726))</f>
        <v>2004</v>
      </c>
    </row>
    <row r="727" customFormat="false" ht="13.8" hidden="false" customHeight="false" outlineLevel="0" collapsed="false">
      <c r="A727" s="3" t="s">
        <v>1907</v>
      </c>
      <c r="B727" s="3" t="n">
        <v>6.6</v>
      </c>
      <c r="C727" s="6" t="s">
        <v>1908</v>
      </c>
      <c r="D727" s="3" t="n">
        <v>0</v>
      </c>
      <c r="E727" s="3" t="n">
        <v>7</v>
      </c>
      <c r="F727" s="3"/>
      <c r="G727" s="3" t="n">
        <v>0</v>
      </c>
      <c r="H727" s="3" t="n">
        <v>670</v>
      </c>
      <c r="I727" s="3" t="s">
        <v>22</v>
      </c>
      <c r="J727" s="3" t="n">
        <v>282</v>
      </c>
      <c r="K727" s="3" t="n">
        <v>0</v>
      </c>
      <c r="L727" s="3" t="n">
        <v>46.9</v>
      </c>
      <c r="M727" s="3" t="s">
        <v>154</v>
      </c>
      <c r="N727" s="3" t="n">
        <v>21</v>
      </c>
      <c r="O727" s="3" t="n">
        <v>-37.695</v>
      </c>
      <c r="P727" s="3" t="n">
        <v>-73.406</v>
      </c>
      <c r="Q727" s="3" t="s">
        <v>1437</v>
      </c>
      <c r="R727" s="3" t="s">
        <v>33</v>
      </c>
      <c r="S727" s="3" t="s">
        <v>373</v>
      </c>
      <c r="T727" s="5" t="n">
        <f aca="false">IF(C727="","",DATE(VALUE(MID(C727,7,4)),VALUE(MID(C727,4,2)),VALUE(MID(C727,1,2)))+TIME(VALUE(MID(C727,12,2)),VALUE(MID(C727,15,2)),0))</f>
        <v>38110.1916666667</v>
      </c>
      <c r="U727" s="3" t="str">
        <f aca="false">IFERROR(IF(ISNUMBER(VALUE(TRIM(MID(A727,FIND("-",A727)+1,FIND("km",A727)-FIND("-",A727)-1)))),"Distance + direction + city","Named-region"),"Named-region")</f>
        <v>Distance + direction + city</v>
      </c>
      <c r="V727" s="3" t="str">
        <f aca="false">LOWER(M727)</f>
        <v>mwb</v>
      </c>
      <c r="W727" s="3" t="n">
        <f aca="false">COUNTIFS($A$2:$A$1001,A727,$C$2:$C$1001,C727)</f>
        <v>1</v>
      </c>
      <c r="X727" s="3" t="str">
        <f aca="false">IF(W727&gt;1,"Duplicate","Unique")</f>
        <v>Unique</v>
      </c>
      <c r="Y727" s="3" t="str">
        <f aca="false">IF(B727&lt;6.5,"&lt;6.5",IF(B727&lt;7,"6.5–6.9",IF(B727&lt;7.5,"7.0–7.4",IF(B727&lt;8,"7.5–7.9","8.0+"))))</f>
        <v>6.5–6.9</v>
      </c>
      <c r="Z727" s="3" t="n">
        <f aca="false">IF(T727="","",YEAR(T727))</f>
        <v>2004</v>
      </c>
    </row>
    <row r="728" customFormat="false" ht="13.8" hidden="false" customHeight="false" outlineLevel="0" collapsed="false">
      <c r="A728" s="3" t="s">
        <v>1909</v>
      </c>
      <c r="B728" s="3" t="n">
        <v>6.7</v>
      </c>
      <c r="C728" s="3" t="s">
        <v>1910</v>
      </c>
      <c r="D728" s="3" t="n">
        <v>0</v>
      </c>
      <c r="E728" s="3" t="n">
        <v>5</v>
      </c>
      <c r="F728" s="3"/>
      <c r="G728" s="3" t="n">
        <v>0</v>
      </c>
      <c r="H728" s="3" t="n">
        <v>691</v>
      </c>
      <c r="I728" s="3" t="s">
        <v>22</v>
      </c>
      <c r="J728" s="3" t="n">
        <v>386</v>
      </c>
      <c r="K728" s="3" t="n">
        <v>0</v>
      </c>
      <c r="L728" s="3" t="n">
        <v>27.6</v>
      </c>
      <c r="M728" s="3" t="s">
        <v>154</v>
      </c>
      <c r="N728" s="3" t="n">
        <v>65.8</v>
      </c>
      <c r="O728" s="3" t="n">
        <v>-9.362</v>
      </c>
      <c r="P728" s="3" t="n">
        <v>122.839</v>
      </c>
      <c r="Q728" s="3" t="s">
        <v>1911</v>
      </c>
      <c r="R728" s="3"/>
      <c r="S728" s="3" t="s">
        <v>68</v>
      </c>
      <c r="T728" s="5" t="n">
        <f aca="false">IF(C728="","",DATE(VALUE(MID(C728,7,4)),VALUE(MID(C728,4,2)),VALUE(MID(C728,1,2)))+TIME(VALUE(MID(C728,12,2)),VALUE(MID(C728,15,2)),0))</f>
        <v>38100.0763888889</v>
      </c>
      <c r="U728" s="3" t="str">
        <f aca="false">IFERROR(IF(ISNUMBER(VALUE(TRIM(MID(A728,FIND("-",A728)+1,FIND("km",A728)-FIND("-",A728)-1)))),"Distance + direction + city","Named-region"),"Named-region")</f>
        <v>Distance + direction + city</v>
      </c>
      <c r="V728" s="3" t="str">
        <f aca="false">LOWER(M728)</f>
        <v>mwb</v>
      </c>
      <c r="W728" s="3" t="n">
        <f aca="false">COUNTIFS($A$2:$A$1001,A728,$C$2:$C$1001,C728)</f>
        <v>1</v>
      </c>
      <c r="X728" s="3" t="str">
        <f aca="false">IF(W728&gt;1,"Duplicate","Unique")</f>
        <v>Unique</v>
      </c>
      <c r="Y728" s="3" t="str">
        <f aca="false">IF(B728&lt;6.5,"&lt;6.5",IF(B728&lt;7,"6.5–6.9",IF(B728&lt;7.5,"7.0–7.4",IF(B728&lt;8,"7.5–7.9","8.0+"))))</f>
        <v>6.5–6.9</v>
      </c>
      <c r="Z728" s="3" t="n">
        <f aca="false">IF(T728="","",YEAR(T728))</f>
        <v>2004</v>
      </c>
    </row>
    <row r="729" customFormat="false" ht="13.8" hidden="false" customHeight="false" outlineLevel="0" collapsed="false">
      <c r="A729" s="3" t="s">
        <v>1912</v>
      </c>
      <c r="B729" s="3" t="n">
        <v>6.5</v>
      </c>
      <c r="C729" s="6" t="s">
        <v>1913</v>
      </c>
      <c r="D729" s="3" t="n">
        <v>0</v>
      </c>
      <c r="E729" s="3" t="n">
        <v>4</v>
      </c>
      <c r="F729" s="3"/>
      <c r="G729" s="3" t="n">
        <v>0</v>
      </c>
      <c r="H729" s="3" t="n">
        <v>650</v>
      </c>
      <c r="I729" s="3" t="s">
        <v>22</v>
      </c>
      <c r="J729" s="3" t="n">
        <v>424</v>
      </c>
      <c r="K729" s="3" t="n">
        <v>0</v>
      </c>
      <c r="L729" s="3" t="n">
        <v>29.9</v>
      </c>
      <c r="M729" s="3" t="s">
        <v>154</v>
      </c>
      <c r="N729" s="3" t="n">
        <v>228.4</v>
      </c>
      <c r="O729" s="3" t="n">
        <v>-13.174</v>
      </c>
      <c r="P729" s="3" t="n">
        <v>167.198</v>
      </c>
      <c r="Q729" s="3" t="s">
        <v>24</v>
      </c>
      <c r="R729" s="3"/>
      <c r="S729" s="3" t="s">
        <v>25</v>
      </c>
      <c r="T729" s="5" t="n">
        <f aca="false">IF(C729="","",DATE(VALUE(MID(C729,7,4)),VALUE(MID(C729,4,2)),VALUE(MID(C729,1,2)))+TIME(VALUE(MID(C729,12,2)),VALUE(MID(C729,15,2)),0))</f>
        <v>38086.6409722222</v>
      </c>
      <c r="U729" s="3" t="str">
        <f aca="false">IFERROR(IF(ISNUMBER(VALUE(TRIM(MID(A729,FIND("-",A729)+1,FIND("km",A729)-FIND("-",A729)-1)))),"Distance + direction + city","Named-region"),"Named-region")</f>
        <v>Distance + direction + city</v>
      </c>
      <c r="V729" s="3" t="str">
        <f aca="false">LOWER(M729)</f>
        <v>mwb</v>
      </c>
      <c r="W729" s="3" t="n">
        <f aca="false">COUNTIFS($A$2:$A$1001,A729,$C$2:$C$1001,C729)</f>
        <v>1</v>
      </c>
      <c r="X729" s="3" t="str">
        <f aca="false">IF(W729&gt;1,"Duplicate","Unique")</f>
        <v>Unique</v>
      </c>
      <c r="Y729" s="3" t="str">
        <f aca="false">IF(B729&lt;6.5,"&lt;6.5",IF(B729&lt;7,"6.5–6.9",IF(B729&lt;7.5,"7.0–7.4",IF(B729&lt;8,"7.5–7.9","8.0+"))))</f>
        <v>6.5–6.9</v>
      </c>
      <c r="Z729" s="3" t="n">
        <f aca="false">IF(T729="","",YEAR(T729))</f>
        <v>2004</v>
      </c>
    </row>
    <row r="730" customFormat="false" ht="13.8" hidden="false" customHeight="false" outlineLevel="0" collapsed="false">
      <c r="A730" s="3" t="s">
        <v>1914</v>
      </c>
      <c r="B730" s="3" t="n">
        <v>6.6</v>
      </c>
      <c r="C730" s="6" t="s">
        <v>1915</v>
      </c>
      <c r="D730" s="3" t="n">
        <v>0</v>
      </c>
      <c r="E730" s="3" t="n">
        <v>4</v>
      </c>
      <c r="F730" s="3"/>
      <c r="G730" s="3" t="n">
        <v>0</v>
      </c>
      <c r="H730" s="3" t="n">
        <v>670</v>
      </c>
      <c r="I730" s="3" t="s">
        <v>22</v>
      </c>
      <c r="J730" s="3" t="n">
        <v>728</v>
      </c>
      <c r="K730" s="3" t="n">
        <v>0</v>
      </c>
      <c r="L730" s="3" t="n">
        <v>18.3</v>
      </c>
      <c r="M730" s="3" t="s">
        <v>154</v>
      </c>
      <c r="N730" s="3" t="n">
        <v>187.1</v>
      </c>
      <c r="O730" s="3" t="n">
        <v>36.512</v>
      </c>
      <c r="P730" s="3" t="n">
        <v>71.029</v>
      </c>
      <c r="Q730" s="3" t="s">
        <v>1916</v>
      </c>
      <c r="R730" s="3" t="s">
        <v>80</v>
      </c>
      <c r="S730" s="3" t="s">
        <v>92</v>
      </c>
      <c r="T730" s="5" t="n">
        <f aca="false">IF(C730="","",DATE(VALUE(MID(C730,7,4)),VALUE(MID(C730,4,2)),VALUE(MID(C730,1,2)))+TIME(VALUE(MID(C730,12,2)),VALUE(MID(C730,15,2)),0))</f>
        <v>38082.8916666667</v>
      </c>
      <c r="U730" s="3" t="str">
        <f aca="false">IFERROR(IF(ISNUMBER(VALUE(TRIM(MID(A730,FIND("-",A730)+1,FIND("km",A730)-FIND("-",A730)-1)))),"Distance + direction + city","Named-region"),"Named-region")</f>
        <v>Named-region</v>
      </c>
      <c r="V730" s="3" t="str">
        <f aca="false">LOWER(M730)</f>
        <v>mwb</v>
      </c>
      <c r="W730" s="3" t="n">
        <f aca="false">COUNTIFS($A$2:$A$1001,A730,$C$2:$C$1001,C730)</f>
        <v>1</v>
      </c>
      <c r="X730" s="3" t="str">
        <f aca="false">IF(W730&gt;1,"Duplicate","Unique")</f>
        <v>Unique</v>
      </c>
      <c r="Y730" s="3" t="str">
        <f aca="false">IF(B730&lt;6.5,"&lt;6.5",IF(B730&lt;7,"6.5–6.9",IF(B730&lt;7.5,"7.0–7.4",IF(B730&lt;8,"7.5–7.9","8.0+"))))</f>
        <v>6.5–6.9</v>
      </c>
      <c r="Z730" s="3" t="n">
        <f aca="false">IF(T730="","",YEAR(T730))</f>
        <v>2004</v>
      </c>
    </row>
    <row r="731" customFormat="false" ht="13.8" hidden="false" customHeight="false" outlineLevel="0" collapsed="false">
      <c r="A731" s="3" t="s">
        <v>1917</v>
      </c>
      <c r="B731" s="3" t="n">
        <v>6.7</v>
      </c>
      <c r="C731" s="6" t="s">
        <v>1918</v>
      </c>
      <c r="D731" s="3" t="n">
        <v>0</v>
      </c>
      <c r="E731" s="3" t="n">
        <v>7</v>
      </c>
      <c r="F731" s="3"/>
      <c r="G731" s="3" t="n">
        <v>0</v>
      </c>
      <c r="H731" s="3" t="n">
        <v>691</v>
      </c>
      <c r="I731" s="3" t="s">
        <v>22</v>
      </c>
      <c r="J731" s="3" t="n">
        <v>256</v>
      </c>
      <c r="K731" s="3" t="n">
        <v>0</v>
      </c>
      <c r="L731" s="3" t="n">
        <v>33.3</v>
      </c>
      <c r="M731" s="3" t="s">
        <v>127</v>
      </c>
      <c r="N731" s="3" t="n">
        <v>25.7</v>
      </c>
      <c r="O731" s="3" t="n">
        <v>-3.665</v>
      </c>
      <c r="P731" s="3" t="n">
        <v>135.339</v>
      </c>
      <c r="Q731" s="3" t="s">
        <v>1866</v>
      </c>
      <c r="R731" s="3"/>
      <c r="S731" s="3" t="s">
        <v>68</v>
      </c>
      <c r="T731" s="5" t="n">
        <f aca="false">IF(C731="","",DATE(VALUE(MID(C731,7,4)),VALUE(MID(C731,4,2)),VALUE(MID(C731,1,2)))+TIME(VALUE(MID(C731,12,2)),VALUE(MID(C731,15,2)),0))</f>
        <v>38025.3736111111</v>
      </c>
      <c r="U731" s="3" t="str">
        <f aca="false">IFERROR(IF(ISNUMBER(VALUE(TRIM(MID(A731,FIND("-",A731)+1,FIND("km",A731)-FIND("-",A731)-1)))),"Distance + direction + city","Named-region"),"Named-region")</f>
        <v>Distance + direction + city</v>
      </c>
      <c r="V731" s="3" t="str">
        <f aca="false">LOWER(M731)</f>
        <v>mwc</v>
      </c>
      <c r="W731" s="3" t="n">
        <f aca="false">COUNTIFS($A$2:$A$1001,A731,$C$2:$C$1001,C731)</f>
        <v>1</v>
      </c>
      <c r="X731" s="3" t="str">
        <f aca="false">IF(W731&gt;1,"Duplicate","Unique")</f>
        <v>Unique</v>
      </c>
      <c r="Y731" s="3" t="str">
        <f aca="false">IF(B731&lt;6.5,"&lt;6.5",IF(B731&lt;7,"6.5–6.9",IF(B731&lt;7.5,"7.0–7.4",IF(B731&lt;8,"7.5–7.9","8.0+"))))</f>
        <v>6.5–6.9</v>
      </c>
      <c r="Z731" s="3" t="n">
        <f aca="false">IF(T731="","",YEAR(T731))</f>
        <v>2004</v>
      </c>
    </row>
    <row r="732" customFormat="false" ht="13.8" hidden="false" customHeight="false" outlineLevel="0" collapsed="false">
      <c r="A732" s="3" t="s">
        <v>1919</v>
      </c>
      <c r="B732" s="3" t="n">
        <v>7.3</v>
      </c>
      <c r="C732" s="6" t="s">
        <v>1920</v>
      </c>
      <c r="D732" s="3" t="n">
        <v>0</v>
      </c>
      <c r="E732" s="3" t="n">
        <v>7</v>
      </c>
      <c r="F732" s="3"/>
      <c r="G732" s="3" t="n">
        <v>0</v>
      </c>
      <c r="H732" s="3" t="n">
        <v>820</v>
      </c>
      <c r="I732" s="3" t="s">
        <v>22</v>
      </c>
      <c r="J732" s="3" t="n">
        <v>390</v>
      </c>
      <c r="K732" s="3" t="n">
        <v>0</v>
      </c>
      <c r="L732" s="3" t="n">
        <v>23</v>
      </c>
      <c r="M732" s="3" t="s">
        <v>154</v>
      </c>
      <c r="N732" s="3" t="n">
        <v>10</v>
      </c>
      <c r="O732" s="3" t="n">
        <v>-4.003</v>
      </c>
      <c r="P732" s="3" t="n">
        <v>135.023</v>
      </c>
      <c r="Q732" s="3" t="s">
        <v>1414</v>
      </c>
      <c r="R732" s="3"/>
      <c r="S732" s="3" t="s">
        <v>68</v>
      </c>
      <c r="T732" s="5" t="n">
        <f aca="false">IF(C732="","",DATE(VALUE(MID(C732,7,4)),VALUE(MID(C732,4,2)),VALUE(MID(C732,1,2)))+TIME(VALUE(MID(C732,12,2)),VALUE(MID(C732,15,2)),0))</f>
        <v>38024.1125</v>
      </c>
      <c r="U732" s="3" t="str">
        <f aca="false">IFERROR(IF(ISNUMBER(VALUE(TRIM(MID(A732,FIND("-",A732)+1,FIND("km",A732)-FIND("-",A732)-1)))),"Distance + direction + city","Named-region"),"Named-region")</f>
        <v>Named-region</v>
      </c>
      <c r="V732" s="3" t="str">
        <f aca="false">LOWER(M732)</f>
        <v>mwb</v>
      </c>
      <c r="W732" s="3" t="n">
        <f aca="false">COUNTIFS($A$2:$A$1001,A732,$C$2:$C$1001,C732)</f>
        <v>1</v>
      </c>
      <c r="X732" s="3" t="str">
        <f aca="false">IF(W732&gt;1,"Duplicate","Unique")</f>
        <v>Unique</v>
      </c>
      <c r="Y732" s="3" t="str">
        <f aca="false">IF(B732&lt;6.5,"&lt;6.5",IF(B732&lt;7,"6.5–6.9",IF(B732&lt;7.5,"7.0–7.4",IF(B732&lt;8,"7.5–7.9","8.0+"))))</f>
        <v>7.0–7.4</v>
      </c>
      <c r="Z732" s="3" t="n">
        <f aca="false">IF(T732="","",YEAR(T732))</f>
        <v>2004</v>
      </c>
    </row>
    <row r="733" customFormat="false" ht="13.8" hidden="false" customHeight="false" outlineLevel="0" collapsed="false">
      <c r="A733" s="3" t="s">
        <v>1921</v>
      </c>
      <c r="B733" s="3" t="n">
        <v>7</v>
      </c>
      <c r="C733" s="6" t="s">
        <v>1922</v>
      </c>
      <c r="D733" s="3" t="n">
        <v>0</v>
      </c>
      <c r="E733" s="3" t="n">
        <v>7</v>
      </c>
      <c r="F733" s="3"/>
      <c r="G733" s="3" t="n">
        <v>0</v>
      </c>
      <c r="H733" s="3" t="n">
        <v>754</v>
      </c>
      <c r="I733" s="3" t="s">
        <v>22</v>
      </c>
      <c r="J733" s="3" t="n">
        <v>367</v>
      </c>
      <c r="K733" s="3" t="n">
        <v>0</v>
      </c>
      <c r="L733" s="3" t="n">
        <v>33</v>
      </c>
      <c r="M733" s="3" t="s">
        <v>127</v>
      </c>
      <c r="N733" s="3" t="n">
        <v>16.6</v>
      </c>
      <c r="O733" s="3" t="n">
        <v>-3.615</v>
      </c>
      <c r="P733" s="3" t="n">
        <v>135.538</v>
      </c>
      <c r="Q733" s="3" t="s">
        <v>1866</v>
      </c>
      <c r="R733" s="3"/>
      <c r="S733" s="3" t="s">
        <v>68</v>
      </c>
      <c r="T733" s="5" t="n">
        <f aca="false">IF(C733="","",DATE(VALUE(MID(C733,7,4)),VALUE(MID(C733,4,2)),VALUE(MID(C733,1,2)))+TIME(VALUE(MID(C733,12,2)),VALUE(MID(C733,15,2)),0))</f>
        <v>38022.8784722222</v>
      </c>
      <c r="U733" s="3" t="str">
        <f aca="false">IFERROR(IF(ISNUMBER(VALUE(TRIM(MID(A733,FIND("-",A733)+1,FIND("km",A733)-FIND("-",A733)-1)))),"Distance + direction + city","Named-region"),"Named-region")</f>
        <v>Distance + direction + city</v>
      </c>
      <c r="V733" s="3" t="str">
        <f aca="false">LOWER(M733)</f>
        <v>mwc</v>
      </c>
      <c r="W733" s="3" t="n">
        <f aca="false">COUNTIFS($A$2:$A$1001,A733,$C$2:$C$1001,C733)</f>
        <v>1</v>
      </c>
      <c r="X733" s="3" t="str">
        <f aca="false">IF(W733&gt;1,"Duplicate","Unique")</f>
        <v>Unique</v>
      </c>
      <c r="Y733" s="3" t="str">
        <f aca="false">IF(B733&lt;6.5,"&lt;6.5",IF(B733&lt;7,"6.5–6.9",IF(B733&lt;7.5,"7.0–7.4",IF(B733&lt;8,"7.5–7.9","8.0+"))))</f>
        <v>7.0–7.4</v>
      </c>
      <c r="Z733" s="3" t="n">
        <f aca="false">IF(T733="","",YEAR(T733))</f>
        <v>2004</v>
      </c>
    </row>
    <row r="734" customFormat="false" ht="13.8" hidden="false" customHeight="false" outlineLevel="0" collapsed="false">
      <c r="A734" s="3" t="s">
        <v>1923</v>
      </c>
      <c r="B734" s="3" t="n">
        <v>6.7</v>
      </c>
      <c r="C734" s="3" t="s">
        <v>1924</v>
      </c>
      <c r="D734" s="3" t="n">
        <v>0</v>
      </c>
      <c r="E734" s="3" t="n">
        <v>6</v>
      </c>
      <c r="F734" s="3"/>
      <c r="G734" s="3" t="n">
        <v>0</v>
      </c>
      <c r="H734" s="3" t="n">
        <v>691</v>
      </c>
      <c r="I734" s="3" t="s">
        <v>22</v>
      </c>
      <c r="J734" s="3" t="n">
        <v>243</v>
      </c>
      <c r="K734" s="3" t="n">
        <v>0</v>
      </c>
      <c r="L734" s="3" t="n">
        <v>42.5</v>
      </c>
      <c r="M734" s="3" t="s">
        <v>154</v>
      </c>
      <c r="N734" s="3" t="n">
        <v>17.4</v>
      </c>
      <c r="O734" s="3" t="n">
        <v>-3.12</v>
      </c>
      <c r="P734" s="3" t="n">
        <v>127.4</v>
      </c>
      <c r="Q734" s="3" t="s">
        <v>1770</v>
      </c>
      <c r="R734" s="3"/>
      <c r="S734" s="3" t="s">
        <v>68</v>
      </c>
      <c r="T734" s="5" t="n">
        <f aca="false">IF(C734="","",DATE(VALUE(MID(C734,7,4)),VALUE(MID(C734,4,2)),VALUE(MID(C734,1,2)))+TIME(VALUE(MID(C734,12,2)),VALUE(MID(C734,15,2)),0))</f>
        <v>38014.9270833333</v>
      </c>
      <c r="U734" s="3" t="str">
        <f aca="false">IFERROR(IF(ISNUMBER(VALUE(TRIM(MID(A734,FIND("-",A734)+1,FIND("km",A734)-FIND("-",A734)-1)))),"Distance + direction + city","Named-region"),"Named-region")</f>
        <v>Distance + direction + city</v>
      </c>
      <c r="V734" s="3" t="str">
        <f aca="false">LOWER(M734)</f>
        <v>mwb</v>
      </c>
      <c r="W734" s="3" t="n">
        <f aca="false">COUNTIFS($A$2:$A$1001,A734,$C$2:$C$1001,C734)</f>
        <v>1</v>
      </c>
      <c r="X734" s="3" t="str">
        <f aca="false">IF(W734&gt;1,"Duplicate","Unique")</f>
        <v>Unique</v>
      </c>
      <c r="Y734" s="3" t="str">
        <f aca="false">IF(B734&lt;6.5,"&lt;6.5",IF(B734&lt;7,"6.5–6.9",IF(B734&lt;7.5,"7.0–7.4",IF(B734&lt;8,"7.5–7.9","8.0+"))))</f>
        <v>6.5–6.9</v>
      </c>
      <c r="Z734" s="3" t="n">
        <f aca="false">IF(T734="","",YEAR(T734))</f>
        <v>2004</v>
      </c>
    </row>
    <row r="735" customFormat="false" ht="13.8" hidden="false" customHeight="false" outlineLevel="0" collapsed="false">
      <c r="A735" s="3" t="s">
        <v>1925</v>
      </c>
      <c r="B735" s="3" t="n">
        <v>7.3</v>
      </c>
      <c r="C735" s="3" t="s">
        <v>1926</v>
      </c>
      <c r="D735" s="3" t="n">
        <v>0</v>
      </c>
      <c r="E735" s="3" t="n">
        <v>4</v>
      </c>
      <c r="F735" s="3"/>
      <c r="G735" s="3" t="n">
        <v>0</v>
      </c>
      <c r="H735" s="3" t="n">
        <v>820</v>
      </c>
      <c r="I735" s="3" t="s">
        <v>22</v>
      </c>
      <c r="J735" s="3" t="n">
        <v>235</v>
      </c>
      <c r="K735" s="3" t="n">
        <v>0</v>
      </c>
      <c r="L735" s="3" t="n">
        <v>46.6</v>
      </c>
      <c r="M735" s="3" t="s">
        <v>127</v>
      </c>
      <c r="N735" s="3" t="n">
        <v>10</v>
      </c>
      <c r="O735" s="3" t="n">
        <v>-22.015</v>
      </c>
      <c r="P735" s="3" t="n">
        <v>169.766</v>
      </c>
      <c r="Q735" s="3" t="s">
        <v>211</v>
      </c>
      <c r="R735" s="3"/>
      <c r="S735" s="3"/>
      <c r="T735" s="5" t="n">
        <f aca="false">IF(C735="","",DATE(VALUE(MID(C735,7,4)),VALUE(MID(C735,4,2)),VALUE(MID(C735,1,2)))+TIME(VALUE(MID(C735,12,2)),VALUE(MID(C735,15,2)),0))</f>
        <v>37982.6666666667</v>
      </c>
      <c r="U735" s="3" t="str">
        <f aca="false">IFERROR(IF(ISNUMBER(VALUE(TRIM(MID(A735,FIND("-",A735)+1,FIND("km",A735)-FIND("-",A735)-1)))),"Distance + direction + city","Named-region"),"Named-region")</f>
        <v>Distance + direction + city</v>
      </c>
      <c r="V735" s="3" t="str">
        <f aca="false">LOWER(M735)</f>
        <v>mwc</v>
      </c>
      <c r="W735" s="3" t="n">
        <f aca="false">COUNTIFS($A$2:$A$1001,A735,$C$2:$C$1001,C735)</f>
        <v>1</v>
      </c>
      <c r="X735" s="3" t="str">
        <f aca="false">IF(W735&gt;1,"Duplicate","Unique")</f>
        <v>Unique</v>
      </c>
      <c r="Y735" s="3" t="str">
        <f aca="false">IF(B735&lt;6.5,"&lt;6.5",IF(B735&lt;7,"6.5–6.9",IF(B735&lt;7.5,"7.0–7.4",IF(B735&lt;8,"7.5–7.9","8.0+"))))</f>
        <v>7.0–7.4</v>
      </c>
      <c r="Z735" s="3" t="n">
        <f aca="false">IF(T735="","",YEAR(T735))</f>
        <v>2003</v>
      </c>
    </row>
    <row r="736" customFormat="false" ht="13.8" hidden="false" customHeight="false" outlineLevel="0" collapsed="false">
      <c r="A736" s="3" t="s">
        <v>1927</v>
      </c>
      <c r="B736" s="3" t="n">
        <v>6.6</v>
      </c>
      <c r="C736" s="3" t="s">
        <v>1928</v>
      </c>
      <c r="D736" s="3" t="n">
        <v>0</v>
      </c>
      <c r="E736" s="3" t="n">
        <v>9</v>
      </c>
      <c r="F736" s="3"/>
      <c r="G736" s="3" t="n">
        <v>0</v>
      </c>
      <c r="H736" s="3" t="n">
        <v>670</v>
      </c>
      <c r="I736" s="3" t="s">
        <v>22</v>
      </c>
      <c r="J736" s="3" t="n">
        <v>552</v>
      </c>
      <c r="K736" s="3" t="n">
        <v>0</v>
      </c>
      <c r="L736" s="3" t="n">
        <v>44.8</v>
      </c>
      <c r="M736" s="3" t="s">
        <v>127</v>
      </c>
      <c r="N736" s="3" t="n">
        <v>10</v>
      </c>
      <c r="O736" s="3" t="n">
        <v>28.995</v>
      </c>
      <c r="P736" s="3" t="n">
        <v>58.311</v>
      </c>
      <c r="Q736" s="3" t="s">
        <v>1404</v>
      </c>
      <c r="R736" s="3" t="s">
        <v>80</v>
      </c>
      <c r="S736" s="3" t="s">
        <v>660</v>
      </c>
      <c r="T736" s="5" t="n">
        <f aca="false">IF(C736="","",DATE(VALUE(MID(C736,7,4)),VALUE(MID(C736,4,2)),VALUE(MID(C736,1,2)))+TIME(VALUE(MID(C736,12,2)),VALUE(MID(C736,15,2)),0))</f>
        <v>37981.0805555556</v>
      </c>
      <c r="U736" s="3" t="str">
        <f aca="false">IFERROR(IF(ISNUMBER(VALUE(TRIM(MID(A736,FIND("-",A736)+1,FIND("km",A736)-FIND("-",A736)-1)))),"Distance + direction + city","Named-region"),"Named-region")</f>
        <v>Distance + direction + city</v>
      </c>
      <c r="V736" s="3" t="str">
        <f aca="false">LOWER(M736)</f>
        <v>mwc</v>
      </c>
      <c r="W736" s="3" t="n">
        <f aca="false">COUNTIFS($A$2:$A$1001,A736,$C$2:$C$1001,C736)</f>
        <v>1</v>
      </c>
      <c r="X736" s="3" t="str">
        <f aca="false">IF(W736&gt;1,"Duplicate","Unique")</f>
        <v>Unique</v>
      </c>
      <c r="Y736" s="3" t="str">
        <f aca="false">IF(B736&lt;6.5,"&lt;6.5",IF(B736&lt;7,"6.5–6.9",IF(B736&lt;7.5,"7.0–7.4",IF(B736&lt;8,"7.5–7.9","8.0+"))))</f>
        <v>6.5–6.9</v>
      </c>
      <c r="Z736" s="3" t="n">
        <f aca="false">IF(T736="","",YEAR(T736))</f>
        <v>2003</v>
      </c>
    </row>
    <row r="737" customFormat="false" ht="13.8" hidden="false" customHeight="false" outlineLevel="0" collapsed="false">
      <c r="A737" s="3" t="s">
        <v>1929</v>
      </c>
      <c r="B737" s="3" t="n">
        <v>6.5</v>
      </c>
      <c r="C737" s="3" t="s">
        <v>1930</v>
      </c>
      <c r="D737" s="3" t="n">
        <v>0</v>
      </c>
      <c r="E737" s="3" t="n">
        <v>6</v>
      </c>
      <c r="F737" s="3"/>
      <c r="G737" s="3" t="n">
        <v>0</v>
      </c>
      <c r="H737" s="3" t="n">
        <v>650</v>
      </c>
      <c r="I737" s="3" t="s">
        <v>22</v>
      </c>
      <c r="J737" s="3" t="n">
        <v>405</v>
      </c>
      <c r="K737" s="3" t="n">
        <v>0</v>
      </c>
      <c r="L737" s="3" t="n">
        <v>48.4</v>
      </c>
      <c r="M737" s="3" t="s">
        <v>154</v>
      </c>
      <c r="N737" s="3" t="n">
        <v>33</v>
      </c>
      <c r="O737" s="3" t="n">
        <v>8.416</v>
      </c>
      <c r="P737" s="3" t="n">
        <v>-82.824</v>
      </c>
      <c r="Q737" s="3" t="s">
        <v>1931</v>
      </c>
      <c r="R737" s="3"/>
      <c r="S737" s="3" t="s">
        <v>160</v>
      </c>
      <c r="T737" s="5" t="n">
        <f aca="false">IF(C737="","",DATE(VALUE(MID(C737,7,4)),VALUE(MID(C737,4,2)),VALUE(MID(C737,1,2)))+TIME(VALUE(MID(C737,12,2)),VALUE(MID(C737,15,2)),0))</f>
        <v>37980.2993055556</v>
      </c>
      <c r="U737" s="3" t="str">
        <f aca="false">IFERROR(IF(ISNUMBER(VALUE(TRIM(MID(A737,FIND("-",A737)+1,FIND("km",A737)-FIND("-",A737)-1)))),"Distance + direction + city","Named-region"),"Named-region")</f>
        <v>Distance + direction + city</v>
      </c>
      <c r="V737" s="3" t="str">
        <f aca="false">LOWER(M737)</f>
        <v>mwb</v>
      </c>
      <c r="W737" s="3" t="n">
        <f aca="false">COUNTIFS($A$2:$A$1001,A737,$C$2:$C$1001,C737)</f>
        <v>1</v>
      </c>
      <c r="X737" s="3" t="str">
        <f aca="false">IF(W737&gt;1,"Duplicate","Unique")</f>
        <v>Unique</v>
      </c>
      <c r="Y737" s="3" t="str">
        <f aca="false">IF(B737&lt;6.5,"&lt;6.5",IF(B737&lt;7,"6.5–6.9",IF(B737&lt;7.5,"7.0–7.4",IF(B737&lt;8,"7.5–7.9","8.0+"))))</f>
        <v>6.5–6.9</v>
      </c>
      <c r="Z737" s="3" t="n">
        <f aca="false">IF(T737="","",YEAR(T737))</f>
        <v>2003</v>
      </c>
    </row>
    <row r="738" customFormat="false" ht="13.8" hidden="false" customHeight="false" outlineLevel="0" collapsed="false">
      <c r="A738" s="3" t="s">
        <v>1932</v>
      </c>
      <c r="B738" s="3" t="n">
        <v>6.5</v>
      </c>
      <c r="C738" s="3" t="s">
        <v>1933</v>
      </c>
      <c r="D738" s="3" t="n">
        <v>7</v>
      </c>
      <c r="E738" s="3" t="n">
        <v>9</v>
      </c>
      <c r="F738" s="3"/>
      <c r="G738" s="3" t="n">
        <v>0</v>
      </c>
      <c r="H738" s="3" t="n">
        <v>1390</v>
      </c>
      <c r="I738" s="3" t="s">
        <v>1087</v>
      </c>
      <c r="J738" s="3" t="n">
        <v>65</v>
      </c>
      <c r="K738" s="3" t="n">
        <v>0.04685</v>
      </c>
      <c r="L738" s="3" t="n">
        <v>71</v>
      </c>
      <c r="M738" s="3" t="s">
        <v>485</v>
      </c>
      <c r="N738" s="3" t="n">
        <v>8.382</v>
      </c>
      <c r="O738" s="3" t="n">
        <v>35.7005</v>
      </c>
      <c r="P738" s="3" t="n">
        <v>-121.101</v>
      </c>
      <c r="Q738" s="3" t="s">
        <v>1934</v>
      </c>
      <c r="R738" s="3" t="s">
        <v>164</v>
      </c>
      <c r="S738" s="3" t="s">
        <v>261</v>
      </c>
      <c r="T738" s="5" t="n">
        <f aca="false">IF(C738="","",DATE(VALUE(MID(C738,7,4)),VALUE(MID(C738,4,2)),VALUE(MID(C738,1,2)))+TIME(VALUE(MID(C738,12,2)),VALUE(MID(C738,15,2)),0))</f>
        <v>37977.8020833333</v>
      </c>
      <c r="U738" s="3" t="str">
        <f aca="false">IFERROR(IF(ISNUMBER(VALUE(TRIM(MID(A738,FIND("-",A738)+1,FIND("km",A738)-FIND("-",A738)-1)))),"Distance + direction + city","Named-region"),"Named-region")</f>
        <v>Distance + direction + city</v>
      </c>
      <c r="V738" s="3" t="str">
        <f aca="false">LOWER(M738)</f>
        <v>mw</v>
      </c>
      <c r="W738" s="3" t="n">
        <f aca="false">COUNTIFS($A$2:$A$1001,A738,$C$2:$C$1001,C738)</f>
        <v>1</v>
      </c>
      <c r="X738" s="3" t="str">
        <f aca="false">IF(W738&gt;1,"Duplicate","Unique")</f>
        <v>Unique</v>
      </c>
      <c r="Y738" s="3" t="str">
        <f aca="false">IF(B738&lt;6.5,"&lt;6.5",IF(B738&lt;7,"6.5–6.9",IF(B738&lt;7.5,"7.0–7.4",IF(B738&lt;8,"7.5–7.9","8.0+"))))</f>
        <v>6.5–6.9</v>
      </c>
      <c r="Z738" s="3" t="n">
        <f aca="false">IF(T738="","",YEAR(T738))</f>
        <v>2003</v>
      </c>
    </row>
    <row r="739" customFormat="false" ht="13.8" hidden="false" customHeight="false" outlineLevel="0" collapsed="false">
      <c r="A739" s="3" t="s">
        <v>1935</v>
      </c>
      <c r="B739" s="3" t="n">
        <v>6.8</v>
      </c>
      <c r="C739" s="6" t="s">
        <v>1936</v>
      </c>
      <c r="D739" s="3" t="n">
        <v>0</v>
      </c>
      <c r="E739" s="3" t="n">
        <v>7</v>
      </c>
      <c r="F739" s="3"/>
      <c r="G739" s="3" t="n">
        <v>0</v>
      </c>
      <c r="H739" s="3" t="n">
        <v>711</v>
      </c>
      <c r="I739" s="3" t="s">
        <v>22</v>
      </c>
      <c r="J739" s="3" t="n">
        <v>447</v>
      </c>
      <c r="K739" s="3" t="n">
        <v>0</v>
      </c>
      <c r="L739" s="3" t="n">
        <v>27.7</v>
      </c>
      <c r="M739" s="3" t="s">
        <v>154</v>
      </c>
      <c r="N739" s="3" t="n">
        <v>10</v>
      </c>
      <c r="O739" s="3" t="n">
        <v>23.039</v>
      </c>
      <c r="P739" s="3" t="n">
        <v>121.362</v>
      </c>
      <c r="Q739" s="3" t="s">
        <v>170</v>
      </c>
      <c r="R739" s="3" t="s">
        <v>80</v>
      </c>
      <c r="S739" s="3" t="s">
        <v>171</v>
      </c>
      <c r="T739" s="5" t="n">
        <f aca="false">IF(C739="","",DATE(VALUE(MID(C739,7,4)),VALUE(MID(C739,4,2)),VALUE(MID(C739,1,2)))+TIME(VALUE(MID(C739,12,2)),VALUE(MID(C739,15,2)),0))</f>
        <v>37965.1930555556</v>
      </c>
      <c r="U739" s="3" t="str">
        <f aca="false">IFERROR(IF(ISNUMBER(VALUE(TRIM(MID(A739,FIND("-",A739)+1,FIND("km",A739)-FIND("-",A739)-1)))),"Distance + direction + city","Named-region"),"Named-region")</f>
        <v>Distance + direction + city</v>
      </c>
      <c r="V739" s="3" t="str">
        <f aca="false">LOWER(M739)</f>
        <v>mwb</v>
      </c>
      <c r="W739" s="3" t="n">
        <f aca="false">COUNTIFS($A$2:$A$1001,A739,$C$2:$C$1001,C739)</f>
        <v>1</v>
      </c>
      <c r="X739" s="3" t="str">
        <f aca="false">IF(W739&gt;1,"Duplicate","Unique")</f>
        <v>Unique</v>
      </c>
      <c r="Y739" s="3" t="str">
        <f aca="false">IF(B739&lt;6.5,"&lt;6.5",IF(B739&lt;7,"6.5–6.9",IF(B739&lt;7.5,"7.0–7.4",IF(B739&lt;8,"7.5–7.9","8.0+"))))</f>
        <v>6.5–6.9</v>
      </c>
      <c r="Z739" s="3" t="n">
        <f aca="false">IF(T739="","",YEAR(T739))</f>
        <v>2003</v>
      </c>
    </row>
    <row r="740" customFormat="false" ht="13.8" hidden="false" customHeight="false" outlineLevel="0" collapsed="false">
      <c r="A740" s="3" t="s">
        <v>1937</v>
      </c>
      <c r="B740" s="3" t="n">
        <v>6.6</v>
      </c>
      <c r="C740" s="3" t="s">
        <v>1938</v>
      </c>
      <c r="D740" s="3" t="n">
        <v>0</v>
      </c>
      <c r="E740" s="3" t="n">
        <v>6</v>
      </c>
      <c r="F740" s="3"/>
      <c r="G740" s="3" t="n">
        <v>0</v>
      </c>
      <c r="H740" s="3" t="n">
        <v>670</v>
      </c>
      <c r="I740" s="3" t="s">
        <v>22</v>
      </c>
      <c r="J740" s="3" t="n">
        <v>384</v>
      </c>
      <c r="K740" s="3" t="n">
        <v>0</v>
      </c>
      <c r="L740" s="3" t="n">
        <v>25.1</v>
      </c>
      <c r="M740" s="3" t="s">
        <v>154</v>
      </c>
      <c r="N740" s="3" t="n">
        <v>35</v>
      </c>
      <c r="O740" s="3" t="n">
        <v>-5.581</v>
      </c>
      <c r="P740" s="3" t="n">
        <v>150.88</v>
      </c>
      <c r="Q740" s="3" t="s">
        <v>107</v>
      </c>
      <c r="R740" s="3"/>
      <c r="S740" s="3" t="s">
        <v>85</v>
      </c>
      <c r="T740" s="5" t="n">
        <f aca="false">IF(C740="","",DATE(VALUE(MID(C740,7,4)),VALUE(MID(C740,4,2)),VALUE(MID(C740,1,2)))+TIME(VALUE(MID(C740,12,2)),VALUE(MID(C740,15,2)),0))</f>
        <v>37950.8465277778</v>
      </c>
      <c r="U740" s="3" t="str">
        <f aca="false">IFERROR(IF(ISNUMBER(VALUE(TRIM(MID(A740,FIND("-",A740)+1,FIND("km",A740)-FIND("-",A740)-1)))),"Distance + direction + city","Named-region"),"Named-region")</f>
        <v>Distance + direction + city</v>
      </c>
      <c r="V740" s="3" t="str">
        <f aca="false">LOWER(M740)</f>
        <v>mwb</v>
      </c>
      <c r="W740" s="3" t="n">
        <f aca="false">COUNTIFS($A$2:$A$1001,A740,$C$2:$C$1001,C740)</f>
        <v>1</v>
      </c>
      <c r="X740" s="3" t="str">
        <f aca="false">IF(W740&gt;1,"Duplicate","Unique")</f>
        <v>Unique</v>
      </c>
      <c r="Y740" s="3" t="str">
        <f aca="false">IF(B740&lt;6.5,"&lt;6.5",IF(B740&lt;7,"6.5–6.9",IF(B740&lt;7.5,"7.0–7.4",IF(B740&lt;8,"7.5–7.9","8.0+"))))</f>
        <v>6.5–6.9</v>
      </c>
      <c r="Z740" s="3" t="n">
        <f aca="false">IF(T740="","",YEAR(T740))</f>
        <v>2003</v>
      </c>
    </row>
    <row r="741" customFormat="false" ht="13.8" hidden="false" customHeight="false" outlineLevel="0" collapsed="false">
      <c r="A741" s="3" t="s">
        <v>1939</v>
      </c>
      <c r="B741" s="3" t="n">
        <v>6.5</v>
      </c>
      <c r="C741" s="3" t="s">
        <v>1940</v>
      </c>
      <c r="D741" s="3" t="n">
        <v>0</v>
      </c>
      <c r="E741" s="3" t="n">
        <v>6</v>
      </c>
      <c r="F741" s="3"/>
      <c r="G741" s="3" t="n">
        <v>0</v>
      </c>
      <c r="H741" s="3" t="n">
        <v>650</v>
      </c>
      <c r="I741" s="3" t="s">
        <v>22</v>
      </c>
      <c r="J741" s="3" t="n">
        <v>487</v>
      </c>
      <c r="K741" s="3" t="n">
        <v>0</v>
      </c>
      <c r="L741" s="3" t="n">
        <v>45.9</v>
      </c>
      <c r="M741" s="3" t="s">
        <v>154</v>
      </c>
      <c r="N741" s="3" t="n">
        <v>35</v>
      </c>
      <c r="O741" s="3" t="n">
        <v>12.025</v>
      </c>
      <c r="P741" s="3" t="n">
        <v>125.416</v>
      </c>
      <c r="Q741" s="3" t="s">
        <v>1941</v>
      </c>
      <c r="R741" s="3"/>
      <c r="S741" s="3" t="s">
        <v>191</v>
      </c>
      <c r="T741" s="5" t="n">
        <f aca="false">IF(C741="","",DATE(VALUE(MID(C741,7,4)),VALUE(MID(C741,4,2)),VALUE(MID(C741,1,2)))+TIME(VALUE(MID(C741,12,2)),VALUE(MID(C741,15,2)),0))</f>
        <v>37943.7180555556</v>
      </c>
      <c r="U741" s="3" t="str">
        <f aca="false">IFERROR(IF(ISNUMBER(VALUE(TRIM(MID(A741,FIND("-",A741)+1,FIND("km",A741)-FIND("-",A741)-1)))),"Distance + direction + city","Named-region"),"Named-region")</f>
        <v>Distance + direction + city</v>
      </c>
      <c r="V741" s="3" t="str">
        <f aca="false">LOWER(M741)</f>
        <v>mwb</v>
      </c>
      <c r="W741" s="3" t="n">
        <f aca="false">COUNTIFS($A$2:$A$1001,A741,$C$2:$C$1001,C741)</f>
        <v>1</v>
      </c>
      <c r="X741" s="3" t="str">
        <f aca="false">IF(W741&gt;1,"Duplicate","Unique")</f>
        <v>Unique</v>
      </c>
      <c r="Y741" s="3" t="str">
        <f aca="false">IF(B741&lt;6.5,"&lt;6.5",IF(B741&lt;7,"6.5–6.9",IF(B741&lt;7.5,"7.0–7.4",IF(B741&lt;8,"7.5–7.9","8.0+"))))</f>
        <v>6.5–6.9</v>
      </c>
      <c r="Z741" s="3" t="n">
        <f aca="false">IF(T741="","",YEAR(T741))</f>
        <v>2003</v>
      </c>
    </row>
    <row r="742" customFormat="false" ht="13.8" hidden="false" customHeight="false" outlineLevel="0" collapsed="false">
      <c r="A742" s="3" t="s">
        <v>1942</v>
      </c>
      <c r="B742" s="3" t="n">
        <v>6.6</v>
      </c>
      <c r="C742" s="6" t="s">
        <v>1943</v>
      </c>
      <c r="D742" s="3" t="n">
        <v>0</v>
      </c>
      <c r="E742" s="3" t="n">
        <v>5</v>
      </c>
      <c r="F742" s="3"/>
      <c r="G742" s="3" t="n">
        <v>0</v>
      </c>
      <c r="H742" s="3" t="n">
        <v>670</v>
      </c>
      <c r="I742" s="3" t="s">
        <v>22</v>
      </c>
      <c r="J742" s="3" t="n">
        <v>475</v>
      </c>
      <c r="K742" s="3" t="n">
        <v>0</v>
      </c>
      <c r="L742" s="3" t="n">
        <v>26.2</v>
      </c>
      <c r="M742" s="3" t="s">
        <v>154</v>
      </c>
      <c r="N742" s="3" t="n">
        <v>113.7</v>
      </c>
      <c r="O742" s="3" t="n">
        <v>-19.262</v>
      </c>
      <c r="P742" s="3" t="n">
        <v>168.892</v>
      </c>
      <c r="Q742" s="3" t="s">
        <v>177</v>
      </c>
      <c r="R742" s="3"/>
      <c r="S742" s="3"/>
      <c r="T742" s="5" t="n">
        <f aca="false">IF(C742="","",DATE(VALUE(MID(C742,7,4)),VALUE(MID(C742,4,2)),VALUE(MID(C742,1,2)))+TIME(VALUE(MID(C742,12,2)),VALUE(MID(C742,15,2)),0))</f>
        <v>37931.4430555556</v>
      </c>
      <c r="U742" s="3" t="str">
        <f aca="false">IFERROR(IF(ISNUMBER(VALUE(TRIM(MID(A742,FIND("-",A742)+1,FIND("km",A742)-FIND("-",A742)-1)))),"Distance + direction + city","Named-region"),"Named-region")</f>
        <v>Distance + direction + city</v>
      </c>
      <c r="V742" s="3" t="str">
        <f aca="false">LOWER(M742)</f>
        <v>mwb</v>
      </c>
      <c r="W742" s="3" t="n">
        <f aca="false">COUNTIFS($A$2:$A$1001,A742,$C$2:$C$1001,C742)</f>
        <v>1</v>
      </c>
      <c r="X742" s="3" t="str">
        <f aca="false">IF(W742&gt;1,"Duplicate","Unique")</f>
        <v>Unique</v>
      </c>
      <c r="Y742" s="3" t="str">
        <f aca="false">IF(B742&lt;6.5,"&lt;6.5",IF(B742&lt;7,"6.5–6.9",IF(B742&lt;7.5,"7.0–7.4",IF(B742&lt;8,"7.5–7.9","8.0+"))))</f>
        <v>6.5–6.9</v>
      </c>
      <c r="Z742" s="3" t="n">
        <f aca="false">IF(T742="","",YEAR(T742))</f>
        <v>2003</v>
      </c>
    </row>
    <row r="743" customFormat="false" ht="13.8" hidden="false" customHeight="false" outlineLevel="0" collapsed="false">
      <c r="A743" s="3" t="s">
        <v>1944</v>
      </c>
      <c r="B743" s="3" t="n">
        <v>7</v>
      </c>
      <c r="C743" s="3" t="s">
        <v>1945</v>
      </c>
      <c r="D743" s="3" t="n">
        <v>0</v>
      </c>
      <c r="E743" s="3" t="n">
        <v>5</v>
      </c>
      <c r="F743" s="3"/>
      <c r="G743" s="3" t="n">
        <v>0</v>
      </c>
      <c r="H743" s="3" t="n">
        <v>754</v>
      </c>
      <c r="I743" s="3" t="s">
        <v>22</v>
      </c>
      <c r="J743" s="3" t="n">
        <v>568</v>
      </c>
      <c r="K743" s="3" t="n">
        <v>0</v>
      </c>
      <c r="L743" s="3" t="n">
        <v>61.2</v>
      </c>
      <c r="M743" s="3" t="s">
        <v>154</v>
      </c>
      <c r="N743" s="3" t="n">
        <v>10</v>
      </c>
      <c r="O743" s="3" t="n">
        <v>37.812</v>
      </c>
      <c r="P743" s="3" t="n">
        <v>142.619</v>
      </c>
      <c r="Q743" s="3" t="s">
        <v>331</v>
      </c>
      <c r="R743" s="3"/>
      <c r="S743" s="3"/>
      <c r="T743" s="5" t="n">
        <f aca="false">IF(C743="","",DATE(VALUE(MID(C743,7,4)),VALUE(MID(C743,4,2)),VALUE(MID(C743,1,2)))+TIME(VALUE(MID(C743,12,2)),VALUE(MID(C743,15,2)),0))</f>
        <v>37925.0458333333</v>
      </c>
      <c r="U743" s="3" t="str">
        <f aca="false">IFERROR(IF(ISNUMBER(VALUE(TRIM(MID(A743,FIND("-",A743)+1,FIND("km",A743)-FIND("-",A743)-1)))),"Distance + direction + city","Named-region"),"Named-region")</f>
        <v>Distance + direction + city</v>
      </c>
      <c r="V743" s="3" t="str">
        <f aca="false">LOWER(M743)</f>
        <v>mwb</v>
      </c>
      <c r="W743" s="3" t="n">
        <f aca="false">COUNTIFS($A$2:$A$1001,A743,$C$2:$C$1001,C743)</f>
        <v>1</v>
      </c>
      <c r="X743" s="3" t="str">
        <f aca="false">IF(W743&gt;1,"Duplicate","Unique")</f>
        <v>Unique</v>
      </c>
      <c r="Y743" s="3" t="str">
        <f aca="false">IF(B743&lt;6.5,"&lt;6.5",IF(B743&lt;7,"6.5–6.9",IF(B743&lt;7.5,"7.0–7.4",IF(B743&lt;8,"7.5–7.9","8.0+"))))</f>
        <v>7.0–7.4</v>
      </c>
      <c r="Z743" s="3" t="n">
        <f aca="false">IF(T743="","",YEAR(T743))</f>
        <v>2003</v>
      </c>
    </row>
    <row r="744" customFormat="false" ht="13.8" hidden="false" customHeight="false" outlineLevel="0" collapsed="false">
      <c r="A744" s="3" t="s">
        <v>1946</v>
      </c>
      <c r="B744" s="3" t="n">
        <v>6.7</v>
      </c>
      <c r="C744" s="6" t="s">
        <v>1947</v>
      </c>
      <c r="D744" s="3" t="n">
        <v>0</v>
      </c>
      <c r="E744" s="3" t="n">
        <v>6</v>
      </c>
      <c r="F744" s="3"/>
      <c r="G744" s="3" t="n">
        <v>0</v>
      </c>
      <c r="H744" s="3" t="n">
        <v>691</v>
      </c>
      <c r="I744" s="3" t="s">
        <v>22</v>
      </c>
      <c r="J744" s="3" t="n">
        <v>556</v>
      </c>
      <c r="K744" s="3" t="n">
        <v>0</v>
      </c>
      <c r="L744" s="3" t="n">
        <v>55.4</v>
      </c>
      <c r="M744" s="3" t="s">
        <v>127</v>
      </c>
      <c r="N744" s="3" t="n">
        <v>32</v>
      </c>
      <c r="O744" s="3" t="n">
        <v>42.648</v>
      </c>
      <c r="P744" s="3" t="n">
        <v>144.57</v>
      </c>
      <c r="Q744" s="3" t="s">
        <v>1948</v>
      </c>
      <c r="R744" s="3" t="s">
        <v>80</v>
      </c>
      <c r="S744" s="3"/>
      <c r="T744" s="5" t="n">
        <f aca="false">IF(C744="","",DATE(VALUE(MID(C744,7,4)),VALUE(MID(C744,4,2)),VALUE(MID(C744,1,2)))+TIME(VALUE(MID(C744,12,2)),VALUE(MID(C744,15,2)),0))</f>
        <v>37902.3791666667</v>
      </c>
      <c r="U744" s="3" t="str">
        <f aca="false">IFERROR(IF(ISNUMBER(VALUE(TRIM(MID(A744,FIND("-",A744)+1,FIND("km",A744)-FIND("-",A744)-1)))),"Distance + direction + city","Named-region"),"Named-region")</f>
        <v>Distance + direction + city</v>
      </c>
      <c r="V744" s="3" t="str">
        <f aca="false">LOWER(M744)</f>
        <v>mwc</v>
      </c>
      <c r="W744" s="3" t="n">
        <f aca="false">COUNTIFS($A$2:$A$1001,A744,$C$2:$C$1001,C744)</f>
        <v>1</v>
      </c>
      <c r="X744" s="3" t="str">
        <f aca="false">IF(W744&gt;1,"Duplicate","Unique")</f>
        <v>Unique</v>
      </c>
      <c r="Y744" s="3" t="str">
        <f aca="false">IF(B744&lt;6.5,"&lt;6.5",IF(B744&lt;7,"6.5–6.9",IF(B744&lt;7.5,"7.0–7.4",IF(B744&lt;8,"7.5–7.9","8.0+"))))</f>
        <v>6.5–6.9</v>
      </c>
      <c r="Z744" s="3" t="n">
        <f aca="false">IF(T744="","",YEAR(T744))</f>
        <v>2003</v>
      </c>
    </row>
    <row r="745" customFormat="false" ht="13.8" hidden="false" customHeight="false" outlineLevel="0" collapsed="false">
      <c r="A745" s="3" t="s">
        <v>1949</v>
      </c>
      <c r="B745" s="3" t="n">
        <v>6.7</v>
      </c>
      <c r="C745" s="6" t="s">
        <v>1950</v>
      </c>
      <c r="D745" s="3" t="n">
        <v>0</v>
      </c>
      <c r="E745" s="3" t="n">
        <v>7</v>
      </c>
      <c r="F745" s="3"/>
      <c r="G745" s="3" t="n">
        <v>0</v>
      </c>
      <c r="H745" s="3" t="n">
        <v>691</v>
      </c>
      <c r="I745" s="3" t="s">
        <v>22</v>
      </c>
      <c r="J745" s="3" t="n">
        <v>643</v>
      </c>
      <c r="K745" s="3" t="n">
        <v>0</v>
      </c>
      <c r="L745" s="3" t="n">
        <v>24.5</v>
      </c>
      <c r="M745" s="3" t="s">
        <v>154</v>
      </c>
      <c r="N745" s="3" t="n">
        <v>10</v>
      </c>
      <c r="O745" s="3" t="n">
        <v>50.211</v>
      </c>
      <c r="P745" s="3" t="n">
        <v>87.721</v>
      </c>
      <c r="Q745" s="3" t="s">
        <v>1951</v>
      </c>
      <c r="R745" s="3" t="s">
        <v>80</v>
      </c>
      <c r="S745" s="3" t="s">
        <v>428</v>
      </c>
      <c r="T745" s="5" t="n">
        <f aca="false">IF(C745="","",DATE(VALUE(MID(C745,7,4)),VALUE(MID(C745,4,2)),VALUE(MID(C745,1,2)))+TIME(VALUE(MID(C745,12,2)),VALUE(MID(C745,15,2)),0))</f>
        <v>37895.04375</v>
      </c>
      <c r="U745" s="3" t="str">
        <f aca="false">IFERROR(IF(ISNUMBER(VALUE(TRIM(MID(A745,FIND("-",A745)+1,FIND("km",A745)-FIND("-",A745)-1)))),"Distance + direction + city","Named-region"),"Named-region")</f>
        <v>Distance + direction + city</v>
      </c>
      <c r="V745" s="3" t="str">
        <f aca="false">LOWER(M745)</f>
        <v>mwb</v>
      </c>
      <c r="W745" s="3" t="n">
        <f aca="false">COUNTIFS($A$2:$A$1001,A745,$C$2:$C$1001,C745)</f>
        <v>1</v>
      </c>
      <c r="X745" s="3" t="str">
        <f aca="false">IF(W745&gt;1,"Duplicate","Unique")</f>
        <v>Unique</v>
      </c>
      <c r="Y745" s="3" t="str">
        <f aca="false">IF(B745&lt;6.5,"&lt;6.5",IF(B745&lt;7,"6.5–6.9",IF(B745&lt;7.5,"7.0–7.4",IF(B745&lt;8,"7.5–7.9","8.0+"))))</f>
        <v>6.5–6.9</v>
      </c>
      <c r="Z745" s="3" t="n">
        <f aca="false">IF(T745="","",YEAR(T745))</f>
        <v>2003</v>
      </c>
    </row>
    <row r="746" customFormat="false" ht="13.8" hidden="false" customHeight="false" outlineLevel="0" collapsed="false">
      <c r="A746" s="3" t="s">
        <v>1952</v>
      </c>
      <c r="B746" s="3" t="n">
        <v>6.5</v>
      </c>
      <c r="C746" s="3" t="s">
        <v>1953</v>
      </c>
      <c r="D746" s="3" t="n">
        <v>0</v>
      </c>
      <c r="E746" s="3" t="n">
        <v>5</v>
      </c>
      <c r="F746" s="3"/>
      <c r="G746" s="3" t="n">
        <v>0</v>
      </c>
      <c r="H746" s="3" t="n">
        <v>650</v>
      </c>
      <c r="I746" s="3" t="s">
        <v>22</v>
      </c>
      <c r="J746" s="3" t="n">
        <v>586</v>
      </c>
      <c r="K746" s="3" t="n">
        <v>0</v>
      </c>
      <c r="L746" s="3" t="n">
        <v>71.3</v>
      </c>
      <c r="M746" s="3" t="s">
        <v>127</v>
      </c>
      <c r="N746" s="3" t="n">
        <v>25</v>
      </c>
      <c r="O746" s="3" t="n">
        <v>42.45</v>
      </c>
      <c r="P746" s="3" t="n">
        <v>144.38</v>
      </c>
      <c r="Q746" s="3" t="s">
        <v>1948</v>
      </c>
      <c r="R746" s="3"/>
      <c r="S746" s="3"/>
      <c r="T746" s="5" t="n">
        <f aca="false">IF(C746="","",DATE(VALUE(MID(C746,7,4)),VALUE(MID(C746,4,2)),VALUE(MID(C746,1,2)))+TIME(VALUE(MID(C746,12,2)),VALUE(MID(C746,15,2)),0))</f>
        <v>37893.1083333333</v>
      </c>
      <c r="U746" s="3" t="str">
        <f aca="false">IFERROR(IF(ISNUMBER(VALUE(TRIM(MID(A746,FIND("-",A746)+1,FIND("km",A746)-FIND("-",A746)-1)))),"Distance + direction + city","Named-region"),"Named-region")</f>
        <v>Distance + direction + city</v>
      </c>
      <c r="V746" s="3" t="str">
        <f aca="false">LOWER(M746)</f>
        <v>mwc</v>
      </c>
      <c r="W746" s="3" t="n">
        <f aca="false">COUNTIFS($A$2:$A$1001,A746,$C$2:$C$1001,C746)</f>
        <v>1</v>
      </c>
      <c r="X746" s="3" t="str">
        <f aca="false">IF(W746&gt;1,"Duplicate","Unique")</f>
        <v>Unique</v>
      </c>
      <c r="Y746" s="3" t="str">
        <f aca="false">IF(B746&lt;6.5,"&lt;6.5",IF(B746&lt;7,"6.5–6.9",IF(B746&lt;7.5,"7.0–7.4",IF(B746&lt;8,"7.5–7.9","8.0+"))))</f>
        <v>6.5–6.9</v>
      </c>
      <c r="Z746" s="3" t="n">
        <f aca="false">IF(T746="","",YEAR(T746))</f>
        <v>2003</v>
      </c>
    </row>
    <row r="747" customFormat="false" ht="13.8" hidden="false" customHeight="false" outlineLevel="0" collapsed="false">
      <c r="A747" s="3" t="s">
        <v>1954</v>
      </c>
      <c r="B747" s="3" t="n">
        <v>7.3</v>
      </c>
      <c r="C747" s="3" t="s">
        <v>1955</v>
      </c>
      <c r="D747" s="3" t="n">
        <v>0</v>
      </c>
      <c r="E747" s="3" t="n">
        <v>7</v>
      </c>
      <c r="F747" s="3"/>
      <c r="G747" s="3" t="n">
        <v>0</v>
      </c>
      <c r="H747" s="3" t="n">
        <v>820</v>
      </c>
      <c r="I747" s="3" t="s">
        <v>22</v>
      </c>
      <c r="J747" s="3" t="n">
        <v>667</v>
      </c>
      <c r="K747" s="3" t="n">
        <v>0</v>
      </c>
      <c r="L747" s="3" t="n">
        <v>24.5</v>
      </c>
      <c r="M747" s="3" t="s">
        <v>154</v>
      </c>
      <c r="N747" s="3" t="n">
        <v>16</v>
      </c>
      <c r="O747" s="3" t="n">
        <v>50.038</v>
      </c>
      <c r="P747" s="3" t="n">
        <v>87.813</v>
      </c>
      <c r="Q747" s="3" t="s">
        <v>1951</v>
      </c>
      <c r="R747" s="3" t="s">
        <v>80</v>
      </c>
      <c r="S747" s="3" t="s">
        <v>428</v>
      </c>
      <c r="T747" s="5" t="n">
        <f aca="false">IF(C747="","",DATE(VALUE(MID(C747,7,4)),VALUE(MID(C747,4,2)),VALUE(MID(C747,1,2)))+TIME(VALUE(MID(C747,12,2)),VALUE(MID(C747,15,2)),0))</f>
        <v>37891.48125</v>
      </c>
      <c r="U747" s="3" t="str">
        <f aca="false">IFERROR(IF(ISNUMBER(VALUE(TRIM(MID(A747,FIND("-",A747)+1,FIND("km",A747)-FIND("-",A747)-1)))),"Distance + direction + city","Named-region"),"Named-region")</f>
        <v>Distance + direction + city</v>
      </c>
      <c r="V747" s="3" t="str">
        <f aca="false">LOWER(M747)</f>
        <v>mwb</v>
      </c>
      <c r="W747" s="3" t="n">
        <f aca="false">COUNTIFS($A$2:$A$1001,A747,$C$2:$C$1001,C747)</f>
        <v>1</v>
      </c>
      <c r="X747" s="3" t="str">
        <f aca="false">IF(W747&gt;1,"Duplicate","Unique")</f>
        <v>Unique</v>
      </c>
      <c r="Y747" s="3" t="str">
        <f aca="false">IF(B747&lt;6.5,"&lt;6.5",IF(B747&lt;7,"6.5–6.9",IF(B747&lt;7.5,"7.0–7.4",IF(B747&lt;8,"7.5–7.9","8.0+"))))</f>
        <v>7.0–7.4</v>
      </c>
      <c r="Z747" s="3" t="n">
        <f aca="false">IF(T747="","",YEAR(T747))</f>
        <v>2003</v>
      </c>
    </row>
    <row r="748" customFormat="false" ht="13.8" hidden="false" customHeight="false" outlineLevel="0" collapsed="false">
      <c r="A748" s="3" t="s">
        <v>1956</v>
      </c>
      <c r="B748" s="3" t="n">
        <v>7.4</v>
      </c>
      <c r="C748" s="3" t="s">
        <v>1957</v>
      </c>
      <c r="D748" s="3" t="n">
        <v>0</v>
      </c>
      <c r="E748" s="3" t="n">
        <v>7</v>
      </c>
      <c r="F748" s="3"/>
      <c r="G748" s="3" t="n">
        <v>0</v>
      </c>
      <c r="H748" s="3" t="n">
        <v>842</v>
      </c>
      <c r="I748" s="3" t="s">
        <v>22</v>
      </c>
      <c r="J748" s="3" t="n">
        <v>514</v>
      </c>
      <c r="K748" s="3" t="n">
        <v>0</v>
      </c>
      <c r="L748" s="3" t="n">
        <v>78.8</v>
      </c>
      <c r="M748" s="3" t="s">
        <v>127</v>
      </c>
      <c r="N748" s="3" t="n">
        <v>33</v>
      </c>
      <c r="O748" s="3" t="n">
        <v>41.774</v>
      </c>
      <c r="P748" s="3" t="n">
        <v>143.593</v>
      </c>
      <c r="Q748" s="3" t="s">
        <v>853</v>
      </c>
      <c r="R748" s="3" t="s">
        <v>80</v>
      </c>
      <c r="S748" s="3"/>
      <c r="T748" s="5" t="n">
        <f aca="false">IF(C748="","",DATE(VALUE(MID(C748,7,4)),VALUE(MID(C748,4,2)),VALUE(MID(C748,1,2)))+TIME(VALUE(MID(C748,12,2)),VALUE(MID(C748,15,2)),0))</f>
        <v>37889.8805555556</v>
      </c>
      <c r="U748" s="3" t="str">
        <f aca="false">IFERROR(IF(ISNUMBER(VALUE(TRIM(MID(A748,FIND("-",A748)+1,FIND("km",A748)-FIND("-",A748)-1)))),"Distance + direction + city","Named-region"),"Named-region")</f>
        <v>Distance + direction + city</v>
      </c>
      <c r="V748" s="3" t="str">
        <f aca="false">LOWER(M748)</f>
        <v>mwc</v>
      </c>
      <c r="W748" s="3" t="n">
        <f aca="false">COUNTIFS($A$2:$A$1001,A748,$C$2:$C$1001,C748)</f>
        <v>1</v>
      </c>
      <c r="X748" s="3" t="str">
        <f aca="false">IF(W748&gt;1,"Duplicate","Unique")</f>
        <v>Unique</v>
      </c>
      <c r="Y748" s="3" t="str">
        <f aca="false">IF(B748&lt;6.5,"&lt;6.5",IF(B748&lt;7,"6.5–6.9",IF(B748&lt;7.5,"7.0–7.4",IF(B748&lt;8,"7.5–7.9","8.0+"))))</f>
        <v>7.0–7.4</v>
      </c>
      <c r="Z748" s="3" t="n">
        <f aca="false">IF(T748="","",YEAR(T748))</f>
        <v>2003</v>
      </c>
    </row>
    <row r="749" customFormat="false" ht="13.8" hidden="false" customHeight="false" outlineLevel="0" collapsed="false">
      <c r="A749" s="3" t="s">
        <v>1958</v>
      </c>
      <c r="B749" s="3" t="n">
        <v>8.16</v>
      </c>
      <c r="C749" s="3" t="s">
        <v>1959</v>
      </c>
      <c r="D749" s="3" t="n">
        <v>0</v>
      </c>
      <c r="E749" s="3" t="n">
        <v>9</v>
      </c>
      <c r="F749" s="3"/>
      <c r="G749" s="3" t="n">
        <v>0</v>
      </c>
      <c r="H749" s="3" t="n">
        <v>1024</v>
      </c>
      <c r="I749" s="3" t="s">
        <v>1293</v>
      </c>
      <c r="J749" s="3" t="n">
        <v>0</v>
      </c>
      <c r="K749" s="3" t="n">
        <v>0</v>
      </c>
      <c r="L749" s="3" t="n">
        <v>0</v>
      </c>
      <c r="M749" s="3" t="s">
        <v>23</v>
      </c>
      <c r="N749" s="3" t="n">
        <v>27</v>
      </c>
      <c r="O749" s="3" t="n">
        <v>41.815</v>
      </c>
      <c r="P749" s="3" t="n">
        <v>143.91</v>
      </c>
      <c r="Q749" s="3" t="s">
        <v>1948</v>
      </c>
      <c r="R749" s="3"/>
      <c r="S749" s="3"/>
      <c r="T749" s="5" t="n">
        <f aca="false">IF(C749="","",DATE(VALUE(MID(C749,7,4)),VALUE(MID(C749,4,2)),VALUE(MID(C749,1,2)))+TIME(VALUE(MID(C749,12,2)),VALUE(MID(C749,15,2)),0))</f>
        <v>37889.8263888889</v>
      </c>
      <c r="U749" s="3" t="str">
        <f aca="false">IFERROR(IF(ISNUMBER(VALUE(TRIM(MID(A749,FIND("-",A749)+1,FIND("km",A749)-FIND("-",A749)-1)))),"Distance + direction + city","Named-region"),"Named-region")</f>
        <v>Distance + direction + city</v>
      </c>
      <c r="V749" s="3" t="str">
        <f aca="false">LOWER(M749)</f>
        <v>mww</v>
      </c>
      <c r="W749" s="3" t="n">
        <f aca="false">COUNTIFS($A$2:$A$1001,A749,$C$2:$C$1001,C749)</f>
        <v>1</v>
      </c>
      <c r="X749" s="3" t="str">
        <f aca="false">IF(W749&gt;1,"Duplicate","Unique")</f>
        <v>Unique</v>
      </c>
      <c r="Y749" s="3" t="str">
        <f aca="false">IF(B749&lt;6.5,"&lt;6.5",IF(B749&lt;7,"6.5–6.9",IF(B749&lt;7.5,"7.0–7.4",IF(B749&lt;8,"7.5–7.9","8.0+"))))</f>
        <v>8.0+</v>
      </c>
      <c r="Z749" s="3" t="n">
        <f aca="false">IF(T749="","",YEAR(T749))</f>
        <v>2003</v>
      </c>
    </row>
    <row r="750" customFormat="false" ht="13.8" hidden="false" customHeight="false" outlineLevel="0" collapsed="false">
      <c r="A750" s="3" t="s">
        <v>1960</v>
      </c>
      <c r="B750" s="3" t="n">
        <v>6.6</v>
      </c>
      <c r="C750" s="3" t="s">
        <v>1961</v>
      </c>
      <c r="D750" s="3" t="n">
        <v>0</v>
      </c>
      <c r="E750" s="3" t="n">
        <v>7</v>
      </c>
      <c r="F750" s="3"/>
      <c r="G750" s="3" t="n">
        <v>0</v>
      </c>
      <c r="H750" s="3" t="n">
        <v>670</v>
      </c>
      <c r="I750" s="3" t="s">
        <v>22</v>
      </c>
      <c r="J750" s="3" t="n">
        <v>518</v>
      </c>
      <c r="K750" s="3" t="n">
        <v>0</v>
      </c>
      <c r="L750" s="3" t="n">
        <v>24.7</v>
      </c>
      <c r="M750" s="3" t="s">
        <v>154</v>
      </c>
      <c r="N750" s="3" t="n">
        <v>10</v>
      </c>
      <c r="O750" s="3" t="n">
        <v>19.917</v>
      </c>
      <c r="P750" s="3" t="n">
        <v>95.672</v>
      </c>
      <c r="Q750" s="3" t="s">
        <v>1962</v>
      </c>
      <c r="R750" s="3" t="s">
        <v>80</v>
      </c>
      <c r="S750" s="3" t="s">
        <v>801</v>
      </c>
      <c r="T750" s="5" t="n">
        <f aca="false">IF(C750="","",DATE(VALUE(MID(C750,7,4)),VALUE(MID(C750,4,2)),VALUE(MID(C750,1,2)))+TIME(VALUE(MID(C750,12,2)),VALUE(MID(C750,15,2)),0))</f>
        <v>37885.7611111111</v>
      </c>
      <c r="U750" s="3" t="str">
        <f aca="false">IFERROR(IF(ISNUMBER(VALUE(TRIM(MID(A750,FIND("-",A750)+1,FIND("km",A750)-FIND("-",A750)-1)))),"Distance + direction + city","Named-region"),"Named-region")</f>
        <v>Distance + direction + city</v>
      </c>
      <c r="V750" s="3" t="str">
        <f aca="false">LOWER(M750)</f>
        <v>mwb</v>
      </c>
      <c r="W750" s="3" t="n">
        <f aca="false">COUNTIFS($A$2:$A$1001,A750,$C$2:$C$1001,C750)</f>
        <v>1</v>
      </c>
      <c r="X750" s="3" t="str">
        <f aca="false">IF(W750&gt;1,"Duplicate","Unique")</f>
        <v>Unique</v>
      </c>
      <c r="Y750" s="3" t="str">
        <f aca="false">IF(B750&lt;6.5,"&lt;6.5",IF(B750&lt;7,"6.5–6.9",IF(B750&lt;7.5,"7.0–7.4",IF(B750&lt;8,"7.5–7.9","8.0+"))))</f>
        <v>6.5–6.9</v>
      </c>
      <c r="Z750" s="3" t="n">
        <f aca="false">IF(T750="","",YEAR(T750))</f>
        <v>2003</v>
      </c>
    </row>
    <row r="751" customFormat="false" ht="13.8" hidden="false" customHeight="false" outlineLevel="0" collapsed="false">
      <c r="A751" s="3" t="s">
        <v>1963</v>
      </c>
      <c r="B751" s="3" t="n">
        <v>7.2</v>
      </c>
      <c r="C751" s="3" t="s">
        <v>1964</v>
      </c>
      <c r="D751" s="3" t="n">
        <v>0</v>
      </c>
      <c r="E751" s="3" t="n">
        <v>7</v>
      </c>
      <c r="F751" s="3"/>
      <c r="G751" s="3" t="n">
        <v>0</v>
      </c>
      <c r="H751" s="3" t="n">
        <v>798</v>
      </c>
      <c r="I751" s="3" t="s">
        <v>22</v>
      </c>
      <c r="J751" s="3" t="n">
        <v>428</v>
      </c>
      <c r="K751" s="3" t="n">
        <v>0</v>
      </c>
      <c r="L751" s="3" t="n">
        <v>17.5</v>
      </c>
      <c r="M751" s="3" t="s">
        <v>127</v>
      </c>
      <c r="N751" s="3" t="n">
        <v>28</v>
      </c>
      <c r="O751" s="3" t="n">
        <v>-45.104</v>
      </c>
      <c r="P751" s="3" t="n">
        <v>167.144</v>
      </c>
      <c r="Q751" s="3" t="s">
        <v>1547</v>
      </c>
      <c r="R751" s="3"/>
      <c r="S751" s="3" t="s">
        <v>774</v>
      </c>
      <c r="T751" s="5" t="n">
        <f aca="false">IF(C751="","",DATE(VALUE(MID(C751,7,4)),VALUE(MID(C751,4,2)),VALUE(MID(C751,1,2)))+TIME(VALUE(MID(C751,12,2)),VALUE(MID(C751,15,2)),0))</f>
        <v>37854.5083333333</v>
      </c>
      <c r="U751" s="3" t="str">
        <f aca="false">IFERROR(IF(ISNUMBER(VALUE(TRIM(MID(A751,FIND("-",A751)+1,FIND("km",A751)-FIND("-",A751)-1)))),"Distance + direction + city","Named-region"),"Named-region")</f>
        <v>Distance + direction + city</v>
      </c>
      <c r="V751" s="3" t="str">
        <f aca="false">LOWER(M751)</f>
        <v>mwc</v>
      </c>
      <c r="W751" s="3" t="n">
        <f aca="false">COUNTIFS($A$2:$A$1001,A751,$C$2:$C$1001,C751)</f>
        <v>1</v>
      </c>
      <c r="X751" s="3" t="str">
        <f aca="false">IF(W751&gt;1,"Duplicate","Unique")</f>
        <v>Unique</v>
      </c>
      <c r="Y751" s="3" t="str">
        <f aca="false">IF(B751&lt;6.5,"&lt;6.5",IF(B751&lt;7,"6.5–6.9",IF(B751&lt;7.5,"7.0–7.4",IF(B751&lt;8,"7.5–7.9","8.0+"))))</f>
        <v>7.0–7.4</v>
      </c>
      <c r="Z751" s="3" t="n">
        <f aca="false">IF(T751="","",YEAR(T751))</f>
        <v>2003</v>
      </c>
    </row>
    <row r="752" customFormat="false" ht="13.8" hidden="false" customHeight="false" outlineLevel="0" collapsed="false">
      <c r="A752" s="3" t="s">
        <v>1965</v>
      </c>
      <c r="B752" s="3" t="n">
        <v>7.6</v>
      </c>
      <c r="C752" s="6" t="s">
        <v>1966</v>
      </c>
      <c r="D752" s="3" t="n">
        <v>0</v>
      </c>
      <c r="E752" s="3" t="n">
        <v>6</v>
      </c>
      <c r="F752" s="3"/>
      <c r="G752" s="3" t="n">
        <v>0</v>
      </c>
      <c r="H752" s="3" t="n">
        <v>889</v>
      </c>
      <c r="I752" s="3" t="s">
        <v>22</v>
      </c>
      <c r="J752" s="3" t="n">
        <v>315</v>
      </c>
      <c r="K752" s="3" t="n">
        <v>0</v>
      </c>
      <c r="L752" s="3" t="n">
        <v>25.2</v>
      </c>
      <c r="M752" s="3" t="s">
        <v>127</v>
      </c>
      <c r="N752" s="3" t="n">
        <v>10</v>
      </c>
      <c r="O752" s="3" t="n">
        <v>-60.532</v>
      </c>
      <c r="P752" s="3" t="n">
        <v>-43.411</v>
      </c>
      <c r="Q752" s="3" t="s">
        <v>1108</v>
      </c>
      <c r="R752" s="3"/>
      <c r="S752" s="3" t="s">
        <v>464</v>
      </c>
      <c r="T752" s="5" t="n">
        <f aca="false">IF(C752="","",DATE(VALUE(MID(C752,7,4)),VALUE(MID(C752,4,2)),VALUE(MID(C752,1,2)))+TIME(VALUE(MID(C752,12,2)),VALUE(MID(C752,15,2)),0))</f>
        <v>37837.1923611111</v>
      </c>
      <c r="U752" s="3" t="str">
        <f aca="false">IFERROR(IF(ISNUMBER(VALUE(TRIM(MID(A752,FIND("-",A752)+1,FIND("km",A752)-FIND("-",A752)-1)))),"Distance + direction + city","Named-region"),"Named-region")</f>
        <v>Named-region</v>
      </c>
      <c r="V752" s="3" t="str">
        <f aca="false">LOWER(M752)</f>
        <v>mwc</v>
      </c>
      <c r="W752" s="3" t="n">
        <f aca="false">COUNTIFS($A$2:$A$1001,A752,$C$2:$C$1001,C752)</f>
        <v>1</v>
      </c>
      <c r="X752" s="3" t="str">
        <f aca="false">IF(W752&gt;1,"Duplicate","Unique")</f>
        <v>Unique</v>
      </c>
      <c r="Y752" s="3" t="str">
        <f aca="false">IF(B752&lt;6.5,"&lt;6.5",IF(B752&lt;7,"6.5–6.9",IF(B752&lt;7.5,"7.0–7.4",IF(B752&lt;8,"7.5–7.9","8.0+"))))</f>
        <v>7.5–7.9</v>
      </c>
      <c r="Z752" s="3" t="n">
        <f aca="false">IF(T752="","",YEAR(T752))</f>
        <v>2003</v>
      </c>
    </row>
    <row r="753" customFormat="false" ht="13.8" hidden="false" customHeight="false" outlineLevel="0" collapsed="false">
      <c r="A753" s="3" t="s">
        <v>1967</v>
      </c>
      <c r="B753" s="3" t="n">
        <v>6.5</v>
      </c>
      <c r="C753" s="3" t="s">
        <v>1968</v>
      </c>
      <c r="D753" s="3" t="n">
        <v>0</v>
      </c>
      <c r="E753" s="3" t="n">
        <v>6</v>
      </c>
      <c r="F753" s="3"/>
      <c r="G753" s="3" t="n">
        <v>0</v>
      </c>
      <c r="H753" s="3" t="n">
        <v>650</v>
      </c>
      <c r="I753" s="3" t="s">
        <v>22</v>
      </c>
      <c r="J753" s="3" t="n">
        <v>156</v>
      </c>
      <c r="K753" s="3" t="n">
        <v>0</v>
      </c>
      <c r="L753" s="3" t="n">
        <v>31.4</v>
      </c>
      <c r="M753" s="3" t="s">
        <v>154</v>
      </c>
      <c r="N753" s="3" t="n">
        <v>33</v>
      </c>
      <c r="O753" s="3" t="n">
        <v>-3.828</v>
      </c>
      <c r="P753" s="3" t="n">
        <v>152.174</v>
      </c>
      <c r="Q753" s="3" t="s">
        <v>797</v>
      </c>
      <c r="R753" s="3"/>
      <c r="S753" s="3" t="s">
        <v>85</v>
      </c>
      <c r="T753" s="5" t="n">
        <f aca="false">IF(C753="","",DATE(VALUE(MID(C753,7,4)),VALUE(MID(C753,4,2)),VALUE(MID(C753,1,2)))+TIME(VALUE(MID(C753,12,2)),VALUE(MID(C753,15,2)),0))</f>
        <v>37817.7819444445</v>
      </c>
      <c r="U753" s="3" t="str">
        <f aca="false">IFERROR(IF(ISNUMBER(VALUE(TRIM(MID(A753,FIND("-",A753)+1,FIND("km",A753)-FIND("-",A753)-1)))),"Distance + direction + city","Named-region"),"Named-region")</f>
        <v>Distance + direction + city</v>
      </c>
      <c r="V753" s="3" t="str">
        <f aca="false">LOWER(M753)</f>
        <v>mwb</v>
      </c>
      <c r="W753" s="3" t="n">
        <f aca="false">COUNTIFS($A$2:$A$1001,A753,$C$2:$C$1001,C753)</f>
        <v>1</v>
      </c>
      <c r="X753" s="3" t="str">
        <f aca="false">IF(W753&gt;1,"Duplicate","Unique")</f>
        <v>Unique</v>
      </c>
      <c r="Y753" s="3" t="str">
        <f aca="false">IF(B753&lt;6.5,"&lt;6.5",IF(B753&lt;7,"6.5–6.9",IF(B753&lt;7.5,"7.0–7.4",IF(B753&lt;8,"7.5–7.9","8.0+"))))</f>
        <v>6.5–6.9</v>
      </c>
      <c r="Z753" s="3" t="n">
        <f aca="false">IF(T753="","",YEAR(T753))</f>
        <v>2003</v>
      </c>
    </row>
    <row r="754" customFormat="false" ht="13.8" hidden="false" customHeight="false" outlineLevel="0" collapsed="false">
      <c r="A754" s="3" t="s">
        <v>1969</v>
      </c>
      <c r="B754" s="3" t="n">
        <v>6.8</v>
      </c>
      <c r="C754" s="3" t="s">
        <v>1970</v>
      </c>
      <c r="D754" s="3" t="n">
        <v>0</v>
      </c>
      <c r="E754" s="3" t="n">
        <v>7</v>
      </c>
      <c r="F754" s="3"/>
      <c r="G754" s="3" t="n">
        <v>0</v>
      </c>
      <c r="H754" s="3" t="n">
        <v>711</v>
      </c>
      <c r="I754" s="3" t="s">
        <v>22</v>
      </c>
      <c r="J754" s="3" t="n">
        <v>398</v>
      </c>
      <c r="K754" s="3" t="n">
        <v>0</v>
      </c>
      <c r="L754" s="3" t="n">
        <v>39.1</v>
      </c>
      <c r="M754" s="3" t="s">
        <v>127</v>
      </c>
      <c r="N754" s="3" t="n">
        <v>33</v>
      </c>
      <c r="O754" s="3" t="n">
        <v>-30.608</v>
      </c>
      <c r="P754" s="3" t="n">
        <v>-71.637</v>
      </c>
      <c r="Q754" s="3" t="s">
        <v>893</v>
      </c>
      <c r="R754" s="3" t="s">
        <v>33</v>
      </c>
      <c r="S754" s="3" t="s">
        <v>373</v>
      </c>
      <c r="T754" s="5" t="n">
        <f aca="false">IF(C754="","",DATE(VALUE(MID(C754,7,4)),VALUE(MID(C754,4,2)),VALUE(MID(C754,1,2)))+TIME(VALUE(MID(C754,12,2)),VALUE(MID(C754,15,2)),0))</f>
        <v>37792.5625</v>
      </c>
      <c r="U754" s="3" t="str">
        <f aca="false">IFERROR(IF(ISNUMBER(VALUE(TRIM(MID(A754,FIND("-",A754)+1,FIND("km",A754)-FIND("-",A754)-1)))),"Distance + direction + city","Named-region"),"Named-region")</f>
        <v>Distance + direction + city</v>
      </c>
      <c r="V754" s="3" t="str">
        <f aca="false">LOWER(M754)</f>
        <v>mwc</v>
      </c>
      <c r="W754" s="3" t="n">
        <f aca="false">COUNTIFS($A$2:$A$1001,A754,$C$2:$C$1001,C754)</f>
        <v>1</v>
      </c>
      <c r="X754" s="3" t="str">
        <f aca="false">IF(W754&gt;1,"Duplicate","Unique")</f>
        <v>Unique</v>
      </c>
      <c r="Y754" s="3" t="str">
        <f aca="false">IF(B754&lt;6.5,"&lt;6.5",IF(B754&lt;7,"6.5–6.9",IF(B754&lt;7.5,"7.0–7.4",IF(B754&lt;8,"7.5–7.9","8.0+"))))</f>
        <v>6.5–6.9</v>
      </c>
      <c r="Z754" s="3" t="n">
        <f aca="false">IF(T754="","",YEAR(T754))</f>
        <v>2003</v>
      </c>
    </row>
    <row r="755" customFormat="false" ht="13.8" hidden="false" customHeight="false" outlineLevel="0" collapsed="false">
      <c r="A755" s="3" t="s">
        <v>1971</v>
      </c>
      <c r="B755" s="3" t="n">
        <v>6.9</v>
      </c>
      <c r="C755" s="3" t="s">
        <v>1972</v>
      </c>
      <c r="D755" s="3" t="n">
        <v>0</v>
      </c>
      <c r="E755" s="3" t="n">
        <v>5</v>
      </c>
      <c r="F755" s="3"/>
      <c r="G755" s="3" t="n">
        <v>0</v>
      </c>
      <c r="H755" s="3" t="n">
        <v>732</v>
      </c>
      <c r="I755" s="3" t="s">
        <v>22</v>
      </c>
      <c r="J755" s="3" t="n">
        <v>733</v>
      </c>
      <c r="K755" s="3" t="n">
        <v>0</v>
      </c>
      <c r="L755" s="3" t="n">
        <v>26.7</v>
      </c>
      <c r="M755" s="3" t="s">
        <v>154</v>
      </c>
      <c r="N755" s="3" t="n">
        <v>174.8</v>
      </c>
      <c r="O755" s="3" t="n">
        <v>55.492</v>
      </c>
      <c r="P755" s="3" t="n">
        <v>159.999</v>
      </c>
      <c r="Q755" s="3" t="s">
        <v>1906</v>
      </c>
      <c r="R755" s="3" t="s">
        <v>80</v>
      </c>
      <c r="S755" s="3" t="s">
        <v>428</v>
      </c>
      <c r="T755" s="5" t="n">
        <f aca="false">IF(C755="","",DATE(VALUE(MID(C755,7,4)),VALUE(MID(C755,4,2)),VALUE(MID(C755,1,2)))+TIME(VALUE(MID(C755,12,2)),VALUE(MID(C755,15,2)),0))</f>
        <v>37788.9222222222</v>
      </c>
      <c r="U755" s="3" t="str">
        <f aca="false">IFERROR(IF(ISNUMBER(VALUE(TRIM(MID(A755,FIND("-",A755)+1,FIND("km",A755)-FIND("-",A755)-1)))),"Distance + direction + city","Named-region"),"Named-region")</f>
        <v>Distance + direction + city</v>
      </c>
      <c r="V755" s="3" t="str">
        <f aca="false">LOWER(M755)</f>
        <v>mwb</v>
      </c>
      <c r="W755" s="3" t="n">
        <f aca="false">COUNTIFS($A$2:$A$1001,A755,$C$2:$C$1001,C755)</f>
        <v>1</v>
      </c>
      <c r="X755" s="3" t="str">
        <f aca="false">IF(W755&gt;1,"Duplicate","Unique")</f>
        <v>Unique</v>
      </c>
      <c r="Y755" s="3" t="str">
        <f aca="false">IF(B755&lt;6.5,"&lt;6.5",IF(B755&lt;7,"6.5–6.9",IF(B755&lt;7.5,"7.0–7.4",IF(B755&lt;8,"7.5–7.9","8.0+"))))</f>
        <v>6.5–6.9</v>
      </c>
      <c r="Z755" s="3" t="n">
        <f aca="false">IF(T755="","",YEAR(T755))</f>
        <v>2003</v>
      </c>
    </row>
    <row r="756" customFormat="false" ht="13.8" hidden="false" customHeight="false" outlineLevel="0" collapsed="false">
      <c r="A756" s="3" t="s">
        <v>1973</v>
      </c>
      <c r="B756" s="3" t="n">
        <v>6.6</v>
      </c>
      <c r="C756" s="6" t="s">
        <v>1974</v>
      </c>
      <c r="D756" s="3" t="n">
        <v>0</v>
      </c>
      <c r="E756" s="3" t="n">
        <v>6</v>
      </c>
      <c r="F756" s="3"/>
      <c r="G756" s="3" t="n">
        <v>0</v>
      </c>
      <c r="H756" s="3" t="n">
        <v>670</v>
      </c>
      <c r="I756" s="3" t="s">
        <v>22</v>
      </c>
      <c r="J756" s="3" t="n">
        <v>419</v>
      </c>
      <c r="K756" s="3" t="n">
        <v>0</v>
      </c>
      <c r="L756" s="3" t="n">
        <v>27.8</v>
      </c>
      <c r="M756" s="3" t="s">
        <v>127</v>
      </c>
      <c r="N756" s="3" t="n">
        <v>33</v>
      </c>
      <c r="O756" s="3" t="n">
        <v>-5.095</v>
      </c>
      <c r="P756" s="3" t="n">
        <v>152.502</v>
      </c>
      <c r="Q756" s="3" t="s">
        <v>625</v>
      </c>
      <c r="R756" s="3"/>
      <c r="S756" s="3" t="s">
        <v>85</v>
      </c>
      <c r="T756" s="5" t="n">
        <f aca="false">IF(C756="","",DATE(VALUE(MID(C756,7,4)),VALUE(MID(C756,4,2)),VALUE(MID(C756,1,2)))+TIME(VALUE(MID(C756,12,2)),VALUE(MID(C756,15,2)),0))</f>
        <v>37779.0222222222</v>
      </c>
      <c r="U756" s="3" t="str">
        <f aca="false">IFERROR(IF(ISNUMBER(VALUE(TRIM(MID(A756,FIND("-",A756)+1,FIND("km",A756)-FIND("-",A756)-1)))),"Distance + direction + city","Named-region"),"Named-region")</f>
        <v>Distance + direction + city</v>
      </c>
      <c r="V756" s="3" t="str">
        <f aca="false">LOWER(M756)</f>
        <v>mwc</v>
      </c>
      <c r="W756" s="3" t="n">
        <f aca="false">COUNTIFS($A$2:$A$1001,A756,$C$2:$C$1001,C756)</f>
        <v>1</v>
      </c>
      <c r="X756" s="3" t="str">
        <f aca="false">IF(W756&gt;1,"Duplicate","Unique")</f>
        <v>Unique</v>
      </c>
      <c r="Y756" s="3" t="str">
        <f aca="false">IF(B756&lt;6.5,"&lt;6.5",IF(B756&lt;7,"6.5–6.9",IF(B756&lt;7.5,"7.0–7.4",IF(B756&lt;8,"7.5–7.9","8.0+"))))</f>
        <v>6.5–6.9</v>
      </c>
      <c r="Z756" s="3" t="n">
        <f aca="false">IF(T756="","",YEAR(T756))</f>
        <v>2003</v>
      </c>
    </row>
    <row r="757" customFormat="false" ht="13.8" hidden="false" customHeight="false" outlineLevel="0" collapsed="false">
      <c r="A757" s="3" t="s">
        <v>1975</v>
      </c>
      <c r="B757" s="3" t="n">
        <v>7</v>
      </c>
      <c r="C757" s="3" t="s">
        <v>1976</v>
      </c>
      <c r="D757" s="3" t="n">
        <v>0</v>
      </c>
      <c r="E757" s="3" t="n">
        <v>6</v>
      </c>
      <c r="F757" s="3"/>
      <c r="G757" s="3" t="n">
        <v>0</v>
      </c>
      <c r="H757" s="3" t="n">
        <v>754</v>
      </c>
      <c r="I757" s="3" t="s">
        <v>22</v>
      </c>
      <c r="J757" s="3" t="n">
        <v>473</v>
      </c>
      <c r="K757" s="3" t="n">
        <v>0</v>
      </c>
      <c r="L757" s="3" t="n">
        <v>30.3</v>
      </c>
      <c r="M757" s="3" t="s">
        <v>127</v>
      </c>
      <c r="N757" s="3" t="n">
        <v>31</v>
      </c>
      <c r="O757" s="3" t="n">
        <v>2.354</v>
      </c>
      <c r="P757" s="3" t="n">
        <v>128.855</v>
      </c>
      <c r="Q757" s="3" t="s">
        <v>128</v>
      </c>
      <c r="R757" s="3"/>
      <c r="S757" s="3" t="s">
        <v>68</v>
      </c>
      <c r="T757" s="5" t="n">
        <f aca="false">IF(C757="","",DATE(VALUE(MID(C757,7,4)),VALUE(MID(C757,4,2)),VALUE(MID(C757,1,2)))+TIME(VALUE(MID(C757,12,2)),VALUE(MID(C757,15,2)),0))</f>
        <v>37767.8076388889</v>
      </c>
      <c r="U757" s="3" t="str">
        <f aca="false">IFERROR(IF(ISNUMBER(VALUE(TRIM(MID(A757,FIND("-",A757)+1,FIND("km",A757)-FIND("-",A757)-1)))),"Distance + direction + city","Named-region"),"Named-region")</f>
        <v>Distance + direction + city</v>
      </c>
      <c r="V757" s="3" t="str">
        <f aca="false">LOWER(M757)</f>
        <v>mwc</v>
      </c>
      <c r="W757" s="3" t="n">
        <f aca="false">COUNTIFS($A$2:$A$1001,A757,$C$2:$C$1001,C757)</f>
        <v>1</v>
      </c>
      <c r="X757" s="3" t="str">
        <f aca="false">IF(W757&gt;1,"Duplicate","Unique")</f>
        <v>Unique</v>
      </c>
      <c r="Y757" s="3" t="str">
        <f aca="false">IF(B757&lt;6.5,"&lt;6.5",IF(B757&lt;7,"6.5–6.9",IF(B757&lt;7.5,"7.0–7.4",IF(B757&lt;8,"7.5–7.9","8.0+"))))</f>
        <v>7.0–7.4</v>
      </c>
      <c r="Z757" s="3" t="n">
        <f aca="false">IF(T757="","",YEAR(T757))</f>
        <v>2003</v>
      </c>
    </row>
    <row r="758" customFormat="false" ht="13.8" hidden="false" customHeight="false" outlineLevel="0" collapsed="false">
      <c r="A758" s="3" t="s">
        <v>1977</v>
      </c>
      <c r="B758" s="3" t="n">
        <v>7</v>
      </c>
      <c r="C758" s="3" t="s">
        <v>1978</v>
      </c>
      <c r="D758" s="3" t="n">
        <v>0</v>
      </c>
      <c r="E758" s="3" t="n">
        <v>7</v>
      </c>
      <c r="F758" s="3"/>
      <c r="G758" s="3" t="n">
        <v>0</v>
      </c>
      <c r="H758" s="3" t="n">
        <v>754</v>
      </c>
      <c r="I758" s="3" t="s">
        <v>22</v>
      </c>
      <c r="J758" s="3" t="n">
        <v>690</v>
      </c>
      <c r="K758" s="3" t="n">
        <v>0</v>
      </c>
      <c r="L758" s="3" t="n">
        <v>19.1</v>
      </c>
      <c r="M758" s="3" t="s">
        <v>154</v>
      </c>
      <c r="N758" s="3" t="n">
        <v>68</v>
      </c>
      <c r="O758" s="3" t="n">
        <v>38.849</v>
      </c>
      <c r="P758" s="3" t="n">
        <v>141.568</v>
      </c>
      <c r="Q758" s="3" t="s">
        <v>953</v>
      </c>
      <c r="R758" s="3" t="s">
        <v>80</v>
      </c>
      <c r="S758" s="3" t="s">
        <v>322</v>
      </c>
      <c r="T758" s="5" t="n">
        <f aca="false">IF(C758="","",DATE(VALUE(MID(C758,7,4)),VALUE(MID(C758,4,2)),VALUE(MID(C758,1,2)))+TIME(VALUE(MID(C758,12,2)),VALUE(MID(C758,15,2)),0))</f>
        <v>37767.3916666667</v>
      </c>
      <c r="U758" s="3" t="str">
        <f aca="false">IFERROR(IF(ISNUMBER(VALUE(TRIM(MID(A758,FIND("-",A758)+1,FIND("km",A758)-FIND("-",A758)-1)))),"Distance + direction + city","Named-region"),"Named-region")</f>
        <v>Distance + direction + city</v>
      </c>
      <c r="V758" s="3" t="str">
        <f aca="false">LOWER(M758)</f>
        <v>mwb</v>
      </c>
      <c r="W758" s="3" t="n">
        <f aca="false">COUNTIFS($A$2:$A$1001,A758,$C$2:$C$1001,C758)</f>
        <v>1</v>
      </c>
      <c r="X758" s="3" t="str">
        <f aca="false">IF(W758&gt;1,"Duplicate","Unique")</f>
        <v>Unique</v>
      </c>
      <c r="Y758" s="3" t="str">
        <f aca="false">IF(B758&lt;6.5,"&lt;6.5",IF(B758&lt;7,"6.5–6.9",IF(B758&lt;7.5,"7.0–7.4",IF(B758&lt;8,"7.5–7.9","8.0+"))))</f>
        <v>7.0–7.4</v>
      </c>
      <c r="Z758" s="3" t="n">
        <f aca="false">IF(T758="","",YEAR(T758))</f>
        <v>2003</v>
      </c>
    </row>
    <row r="759" customFormat="false" ht="13.8" hidden="false" customHeight="false" outlineLevel="0" collapsed="false">
      <c r="A759" s="3" t="s">
        <v>1979</v>
      </c>
      <c r="B759" s="3" t="n">
        <v>6.8</v>
      </c>
      <c r="C759" s="3" t="s">
        <v>1980</v>
      </c>
      <c r="D759" s="3" t="n">
        <v>0</v>
      </c>
      <c r="E759" s="3" t="n">
        <v>9</v>
      </c>
      <c r="F759" s="3"/>
      <c r="G759" s="3" t="n">
        <v>0</v>
      </c>
      <c r="H759" s="3" t="n">
        <v>711</v>
      </c>
      <c r="I759" s="3" t="s">
        <v>22</v>
      </c>
      <c r="J759" s="3" t="n">
        <v>534</v>
      </c>
      <c r="K759" s="3" t="n">
        <v>0</v>
      </c>
      <c r="L759" s="3" t="n">
        <v>19.4</v>
      </c>
      <c r="M759" s="3" t="s">
        <v>127</v>
      </c>
      <c r="N759" s="3" t="n">
        <v>12</v>
      </c>
      <c r="O759" s="3" t="n">
        <v>36.964</v>
      </c>
      <c r="P759" s="3" t="n">
        <v>3.634</v>
      </c>
      <c r="Q759" s="3" t="s">
        <v>1981</v>
      </c>
      <c r="R759" s="3"/>
      <c r="S759" s="3" t="s">
        <v>1982</v>
      </c>
      <c r="T759" s="5" t="n">
        <f aca="false">IF(C759="","",DATE(VALUE(MID(C759,7,4)),VALUE(MID(C759,4,2)),VALUE(MID(C759,1,2)))+TIME(VALUE(MID(C759,12,2)),VALUE(MID(C759,15,2)),0))</f>
        <v>37762.7805555556</v>
      </c>
      <c r="U759" s="3" t="str">
        <f aca="false">IFERROR(IF(ISNUMBER(VALUE(TRIM(MID(A759,FIND("-",A759)+1,FIND("km",A759)-FIND("-",A759)-1)))),"Distance + direction + city","Named-region"),"Named-region")</f>
        <v>Distance + direction + city</v>
      </c>
      <c r="V759" s="3" t="str">
        <f aca="false">LOWER(M759)</f>
        <v>mwc</v>
      </c>
      <c r="W759" s="3" t="n">
        <f aca="false">COUNTIFS($A$2:$A$1001,A759,$C$2:$C$1001,C759)</f>
        <v>1</v>
      </c>
      <c r="X759" s="3" t="str">
        <f aca="false">IF(W759&gt;1,"Duplicate","Unique")</f>
        <v>Unique</v>
      </c>
      <c r="Y759" s="3" t="str">
        <f aca="false">IF(B759&lt;6.5,"&lt;6.5",IF(B759&lt;7,"6.5–6.9",IF(B759&lt;7.5,"7.0–7.4",IF(B759&lt;8,"7.5–7.9","8.0+"))))</f>
        <v>6.5–6.9</v>
      </c>
      <c r="Z759" s="3" t="n">
        <f aca="false">IF(T759="","",YEAR(T759))</f>
        <v>2003</v>
      </c>
    </row>
    <row r="760" customFormat="false" ht="13.8" hidden="false" customHeight="false" outlineLevel="0" collapsed="false">
      <c r="A760" s="3" t="s">
        <v>1983</v>
      </c>
      <c r="B760" s="3" t="n">
        <v>6.5</v>
      </c>
      <c r="C760" s="3" t="s">
        <v>1984</v>
      </c>
      <c r="D760" s="3" t="n">
        <v>0</v>
      </c>
      <c r="E760" s="3" t="n">
        <v>7</v>
      </c>
      <c r="F760" s="3"/>
      <c r="G760" s="3" t="n">
        <v>0</v>
      </c>
      <c r="H760" s="3" t="n">
        <v>650</v>
      </c>
      <c r="I760" s="3" t="s">
        <v>22</v>
      </c>
      <c r="J760" s="3" t="n">
        <v>247</v>
      </c>
      <c r="K760" s="3" t="n">
        <v>0</v>
      </c>
      <c r="L760" s="3" t="n">
        <v>28.7</v>
      </c>
      <c r="M760" s="3" t="s">
        <v>127</v>
      </c>
      <c r="N760" s="3" t="n">
        <v>33</v>
      </c>
      <c r="O760" s="3" t="n">
        <v>-8.294</v>
      </c>
      <c r="P760" s="3" t="n">
        <v>120.743</v>
      </c>
      <c r="Q760" s="3" t="s">
        <v>1985</v>
      </c>
      <c r="R760" s="3"/>
      <c r="S760" s="3" t="s">
        <v>68</v>
      </c>
      <c r="T760" s="5" t="n">
        <f aca="false">IF(C760="","",DATE(VALUE(MID(C760,7,4)),VALUE(MID(C760,4,2)),VALUE(MID(C760,1,2)))+TIME(VALUE(MID(C760,12,2)),VALUE(MID(C760,15,2)),0))</f>
        <v>37705.1201388889</v>
      </c>
      <c r="U760" s="3" t="str">
        <f aca="false">IFERROR(IF(ISNUMBER(VALUE(TRIM(MID(A760,FIND("-",A760)+1,FIND("km",A760)-FIND("-",A760)-1)))),"Distance + direction + city","Named-region"),"Named-region")</f>
        <v>Distance + direction + city</v>
      </c>
      <c r="V760" s="3" t="str">
        <f aca="false">LOWER(M760)</f>
        <v>mwc</v>
      </c>
      <c r="W760" s="3" t="n">
        <f aca="false">COUNTIFS($A$2:$A$1001,A760,$C$2:$C$1001,C760)</f>
        <v>1</v>
      </c>
      <c r="X760" s="3" t="str">
        <f aca="false">IF(W760&gt;1,"Duplicate","Unique")</f>
        <v>Unique</v>
      </c>
      <c r="Y760" s="3" t="str">
        <f aca="false">IF(B760&lt;6.5,"&lt;6.5",IF(B760&lt;7,"6.5–6.9",IF(B760&lt;7.5,"7.0–7.4",IF(B760&lt;8,"7.5–7.9","8.0+"))))</f>
        <v>6.5–6.9</v>
      </c>
      <c r="Z760" s="3" t="n">
        <f aca="false">IF(T760="","",YEAR(T760))</f>
        <v>2003</v>
      </c>
    </row>
    <row r="761" customFormat="false" ht="13.8" hidden="false" customHeight="false" outlineLevel="0" collapsed="false">
      <c r="A761" s="3" t="s">
        <v>1986</v>
      </c>
      <c r="B761" s="3" t="n">
        <v>6.8</v>
      </c>
      <c r="C761" s="6" t="s">
        <v>1987</v>
      </c>
      <c r="D761" s="3" t="n">
        <v>0</v>
      </c>
      <c r="E761" s="3" t="n">
        <v>7</v>
      </c>
      <c r="F761" s="3"/>
      <c r="G761" s="3" t="n">
        <v>0</v>
      </c>
      <c r="H761" s="3" t="n">
        <v>711</v>
      </c>
      <c r="I761" s="3" t="s">
        <v>22</v>
      </c>
      <c r="J761" s="3" t="n">
        <v>431</v>
      </c>
      <c r="K761" s="3" t="n">
        <v>0</v>
      </c>
      <c r="L761" s="3" t="n">
        <v>38.4</v>
      </c>
      <c r="M761" s="3" t="s">
        <v>127</v>
      </c>
      <c r="N761" s="3" t="n">
        <v>40.2</v>
      </c>
      <c r="O761" s="3" t="n">
        <v>-4.694</v>
      </c>
      <c r="P761" s="3" t="n">
        <v>153.238</v>
      </c>
      <c r="Q761" s="3" t="s">
        <v>625</v>
      </c>
      <c r="R761" s="3"/>
      <c r="S761" s="3" t="s">
        <v>85</v>
      </c>
      <c r="T761" s="5" t="n">
        <f aca="false">IF(C761="","",DATE(VALUE(MID(C761,7,4)),VALUE(MID(C761,4,2)),VALUE(MID(C761,1,2)))+TIME(VALUE(MID(C761,12,2)),VALUE(MID(C761,15,2)),0))</f>
        <v>37691.3104166667</v>
      </c>
      <c r="U761" s="3" t="str">
        <f aca="false">IFERROR(IF(ISNUMBER(VALUE(TRIM(MID(A761,FIND("-",A761)+1,FIND("km",A761)-FIND("-",A761)-1)))),"Distance + direction + city","Named-region"),"Named-region")</f>
        <v>Distance + direction + city</v>
      </c>
      <c r="V761" s="3" t="str">
        <f aca="false">LOWER(M761)</f>
        <v>mwc</v>
      </c>
      <c r="W761" s="3" t="n">
        <f aca="false">COUNTIFS($A$2:$A$1001,A761,$C$2:$C$1001,C761)</f>
        <v>1</v>
      </c>
      <c r="X761" s="3" t="str">
        <f aca="false">IF(W761&gt;1,"Duplicate","Unique")</f>
        <v>Unique</v>
      </c>
      <c r="Y761" s="3" t="str">
        <f aca="false">IF(B761&lt;6.5,"&lt;6.5",IF(B761&lt;7,"6.5–6.9",IF(B761&lt;7.5,"7.0–7.4",IF(B761&lt;8,"7.5–7.9","8.0+"))))</f>
        <v>6.5–6.9</v>
      </c>
      <c r="Z761" s="3" t="n">
        <f aca="false">IF(T761="","",YEAR(T761))</f>
        <v>2003</v>
      </c>
    </row>
    <row r="762" customFormat="false" ht="13.8" hidden="false" customHeight="false" outlineLevel="0" collapsed="false">
      <c r="A762" s="3" t="s">
        <v>1988</v>
      </c>
      <c r="B762" s="3" t="n">
        <v>7.6</v>
      </c>
      <c r="C762" s="3" t="s">
        <v>1989</v>
      </c>
      <c r="D762" s="3" t="n">
        <v>0</v>
      </c>
      <c r="E762" s="3" t="n">
        <v>7</v>
      </c>
      <c r="F762" s="3"/>
      <c r="G762" s="3" t="n">
        <v>0</v>
      </c>
      <c r="H762" s="3" t="n">
        <v>889</v>
      </c>
      <c r="I762" s="3" t="s">
        <v>22</v>
      </c>
      <c r="J762" s="3" t="n">
        <v>551</v>
      </c>
      <c r="K762" s="3" t="n">
        <v>0</v>
      </c>
      <c r="L762" s="3" t="n">
        <v>0</v>
      </c>
      <c r="M762" s="3" t="s">
        <v>154</v>
      </c>
      <c r="N762" s="3" t="n">
        <v>24</v>
      </c>
      <c r="O762" s="3" t="n">
        <v>18.77</v>
      </c>
      <c r="P762" s="3" t="n">
        <v>-104.104</v>
      </c>
      <c r="Q762" s="3" t="s">
        <v>1990</v>
      </c>
      <c r="R762" s="3" t="s">
        <v>164</v>
      </c>
      <c r="S762" s="3" t="s">
        <v>165</v>
      </c>
      <c r="T762" s="5" t="n">
        <f aca="false">IF(C762="","",DATE(VALUE(MID(C762,7,4)),VALUE(MID(C762,4,2)),VALUE(MID(C762,1,2)))+TIME(VALUE(MID(C762,12,2)),VALUE(MID(C762,15,2)),0))</f>
        <v>37643.0875</v>
      </c>
      <c r="U762" s="3" t="str">
        <f aca="false">IFERROR(IF(ISNUMBER(VALUE(TRIM(MID(A762,FIND("-",A762)+1,FIND("km",A762)-FIND("-",A762)-1)))),"Distance + direction + city","Named-region"),"Named-region")</f>
        <v>Distance + direction + city</v>
      </c>
      <c r="V762" s="3" t="str">
        <f aca="false">LOWER(M762)</f>
        <v>mwb</v>
      </c>
      <c r="W762" s="3" t="n">
        <f aca="false">COUNTIFS($A$2:$A$1001,A762,$C$2:$C$1001,C762)</f>
        <v>1</v>
      </c>
      <c r="X762" s="3" t="str">
        <f aca="false">IF(W762&gt;1,"Duplicate","Unique")</f>
        <v>Unique</v>
      </c>
      <c r="Y762" s="3" t="str">
        <f aca="false">IF(B762&lt;6.5,"&lt;6.5",IF(B762&lt;7,"6.5–6.9",IF(B762&lt;7.5,"7.0–7.4",IF(B762&lt;8,"7.5–7.9","8.0+"))))</f>
        <v>7.5–7.9</v>
      </c>
      <c r="Z762" s="3" t="n">
        <f aca="false">IF(T762="","",YEAR(T762))</f>
        <v>2003</v>
      </c>
    </row>
    <row r="763" customFormat="false" ht="13.8" hidden="false" customHeight="false" outlineLevel="0" collapsed="false">
      <c r="A763" s="3" t="s">
        <v>1991</v>
      </c>
      <c r="B763" s="3" t="n">
        <v>6.5</v>
      </c>
      <c r="C763" s="3" t="s">
        <v>1992</v>
      </c>
      <c r="D763" s="3" t="n">
        <v>0</v>
      </c>
      <c r="E763" s="3" t="n">
        <v>6</v>
      </c>
      <c r="F763" s="3"/>
      <c r="G763" s="3" t="n">
        <v>0</v>
      </c>
      <c r="H763" s="3" t="n">
        <v>650</v>
      </c>
      <c r="I763" s="3" t="s">
        <v>22</v>
      </c>
      <c r="J763" s="3" t="n">
        <v>316</v>
      </c>
      <c r="K763" s="3" t="n">
        <v>0</v>
      </c>
      <c r="L763" s="3" t="n">
        <v>0</v>
      </c>
      <c r="M763" s="3" t="s">
        <v>127</v>
      </c>
      <c r="N763" s="3" t="n">
        <v>24</v>
      </c>
      <c r="O763" s="3" t="n">
        <v>13.626</v>
      </c>
      <c r="P763" s="3" t="n">
        <v>-90.774</v>
      </c>
      <c r="Q763" s="3" t="s">
        <v>699</v>
      </c>
      <c r="R763" s="3"/>
      <c r="S763" s="3"/>
      <c r="T763" s="5" t="n">
        <f aca="false">IF(C763="","",DATE(VALUE(MID(C763,7,4)),VALUE(MID(C763,4,2)),VALUE(MID(C763,1,2)))+TIME(VALUE(MID(C763,12,2)),VALUE(MID(C763,15,2)),0))</f>
        <v>37642.1152777778</v>
      </c>
      <c r="U763" s="3" t="str">
        <f aca="false">IFERROR(IF(ISNUMBER(VALUE(TRIM(MID(A763,FIND("-",A763)+1,FIND("km",A763)-FIND("-",A763)-1)))),"Distance + direction + city","Named-region"),"Named-region")</f>
        <v>Distance + direction + city</v>
      </c>
      <c r="V763" s="3" t="str">
        <f aca="false">LOWER(M763)</f>
        <v>mwc</v>
      </c>
      <c r="W763" s="3" t="n">
        <f aca="false">COUNTIFS($A$2:$A$1001,A763,$C$2:$C$1001,C763)</f>
        <v>1</v>
      </c>
      <c r="X763" s="3" t="str">
        <f aca="false">IF(W763&gt;1,"Duplicate","Unique")</f>
        <v>Unique</v>
      </c>
      <c r="Y763" s="3" t="str">
        <f aca="false">IF(B763&lt;6.5,"&lt;6.5",IF(B763&lt;7,"6.5–6.9",IF(B763&lt;7.5,"7.0–7.4",IF(B763&lt;8,"7.5–7.9","8.0+"))))</f>
        <v>6.5–6.9</v>
      </c>
      <c r="Z763" s="3" t="n">
        <f aca="false">IF(T763="","",YEAR(T763))</f>
        <v>2003</v>
      </c>
    </row>
    <row r="764" customFormat="false" ht="13.8" hidden="false" customHeight="false" outlineLevel="0" collapsed="false">
      <c r="A764" s="3" t="s">
        <v>1993</v>
      </c>
      <c r="B764" s="3" t="n">
        <v>7.3</v>
      </c>
      <c r="C764" s="3" t="s">
        <v>1994</v>
      </c>
      <c r="D764" s="3" t="n">
        <v>0</v>
      </c>
      <c r="E764" s="3" t="n">
        <v>6</v>
      </c>
      <c r="F764" s="3"/>
      <c r="G764" s="3" t="n">
        <v>0</v>
      </c>
      <c r="H764" s="3" t="n">
        <v>820</v>
      </c>
      <c r="I764" s="3" t="s">
        <v>22</v>
      </c>
      <c r="J764" s="3" t="n">
        <v>457</v>
      </c>
      <c r="K764" s="3" t="n">
        <v>0</v>
      </c>
      <c r="L764" s="3" t="n">
        <v>0</v>
      </c>
      <c r="M764" s="3" t="s">
        <v>127</v>
      </c>
      <c r="N764" s="3" t="n">
        <v>33</v>
      </c>
      <c r="O764" s="3" t="n">
        <v>-10.491</v>
      </c>
      <c r="P764" s="3" t="n">
        <v>160.77</v>
      </c>
      <c r="Q764" s="3" t="s">
        <v>581</v>
      </c>
      <c r="R764" s="3"/>
      <c r="S764" s="3"/>
      <c r="T764" s="5" t="n">
        <f aca="false">IF(C764="","",DATE(VALUE(MID(C764,7,4)),VALUE(MID(C764,4,2)),VALUE(MID(C764,1,2)))+TIME(VALUE(MID(C764,12,2)),VALUE(MID(C764,15,2)),0))</f>
        <v>37641.3631944444</v>
      </c>
      <c r="U764" s="3" t="str">
        <f aca="false">IFERROR(IF(ISNUMBER(VALUE(TRIM(MID(A764,FIND("-",A764)+1,FIND("km",A764)-FIND("-",A764)-1)))),"Distance + direction + city","Named-region"),"Named-region")</f>
        <v>Distance + direction + city</v>
      </c>
      <c r="V764" s="3" t="str">
        <f aca="false">LOWER(M764)</f>
        <v>mwc</v>
      </c>
      <c r="W764" s="3" t="n">
        <f aca="false">COUNTIFS($A$2:$A$1001,A764,$C$2:$C$1001,C764)</f>
        <v>1</v>
      </c>
      <c r="X764" s="3" t="str">
        <f aca="false">IF(W764&gt;1,"Duplicate","Unique")</f>
        <v>Unique</v>
      </c>
      <c r="Y764" s="3" t="str">
        <f aca="false">IF(B764&lt;6.5,"&lt;6.5",IF(B764&lt;7,"6.5–6.9",IF(B764&lt;7.5,"7.0–7.4",IF(B764&lt;8,"7.5–7.9","8.0+"))))</f>
        <v>7.0–7.4</v>
      </c>
      <c r="Z764" s="3" t="n">
        <f aca="false">IF(T764="","",YEAR(T764))</f>
        <v>2003</v>
      </c>
    </row>
    <row r="765" customFormat="false" ht="13.8" hidden="false" customHeight="false" outlineLevel="0" collapsed="false">
      <c r="A765" s="3" t="s">
        <v>1995</v>
      </c>
      <c r="B765" s="3" t="n">
        <v>6.7</v>
      </c>
      <c r="C765" s="6" t="s">
        <v>1996</v>
      </c>
      <c r="D765" s="3" t="n">
        <v>0</v>
      </c>
      <c r="E765" s="3" t="n">
        <v>5</v>
      </c>
      <c r="F765" s="3"/>
      <c r="G765" s="3" t="n">
        <v>0</v>
      </c>
      <c r="H765" s="3" t="n">
        <v>691</v>
      </c>
      <c r="I765" s="3" t="s">
        <v>22</v>
      </c>
      <c r="J765" s="3" t="n">
        <v>323</v>
      </c>
      <c r="K765" s="3" t="n">
        <v>0</v>
      </c>
      <c r="L765" s="3" t="n">
        <v>0</v>
      </c>
      <c r="M765" s="3" t="s">
        <v>154</v>
      </c>
      <c r="N765" s="3" t="n">
        <v>71.9</v>
      </c>
      <c r="O765" s="3" t="n">
        <v>-5.311</v>
      </c>
      <c r="P765" s="3" t="n">
        <v>153.701</v>
      </c>
      <c r="Q765" s="3" t="s">
        <v>625</v>
      </c>
      <c r="R765" s="3"/>
      <c r="S765" s="3"/>
      <c r="T765" s="5" t="n">
        <f aca="false">IF(C765="","",DATE(VALUE(MID(C765,7,4)),VALUE(MID(C765,4,2)),VALUE(MID(C765,1,2)))+TIME(VALUE(MID(C765,12,2)),VALUE(MID(C765,15,2)),0))</f>
        <v>37631.5493055556</v>
      </c>
      <c r="U765" s="3" t="str">
        <f aca="false">IFERROR(IF(ISNUMBER(VALUE(TRIM(MID(A765,FIND("-",A765)+1,FIND("km",A765)-FIND("-",A765)-1)))),"Distance + direction + city","Named-region"),"Named-region")</f>
        <v>Distance + direction + city</v>
      </c>
      <c r="V765" s="3" t="str">
        <f aca="false">LOWER(M765)</f>
        <v>mwb</v>
      </c>
      <c r="W765" s="3" t="n">
        <f aca="false">COUNTIFS($A$2:$A$1001,A765,$C$2:$C$1001,C765)</f>
        <v>1</v>
      </c>
      <c r="X765" s="3" t="str">
        <f aca="false">IF(W765&gt;1,"Duplicate","Unique")</f>
        <v>Unique</v>
      </c>
      <c r="Y765" s="3" t="str">
        <f aca="false">IF(B765&lt;6.5,"&lt;6.5",IF(B765&lt;7,"6.5–6.9",IF(B765&lt;7.5,"7.0–7.4",IF(B765&lt;8,"7.5–7.9","8.0+"))))</f>
        <v>6.5–6.9</v>
      </c>
      <c r="Z765" s="3" t="n">
        <f aca="false">IF(T765="","",YEAR(T765))</f>
        <v>2003</v>
      </c>
    </row>
    <row r="766" customFormat="false" ht="13.8" hidden="false" customHeight="false" outlineLevel="0" collapsed="false">
      <c r="A766" s="3" t="s">
        <v>1997</v>
      </c>
      <c r="B766" s="3" t="n">
        <v>6.7</v>
      </c>
      <c r="C766" s="6" t="s">
        <v>1998</v>
      </c>
      <c r="D766" s="3" t="n">
        <v>0</v>
      </c>
      <c r="E766" s="3" t="n">
        <v>6</v>
      </c>
      <c r="F766" s="3"/>
      <c r="G766" s="3" t="n">
        <v>0</v>
      </c>
      <c r="H766" s="3" t="n">
        <v>691</v>
      </c>
      <c r="I766" s="3" t="s">
        <v>22</v>
      </c>
      <c r="J766" s="3" t="n">
        <v>453</v>
      </c>
      <c r="K766" s="3" t="n">
        <v>0</v>
      </c>
      <c r="L766" s="3" t="n">
        <v>0</v>
      </c>
      <c r="M766" s="3" t="s">
        <v>154</v>
      </c>
      <c r="N766" s="3" t="n">
        <v>34</v>
      </c>
      <c r="O766" s="3" t="n">
        <v>-4.786</v>
      </c>
      <c r="P766" s="3" t="n">
        <v>153.275</v>
      </c>
      <c r="Q766" s="3" t="s">
        <v>1999</v>
      </c>
      <c r="R766" s="3"/>
      <c r="S766" s="3" t="s">
        <v>85</v>
      </c>
      <c r="T766" s="5" t="n">
        <f aca="false">IF(C766="","",DATE(VALUE(MID(C766,7,4)),VALUE(MID(C766,4,2)),VALUE(MID(C766,1,2)))+TIME(VALUE(MID(C766,12,2)),VALUE(MID(C766,15,2)),0))</f>
        <v>37602.3541666667</v>
      </c>
      <c r="U766" s="3" t="str">
        <f aca="false">IFERROR(IF(ISNUMBER(VALUE(TRIM(MID(A766,FIND("-",A766)+1,FIND("km",A766)-FIND("-",A766)-1)))),"Distance + direction + city","Named-region"),"Named-region")</f>
        <v>Named-region</v>
      </c>
      <c r="V766" s="3" t="str">
        <f aca="false">LOWER(M766)</f>
        <v>mwb</v>
      </c>
      <c r="W766" s="3" t="n">
        <f aca="false">COUNTIFS($A$2:$A$1001,A766,$C$2:$C$1001,C766)</f>
        <v>1</v>
      </c>
      <c r="X766" s="3" t="str">
        <f aca="false">IF(W766&gt;1,"Duplicate","Unique")</f>
        <v>Unique</v>
      </c>
      <c r="Y766" s="3" t="str">
        <f aca="false">IF(B766&lt;6.5,"&lt;6.5",IF(B766&lt;7,"6.5–6.9",IF(B766&lt;7.5,"7.0–7.4",IF(B766&lt;8,"7.5–7.9","8.0+"))))</f>
        <v>6.5–6.9</v>
      </c>
      <c r="Z766" s="3" t="n">
        <f aca="false">IF(T766="","",YEAR(T766))</f>
        <v>2002</v>
      </c>
    </row>
    <row r="767" customFormat="false" ht="13.8" hidden="false" customHeight="false" outlineLevel="0" collapsed="false">
      <c r="A767" s="3" t="s">
        <v>2000</v>
      </c>
      <c r="B767" s="3" t="n">
        <v>7.9</v>
      </c>
      <c r="C767" s="6" t="s">
        <v>2001</v>
      </c>
      <c r="D767" s="3" t="n">
        <v>8</v>
      </c>
      <c r="E767" s="3" t="n">
        <v>9</v>
      </c>
      <c r="F767" s="3"/>
      <c r="G767" s="3" t="n">
        <v>0</v>
      </c>
      <c r="H767" s="3" t="n">
        <v>1750</v>
      </c>
      <c r="I767" s="3" t="s">
        <v>259</v>
      </c>
      <c r="J767" s="3" t="n">
        <v>0</v>
      </c>
      <c r="K767" s="3" t="n">
        <v>0</v>
      </c>
      <c r="L767" s="3" t="n">
        <v>0</v>
      </c>
      <c r="M767" s="3" t="s">
        <v>485</v>
      </c>
      <c r="N767" s="3" t="n">
        <v>4.2</v>
      </c>
      <c r="O767" s="3" t="n">
        <v>63.5141</v>
      </c>
      <c r="P767" s="3" t="n">
        <v>-147.453</v>
      </c>
      <c r="Q767" s="3" t="s">
        <v>2002</v>
      </c>
      <c r="R767" s="3" t="s">
        <v>164</v>
      </c>
      <c r="S767" s="3" t="s">
        <v>261</v>
      </c>
      <c r="T767" s="5" t="n">
        <f aca="false">IF(C767="","",DATE(VALUE(MID(C767,7,4)),VALUE(MID(C767,4,2)),VALUE(MID(C767,1,2)))+TIME(VALUE(MID(C767,12,2)),VALUE(MID(C767,15,2)),0))</f>
        <v>37563.925</v>
      </c>
      <c r="U767" s="3" t="str">
        <f aca="false">IFERROR(IF(ISNUMBER(VALUE(TRIM(MID(A767,FIND("-",A767)+1,FIND("km",A767)-FIND("-",A767)-1)))),"Distance + direction + city","Named-region"),"Named-region")</f>
        <v>Distance + direction + city</v>
      </c>
      <c r="V767" s="3" t="str">
        <f aca="false">LOWER(M767)</f>
        <v>mw</v>
      </c>
      <c r="W767" s="3" t="n">
        <f aca="false">COUNTIFS($A$2:$A$1001,A767,$C$2:$C$1001,C767)</f>
        <v>1</v>
      </c>
      <c r="X767" s="3" t="str">
        <f aca="false">IF(W767&gt;1,"Duplicate","Unique")</f>
        <v>Unique</v>
      </c>
      <c r="Y767" s="3" t="str">
        <f aca="false">IF(B767&lt;6.5,"&lt;6.5",IF(B767&lt;7,"6.5–6.9",IF(B767&lt;7.5,"7.0–7.4",IF(B767&lt;8,"7.5–7.9","8.0+"))))</f>
        <v>7.5–7.9</v>
      </c>
      <c r="Z767" s="3" t="n">
        <f aca="false">IF(T767="","",YEAR(T767))</f>
        <v>2002</v>
      </c>
    </row>
    <row r="768" customFormat="false" ht="13.8" hidden="false" customHeight="false" outlineLevel="0" collapsed="false">
      <c r="A768" s="3" t="s">
        <v>2003</v>
      </c>
      <c r="B768" s="3" t="n">
        <v>7.4</v>
      </c>
      <c r="C768" s="6" t="s">
        <v>2004</v>
      </c>
      <c r="D768" s="3" t="n">
        <v>0</v>
      </c>
      <c r="E768" s="3" t="n">
        <v>7</v>
      </c>
      <c r="F768" s="3"/>
      <c r="G768" s="3" t="n">
        <v>0</v>
      </c>
      <c r="H768" s="3" t="n">
        <v>842</v>
      </c>
      <c r="I768" s="3" t="s">
        <v>22</v>
      </c>
      <c r="J768" s="3" t="n">
        <v>418</v>
      </c>
      <c r="K768" s="3" t="n">
        <v>0</v>
      </c>
      <c r="L768" s="3" t="n">
        <v>0</v>
      </c>
      <c r="M768" s="3" t="s">
        <v>154</v>
      </c>
      <c r="N768" s="3" t="n">
        <v>30</v>
      </c>
      <c r="O768" s="3" t="n">
        <v>2.824</v>
      </c>
      <c r="P768" s="3" t="n">
        <v>96.085</v>
      </c>
      <c r="Q768" s="3" t="s">
        <v>317</v>
      </c>
      <c r="R768" s="3"/>
      <c r="S768" s="3" t="s">
        <v>68</v>
      </c>
      <c r="T768" s="5" t="n">
        <f aca="false">IF(C768="","",DATE(VALUE(MID(C768,7,4)),VALUE(MID(C768,4,2)),VALUE(MID(C768,1,2)))+TIME(VALUE(MID(C768,12,2)),VALUE(MID(C768,15,2)),0))</f>
        <v>37562.0597222222</v>
      </c>
      <c r="U768" s="3" t="str">
        <f aca="false">IFERROR(IF(ISNUMBER(VALUE(TRIM(MID(A768,FIND("-",A768)+1,FIND("km",A768)-FIND("-",A768)-1)))),"Distance + direction + city","Named-region"),"Named-region")</f>
        <v>Distance + direction + city</v>
      </c>
      <c r="V768" s="3" t="str">
        <f aca="false">LOWER(M768)</f>
        <v>mwb</v>
      </c>
      <c r="W768" s="3" t="n">
        <f aca="false">COUNTIFS($A$2:$A$1001,A768,$C$2:$C$1001,C768)</f>
        <v>1</v>
      </c>
      <c r="X768" s="3" t="str">
        <f aca="false">IF(W768&gt;1,"Duplicate","Unique")</f>
        <v>Unique</v>
      </c>
      <c r="Y768" s="3" t="str">
        <f aca="false">IF(B768&lt;6.5,"&lt;6.5",IF(B768&lt;7,"6.5–6.9",IF(B768&lt;7.5,"7.0–7.4",IF(B768&lt;8,"7.5–7.9","8.0+"))))</f>
        <v>7.0–7.4</v>
      </c>
      <c r="Z768" s="3" t="n">
        <f aca="false">IF(T768="","",YEAR(T768))</f>
        <v>2002</v>
      </c>
    </row>
    <row r="769" customFormat="false" ht="13.8" hidden="false" customHeight="false" outlineLevel="0" collapsed="false">
      <c r="A769" s="3" t="s">
        <v>2005</v>
      </c>
      <c r="B769" s="3" t="n">
        <v>6.6</v>
      </c>
      <c r="C769" s="3" t="s">
        <v>2006</v>
      </c>
      <c r="D769" s="3" t="n">
        <v>0</v>
      </c>
      <c r="E769" s="3" t="n">
        <v>7</v>
      </c>
      <c r="F769" s="3"/>
      <c r="G769" s="3" t="n">
        <v>0</v>
      </c>
      <c r="H769" s="3" t="n">
        <v>670</v>
      </c>
      <c r="I769" s="3" t="s">
        <v>259</v>
      </c>
      <c r="J769" s="3" t="n">
        <v>0</v>
      </c>
      <c r="K769" s="3" t="n">
        <v>0</v>
      </c>
      <c r="L769" s="3" t="n">
        <v>0</v>
      </c>
      <c r="M769" s="3" t="s">
        <v>485</v>
      </c>
      <c r="N769" s="3" t="n">
        <v>4.2</v>
      </c>
      <c r="O769" s="3" t="n">
        <v>63.5144</v>
      </c>
      <c r="P769" s="3" t="n">
        <v>-147.912</v>
      </c>
      <c r="Q769" s="3" t="s">
        <v>2002</v>
      </c>
      <c r="R769" s="3" t="s">
        <v>164</v>
      </c>
      <c r="S769" s="3" t="s">
        <v>261</v>
      </c>
      <c r="T769" s="5" t="n">
        <f aca="false">IF(C769="","",DATE(VALUE(MID(C769,7,4)),VALUE(MID(C769,4,2)),VALUE(MID(C769,1,2)))+TIME(VALUE(MID(C769,12,2)),VALUE(MID(C769,15,2)),0))</f>
        <v>37552.4770833333</v>
      </c>
      <c r="U769" s="3" t="str">
        <f aca="false">IFERROR(IF(ISNUMBER(VALUE(TRIM(MID(A769,FIND("-",A769)+1,FIND("km",A769)-FIND("-",A769)-1)))),"Distance + direction + city","Named-region"),"Named-region")</f>
        <v>Distance + direction + city</v>
      </c>
      <c r="V769" s="3" t="str">
        <f aca="false">LOWER(M769)</f>
        <v>mw</v>
      </c>
      <c r="W769" s="3" t="n">
        <f aca="false">COUNTIFS($A$2:$A$1001,A769,$C$2:$C$1001,C769)</f>
        <v>1</v>
      </c>
      <c r="X769" s="3" t="str">
        <f aca="false">IF(W769&gt;1,"Duplicate","Unique")</f>
        <v>Unique</v>
      </c>
      <c r="Y769" s="3" t="str">
        <f aca="false">IF(B769&lt;6.5,"&lt;6.5",IF(B769&lt;7,"6.5–6.9",IF(B769&lt;7.5,"7.0–7.4",IF(B769&lt;8,"7.5–7.9","8.0+"))))</f>
        <v>6.5–6.9</v>
      </c>
      <c r="Z769" s="3" t="n">
        <f aca="false">IF(T769="","",YEAR(T769))</f>
        <v>2002</v>
      </c>
    </row>
    <row r="770" customFormat="false" ht="13.8" hidden="false" customHeight="false" outlineLevel="0" collapsed="false">
      <c r="A770" s="3" t="s">
        <v>2007</v>
      </c>
      <c r="B770" s="3" t="n">
        <v>6.7</v>
      </c>
      <c r="C770" s="6" t="s">
        <v>2008</v>
      </c>
      <c r="D770" s="3" t="n">
        <v>0</v>
      </c>
      <c r="E770" s="3" t="n">
        <v>7</v>
      </c>
      <c r="F770" s="3"/>
      <c r="G770" s="3" t="n">
        <v>0</v>
      </c>
      <c r="H770" s="3" t="n">
        <v>691</v>
      </c>
      <c r="I770" s="3" t="s">
        <v>22</v>
      </c>
      <c r="J770" s="3" t="n">
        <v>250</v>
      </c>
      <c r="K770" s="3" t="n">
        <v>0</v>
      </c>
      <c r="L770" s="3" t="n">
        <v>0</v>
      </c>
      <c r="M770" s="3" t="s">
        <v>1370</v>
      </c>
      <c r="N770" s="3" t="n">
        <v>10</v>
      </c>
      <c r="O770" s="3" t="n">
        <v>-1.511</v>
      </c>
      <c r="P770" s="3" t="n">
        <v>133.973</v>
      </c>
      <c r="Q770" s="3" t="s">
        <v>1275</v>
      </c>
      <c r="R770" s="3"/>
      <c r="S770" s="3" t="s">
        <v>68</v>
      </c>
      <c r="T770" s="5" t="n">
        <f aca="false">IF(C770="","",DATE(VALUE(MID(C770,7,4)),VALUE(MID(C770,4,2)),VALUE(MID(C770,1,2)))+TIME(VALUE(MID(C770,12,2)),VALUE(MID(C770,15,2)),0))</f>
        <v>37539.5194444444</v>
      </c>
      <c r="U770" s="3" t="str">
        <f aca="false">IFERROR(IF(ISNUMBER(VALUE(TRIM(MID(A770,FIND("-",A770)+1,FIND("km",A770)-FIND("-",A770)-1)))),"Distance + direction + city","Named-region"),"Named-region")</f>
        <v>Distance + direction + city</v>
      </c>
      <c r="V770" s="3" t="str">
        <f aca="false">LOWER(M770)</f>
        <v>ms</v>
      </c>
      <c r="W770" s="3" t="n">
        <f aca="false">COUNTIFS($A$2:$A$1001,A770,$C$2:$C$1001,C770)</f>
        <v>1</v>
      </c>
      <c r="X770" s="3" t="str">
        <f aca="false">IF(W770&gt;1,"Duplicate","Unique")</f>
        <v>Unique</v>
      </c>
      <c r="Y770" s="3" t="str">
        <f aca="false">IF(B770&lt;6.5,"&lt;6.5",IF(B770&lt;7,"6.5–6.9",IF(B770&lt;7.5,"7.0–7.4",IF(B770&lt;8,"7.5–7.9","8.0+"))))</f>
        <v>6.5–6.9</v>
      </c>
      <c r="Z770" s="3" t="n">
        <f aca="false">IF(T770="","",YEAR(T770))</f>
        <v>2002</v>
      </c>
    </row>
    <row r="771" customFormat="false" ht="13.8" hidden="false" customHeight="false" outlineLevel="0" collapsed="false">
      <c r="A771" s="3" t="s">
        <v>2009</v>
      </c>
      <c r="B771" s="3" t="n">
        <v>7.6</v>
      </c>
      <c r="C771" s="6" t="s">
        <v>2010</v>
      </c>
      <c r="D771" s="3" t="n">
        <v>0</v>
      </c>
      <c r="E771" s="3" t="n">
        <v>7</v>
      </c>
      <c r="F771" s="3"/>
      <c r="G771" s="3" t="n">
        <v>0</v>
      </c>
      <c r="H771" s="3" t="n">
        <v>889</v>
      </c>
      <c r="I771" s="3" t="s">
        <v>22</v>
      </c>
      <c r="J771" s="3" t="n">
        <v>375</v>
      </c>
      <c r="K771" s="3" t="n">
        <v>0</v>
      </c>
      <c r="L771" s="3" t="n">
        <v>0</v>
      </c>
      <c r="M771" s="3" t="s">
        <v>127</v>
      </c>
      <c r="N771" s="3" t="n">
        <v>10</v>
      </c>
      <c r="O771" s="3" t="n">
        <v>-1.757</v>
      </c>
      <c r="P771" s="3" t="n">
        <v>134.297</v>
      </c>
      <c r="Q771" s="3" t="s">
        <v>1275</v>
      </c>
      <c r="R771" s="3"/>
      <c r="S771" s="3" t="s">
        <v>68</v>
      </c>
      <c r="T771" s="5" t="n">
        <f aca="false">IF(C771="","",DATE(VALUE(MID(C771,7,4)),VALUE(MID(C771,4,2)),VALUE(MID(C771,1,2)))+TIME(VALUE(MID(C771,12,2)),VALUE(MID(C771,15,2)),0))</f>
        <v>37539.4513888889</v>
      </c>
      <c r="U771" s="3" t="str">
        <f aca="false">IFERROR(IF(ISNUMBER(VALUE(TRIM(MID(A771,FIND("-",A771)+1,FIND("km",A771)-FIND("-",A771)-1)))),"Distance + direction + city","Named-region"),"Named-region")</f>
        <v>Distance + direction + city</v>
      </c>
      <c r="V771" s="3" t="str">
        <f aca="false">LOWER(M771)</f>
        <v>mwc</v>
      </c>
      <c r="W771" s="3" t="n">
        <f aca="false">COUNTIFS($A$2:$A$1001,A771,$C$2:$C$1001,C771)</f>
        <v>1</v>
      </c>
      <c r="X771" s="3" t="str">
        <f aca="false">IF(W771&gt;1,"Duplicate","Unique")</f>
        <v>Unique</v>
      </c>
      <c r="Y771" s="3" t="str">
        <f aca="false">IF(B771&lt;6.5,"&lt;6.5",IF(B771&lt;7,"6.5–6.9",IF(B771&lt;7.5,"7.0–7.4",IF(B771&lt;8,"7.5–7.9","8.0+"))))</f>
        <v>7.5–7.9</v>
      </c>
      <c r="Z771" s="3" t="n">
        <f aca="false">IF(T771="","",YEAR(T771))</f>
        <v>2002</v>
      </c>
    </row>
    <row r="772" customFormat="false" ht="13.8" hidden="false" customHeight="false" outlineLevel="0" collapsed="false">
      <c r="A772" s="3" t="s">
        <v>2011</v>
      </c>
      <c r="B772" s="3" t="n">
        <v>6.5</v>
      </c>
      <c r="C772" s="3" t="s">
        <v>2012</v>
      </c>
      <c r="D772" s="3" t="n">
        <v>0</v>
      </c>
      <c r="E772" s="3" t="n">
        <v>6</v>
      </c>
      <c r="F772" s="3"/>
      <c r="G772" s="3" t="n">
        <v>0</v>
      </c>
      <c r="H772" s="3" t="n">
        <v>650</v>
      </c>
      <c r="I772" s="3" t="s">
        <v>22</v>
      </c>
      <c r="J772" s="3" t="n">
        <v>646</v>
      </c>
      <c r="K772" s="3" t="n">
        <v>0</v>
      </c>
      <c r="L772" s="3" t="n">
        <v>0</v>
      </c>
      <c r="M772" s="3" t="s">
        <v>127</v>
      </c>
      <c r="N772" s="3" t="n">
        <v>21</v>
      </c>
      <c r="O772" s="3" t="n">
        <v>13.036</v>
      </c>
      <c r="P772" s="3" t="n">
        <v>93.068</v>
      </c>
      <c r="Q772" s="3" t="s">
        <v>1464</v>
      </c>
      <c r="R772" s="3"/>
      <c r="S772" s="3" t="s">
        <v>860</v>
      </c>
      <c r="T772" s="5" t="n">
        <f aca="false">IF(C772="","",DATE(VALUE(MID(C772,7,4)),VALUE(MID(C772,4,2)),VALUE(MID(C772,1,2)))+TIME(VALUE(MID(C772,12,2)),VALUE(MID(C772,15,2)),0))</f>
        <v>37512.9361111111</v>
      </c>
      <c r="U772" s="3" t="str">
        <f aca="false">IFERROR(IF(ISNUMBER(VALUE(TRIM(MID(A772,FIND("-",A772)+1,FIND("km",A772)-FIND("-",A772)-1)))),"Distance + direction + city","Named-region"),"Named-region")</f>
        <v>Distance + direction + city</v>
      </c>
      <c r="V772" s="3" t="str">
        <f aca="false">LOWER(M772)</f>
        <v>mwc</v>
      </c>
      <c r="W772" s="3" t="n">
        <f aca="false">COUNTIFS($A$2:$A$1001,A772,$C$2:$C$1001,C772)</f>
        <v>1</v>
      </c>
      <c r="X772" s="3" t="str">
        <f aca="false">IF(W772&gt;1,"Duplicate","Unique")</f>
        <v>Unique</v>
      </c>
      <c r="Y772" s="3" t="str">
        <f aca="false">IF(B772&lt;6.5,"&lt;6.5",IF(B772&lt;7,"6.5–6.9",IF(B772&lt;7.5,"7.0–7.4",IF(B772&lt;8,"7.5–7.9","8.0+"))))</f>
        <v>6.5–6.9</v>
      </c>
      <c r="Z772" s="3" t="n">
        <f aca="false">IF(T772="","",YEAR(T772))</f>
        <v>2002</v>
      </c>
    </row>
    <row r="773" customFormat="false" ht="13.8" hidden="false" customHeight="false" outlineLevel="0" collapsed="false">
      <c r="A773" s="3" t="s">
        <v>2013</v>
      </c>
      <c r="B773" s="3" t="n">
        <v>7.6</v>
      </c>
      <c r="C773" s="6" t="s">
        <v>2014</v>
      </c>
      <c r="D773" s="3" t="n">
        <v>0</v>
      </c>
      <c r="E773" s="3" t="n">
        <v>7</v>
      </c>
      <c r="F773" s="3"/>
      <c r="G773" s="3" t="n">
        <v>0</v>
      </c>
      <c r="H773" s="3" t="n">
        <v>889</v>
      </c>
      <c r="I773" s="3" t="s">
        <v>22</v>
      </c>
      <c r="J773" s="3" t="n">
        <v>428</v>
      </c>
      <c r="K773" s="3" t="n">
        <v>0</v>
      </c>
      <c r="L773" s="3" t="n">
        <v>0</v>
      </c>
      <c r="M773" s="3" t="s">
        <v>127</v>
      </c>
      <c r="N773" s="3" t="n">
        <v>13</v>
      </c>
      <c r="O773" s="3" t="n">
        <v>-3.302</v>
      </c>
      <c r="P773" s="3" t="n">
        <v>142.945</v>
      </c>
      <c r="Q773" s="3" t="s">
        <v>1188</v>
      </c>
      <c r="R773" s="3"/>
      <c r="S773" s="3" t="s">
        <v>85</v>
      </c>
      <c r="T773" s="5" t="n">
        <f aca="false">IF(C773="","",DATE(VALUE(MID(C773,7,4)),VALUE(MID(C773,4,2)),VALUE(MID(C773,1,2)))+TIME(VALUE(MID(C773,12,2)),VALUE(MID(C773,15,2)),0))</f>
        <v>37507.7805555556</v>
      </c>
      <c r="U773" s="3" t="str">
        <f aca="false">IFERROR(IF(ISNUMBER(VALUE(TRIM(MID(A773,FIND("-",A773)+1,FIND("km",A773)-FIND("-",A773)-1)))),"Distance + direction + city","Named-region"),"Named-region")</f>
        <v>Distance + direction + city</v>
      </c>
      <c r="V773" s="3" t="str">
        <f aca="false">LOWER(M773)</f>
        <v>mwc</v>
      </c>
      <c r="W773" s="3" t="n">
        <f aca="false">COUNTIFS($A$2:$A$1001,A773,$C$2:$C$1001,C773)</f>
        <v>1</v>
      </c>
      <c r="X773" s="3" t="str">
        <f aca="false">IF(W773&gt;1,"Duplicate","Unique")</f>
        <v>Unique</v>
      </c>
      <c r="Y773" s="3" t="str">
        <f aca="false">IF(B773&lt;6.5,"&lt;6.5",IF(B773&lt;7,"6.5–6.9",IF(B773&lt;7.5,"7.0–7.4",IF(B773&lt;8,"7.5–7.9","8.0+"))))</f>
        <v>7.5–7.9</v>
      </c>
      <c r="Z773" s="3" t="n">
        <f aca="false">IF(T773="","",YEAR(T773))</f>
        <v>2002</v>
      </c>
    </row>
    <row r="774" customFormat="false" ht="13.8" hidden="false" customHeight="false" outlineLevel="0" collapsed="false">
      <c r="A774" s="3" t="s">
        <v>2015</v>
      </c>
      <c r="B774" s="3" t="n">
        <v>6.5</v>
      </c>
      <c r="C774" s="3" t="s">
        <v>2016</v>
      </c>
      <c r="D774" s="3" t="n">
        <v>0</v>
      </c>
      <c r="E774" s="3" t="n">
        <v>4</v>
      </c>
      <c r="F774" s="3"/>
      <c r="G774" s="3" t="n">
        <v>0</v>
      </c>
      <c r="H774" s="3" t="n">
        <v>650</v>
      </c>
      <c r="I774" s="3" t="s">
        <v>22</v>
      </c>
      <c r="J774" s="3" t="n">
        <v>260</v>
      </c>
      <c r="K774" s="3" t="n">
        <v>0</v>
      </c>
      <c r="L774" s="3" t="n">
        <v>0</v>
      </c>
      <c r="M774" s="3" t="s">
        <v>127</v>
      </c>
      <c r="N774" s="3" t="n">
        <v>30</v>
      </c>
      <c r="O774" s="3" t="n">
        <v>14.101</v>
      </c>
      <c r="P774" s="3" t="n">
        <v>146.199</v>
      </c>
      <c r="Q774" s="3" t="s">
        <v>2017</v>
      </c>
      <c r="R774" s="3"/>
      <c r="S774" s="3"/>
      <c r="T774" s="5" t="n">
        <f aca="false">IF(C774="","",DATE(VALUE(MID(C774,7,4)),VALUE(MID(C774,4,2)),VALUE(MID(C774,1,2)))+TIME(VALUE(MID(C774,12,2)),VALUE(MID(C774,15,2)),0))</f>
        <v>37482.58125</v>
      </c>
      <c r="U774" s="3" t="str">
        <f aca="false">IFERROR(IF(ISNUMBER(VALUE(TRIM(MID(A774,FIND("-",A774)+1,FIND("km",A774)-FIND("-",A774)-1)))),"Distance + direction + city","Named-region"),"Named-region")</f>
        <v>Distance + direction + city</v>
      </c>
      <c r="V774" s="3" t="str">
        <f aca="false">LOWER(M774)</f>
        <v>mwc</v>
      </c>
      <c r="W774" s="3" t="n">
        <f aca="false">COUNTIFS($A$2:$A$1001,A774,$C$2:$C$1001,C774)</f>
        <v>1</v>
      </c>
      <c r="X774" s="3" t="str">
        <f aca="false">IF(W774&gt;1,"Duplicate","Unique")</f>
        <v>Unique</v>
      </c>
      <c r="Y774" s="3" t="str">
        <f aca="false">IF(B774&lt;6.5,"&lt;6.5",IF(B774&lt;7,"6.5–6.9",IF(B774&lt;7.5,"7.0–7.4",IF(B774&lt;8,"7.5–7.9","8.0+"))))</f>
        <v>6.5–6.9</v>
      </c>
      <c r="Z774" s="3" t="n">
        <f aca="false">IF(T774="","",YEAR(T774))</f>
        <v>2002</v>
      </c>
    </row>
    <row r="775" customFormat="false" ht="13.8" hidden="false" customHeight="false" outlineLevel="0" collapsed="false">
      <c r="A775" s="3" t="s">
        <v>2018</v>
      </c>
      <c r="B775" s="3" t="n">
        <v>6.5</v>
      </c>
      <c r="C775" s="3" t="s">
        <v>2019</v>
      </c>
      <c r="D775" s="3" t="n">
        <v>0</v>
      </c>
      <c r="E775" s="3" t="n">
        <v>7</v>
      </c>
      <c r="F775" s="3"/>
      <c r="G775" s="3" t="n">
        <v>0</v>
      </c>
      <c r="H775" s="3" t="n">
        <v>650</v>
      </c>
      <c r="I775" s="3" t="s">
        <v>22</v>
      </c>
      <c r="J775" s="3" t="n">
        <v>533</v>
      </c>
      <c r="K775" s="3" t="n">
        <v>0</v>
      </c>
      <c r="L775" s="3" t="n">
        <v>0</v>
      </c>
      <c r="M775" s="3" t="s">
        <v>127</v>
      </c>
      <c r="N775" s="3" t="n">
        <v>10</v>
      </c>
      <c r="O775" s="3" t="n">
        <v>7.929</v>
      </c>
      <c r="P775" s="3" t="n">
        <v>-82.793</v>
      </c>
      <c r="Q775" s="3" t="s">
        <v>992</v>
      </c>
      <c r="R775" s="3"/>
      <c r="S775" s="3" t="s">
        <v>160</v>
      </c>
      <c r="T775" s="5" t="n">
        <f aca="false">IF(C775="","",DATE(VALUE(MID(C775,7,4)),VALUE(MID(C775,4,2)),VALUE(MID(C775,1,2)))+TIME(VALUE(MID(C775,12,2)),VALUE(MID(C775,15,2)),0))</f>
        <v>37468.0111111111</v>
      </c>
      <c r="U775" s="3" t="str">
        <f aca="false">IFERROR(IF(ISNUMBER(VALUE(TRIM(MID(A775,FIND("-",A775)+1,FIND("km",A775)-FIND("-",A775)-1)))),"Distance + direction + city","Named-region"),"Named-region")</f>
        <v>Distance + direction + city</v>
      </c>
      <c r="V775" s="3" t="str">
        <f aca="false">LOWER(M775)</f>
        <v>mwc</v>
      </c>
      <c r="W775" s="3" t="n">
        <f aca="false">COUNTIFS($A$2:$A$1001,A775,$C$2:$C$1001,C775)</f>
        <v>1</v>
      </c>
      <c r="X775" s="3" t="str">
        <f aca="false">IF(W775&gt;1,"Duplicate","Unique")</f>
        <v>Unique</v>
      </c>
      <c r="Y775" s="3" t="str">
        <f aca="false">IF(B775&lt;6.5,"&lt;6.5",IF(B775&lt;7,"6.5–6.9",IF(B775&lt;7.5,"7.0–7.4",IF(B775&lt;8,"7.5–7.9","8.0+"))))</f>
        <v>6.5–6.9</v>
      </c>
      <c r="Z775" s="3" t="n">
        <f aca="false">IF(T775="","",YEAR(T775))</f>
        <v>2002</v>
      </c>
    </row>
    <row r="776" customFormat="false" ht="13.8" hidden="false" customHeight="false" outlineLevel="0" collapsed="false">
      <c r="A776" s="3" t="s">
        <v>2020</v>
      </c>
      <c r="B776" s="3" t="n">
        <v>6.5</v>
      </c>
      <c r="C776" s="3" t="s">
        <v>2021</v>
      </c>
      <c r="D776" s="3" t="n">
        <v>0</v>
      </c>
      <c r="E776" s="3" t="n">
        <v>8</v>
      </c>
      <c r="F776" s="3"/>
      <c r="G776" s="3" t="n">
        <v>0</v>
      </c>
      <c r="H776" s="3" t="n">
        <v>650</v>
      </c>
      <c r="I776" s="3" t="s">
        <v>22</v>
      </c>
      <c r="J776" s="3" t="n">
        <v>555</v>
      </c>
      <c r="K776" s="3" t="n">
        <v>0</v>
      </c>
      <c r="L776" s="3" t="n">
        <v>0</v>
      </c>
      <c r="M776" s="3" t="s">
        <v>127</v>
      </c>
      <c r="N776" s="3" t="n">
        <v>10</v>
      </c>
      <c r="O776" s="3" t="n">
        <v>35.626</v>
      </c>
      <c r="P776" s="3" t="n">
        <v>49.047</v>
      </c>
      <c r="Q776" s="3" t="s">
        <v>2022</v>
      </c>
      <c r="R776" s="3" t="s">
        <v>80</v>
      </c>
      <c r="S776" s="3" t="s">
        <v>660</v>
      </c>
      <c r="T776" s="5" t="n">
        <f aca="false">IF(C776="","",DATE(VALUE(MID(C776,7,4)),VALUE(MID(C776,4,2)),VALUE(MID(C776,1,2)))+TIME(VALUE(MID(C776,12,2)),VALUE(MID(C776,15,2)),0))</f>
        <v>37429.1236111111</v>
      </c>
      <c r="U776" s="3" t="str">
        <f aca="false">IFERROR(IF(ISNUMBER(VALUE(TRIM(MID(A776,FIND("-",A776)+1,FIND("km",A776)-FIND("-",A776)-1)))),"Distance + direction + city","Named-region"),"Named-region")</f>
        <v>Distance + direction + city</v>
      </c>
      <c r="V776" s="3" t="str">
        <f aca="false">LOWER(M776)</f>
        <v>mwc</v>
      </c>
      <c r="W776" s="3" t="n">
        <f aca="false">COUNTIFS($A$2:$A$1001,A776,$C$2:$C$1001,C776)</f>
        <v>1</v>
      </c>
      <c r="X776" s="3" t="str">
        <f aca="false">IF(W776&gt;1,"Duplicate","Unique")</f>
        <v>Unique</v>
      </c>
      <c r="Y776" s="3" t="str">
        <f aca="false">IF(B776&lt;6.5,"&lt;6.5",IF(B776&lt;7,"6.5–6.9",IF(B776&lt;7.5,"7.0–7.4",IF(B776&lt;8,"7.5–7.9","8.0+"))))</f>
        <v>6.5–6.9</v>
      </c>
      <c r="Z776" s="3" t="n">
        <f aca="false">IF(T776="","",YEAR(T776))</f>
        <v>2002</v>
      </c>
    </row>
    <row r="777" customFormat="false" ht="13.8" hidden="false" customHeight="false" outlineLevel="0" collapsed="false">
      <c r="A777" s="3" t="s">
        <v>2023</v>
      </c>
      <c r="B777" s="3" t="n">
        <v>6.6</v>
      </c>
      <c r="C777" s="3" t="s">
        <v>2024</v>
      </c>
      <c r="D777" s="3" t="n">
        <v>0</v>
      </c>
      <c r="E777" s="3" t="n">
        <v>7</v>
      </c>
      <c r="F777" s="3"/>
      <c r="G777" s="3" t="n">
        <v>0</v>
      </c>
      <c r="H777" s="3" t="n">
        <v>670</v>
      </c>
      <c r="I777" s="3" t="s">
        <v>22</v>
      </c>
      <c r="J777" s="3" t="n">
        <v>420</v>
      </c>
      <c r="K777" s="3" t="n">
        <v>0</v>
      </c>
      <c r="L777" s="3" t="n">
        <v>0</v>
      </c>
      <c r="M777" s="3" t="s">
        <v>154</v>
      </c>
      <c r="N777" s="3" t="n">
        <v>54</v>
      </c>
      <c r="O777" s="3" t="n">
        <v>-30.805</v>
      </c>
      <c r="P777" s="3" t="n">
        <v>-71.124</v>
      </c>
      <c r="Q777" s="3" t="s">
        <v>2025</v>
      </c>
      <c r="R777" s="3" t="s">
        <v>33</v>
      </c>
      <c r="S777" s="3" t="s">
        <v>373</v>
      </c>
      <c r="T777" s="5" t="n">
        <f aca="false">IF(C777="","",DATE(VALUE(MID(C777,7,4)),VALUE(MID(C777,4,2)),VALUE(MID(C777,1,2)))+TIME(VALUE(MID(C777,12,2)),VALUE(MID(C777,15,2)),0))</f>
        <v>37425.5805555556</v>
      </c>
      <c r="U777" s="3" t="str">
        <f aca="false">IFERROR(IF(ISNUMBER(VALUE(TRIM(MID(A777,FIND("-",A777)+1,FIND("km",A777)-FIND("-",A777)-1)))),"Distance + direction + city","Named-region"),"Named-region")</f>
        <v>Distance + direction + city</v>
      </c>
      <c r="V777" s="3" t="str">
        <f aca="false">LOWER(M777)</f>
        <v>mwb</v>
      </c>
      <c r="W777" s="3" t="n">
        <f aca="false">COUNTIFS($A$2:$A$1001,A777,$C$2:$C$1001,C777)</f>
        <v>1</v>
      </c>
      <c r="X777" s="3" t="str">
        <f aca="false">IF(W777&gt;1,"Duplicate","Unique")</f>
        <v>Unique</v>
      </c>
      <c r="Y777" s="3" t="str">
        <f aca="false">IF(B777&lt;6.5,"&lt;6.5",IF(B777&lt;7,"6.5–6.9",IF(B777&lt;7.5,"7.0–7.4",IF(B777&lt;8,"7.5–7.9","8.0+"))))</f>
        <v>6.5–6.9</v>
      </c>
      <c r="Z777" s="3" t="n">
        <f aca="false">IF(T777="","",YEAR(T777))</f>
        <v>2002</v>
      </c>
    </row>
    <row r="778" customFormat="false" ht="13.8" hidden="false" customHeight="false" outlineLevel="0" collapsed="false">
      <c r="A778" s="3" t="s">
        <v>2026</v>
      </c>
      <c r="B778" s="3" t="n">
        <v>6.7</v>
      </c>
      <c r="C778" s="3" t="s">
        <v>2027</v>
      </c>
      <c r="D778" s="3" t="n">
        <v>0</v>
      </c>
      <c r="E778" s="3" t="n">
        <v>5</v>
      </c>
      <c r="F778" s="3"/>
      <c r="G778" s="3" t="n">
        <v>0</v>
      </c>
      <c r="H778" s="3" t="n">
        <v>691</v>
      </c>
      <c r="I778" s="3" t="s">
        <v>22</v>
      </c>
      <c r="J778" s="3" t="n">
        <v>272</v>
      </c>
      <c r="K778" s="3" t="n">
        <v>0</v>
      </c>
      <c r="L778" s="3" t="n">
        <v>0</v>
      </c>
      <c r="M778" s="3" t="s">
        <v>127</v>
      </c>
      <c r="N778" s="3" t="n">
        <v>33</v>
      </c>
      <c r="O778" s="3" t="n">
        <v>-12.592</v>
      </c>
      <c r="P778" s="3" t="n">
        <v>166.383</v>
      </c>
      <c r="Q778" s="3" t="s">
        <v>24</v>
      </c>
      <c r="R778" s="3"/>
      <c r="S778" s="3"/>
      <c r="T778" s="5" t="n">
        <f aca="false">IF(C778="","",DATE(VALUE(MID(C778,7,4)),VALUE(MID(C778,4,2)),VALUE(MID(C778,1,2)))+TIME(VALUE(MID(C778,12,2)),VALUE(MID(C778,15,2)),0))</f>
        <v>37424.8930555556</v>
      </c>
      <c r="U778" s="3" t="str">
        <f aca="false">IFERROR(IF(ISNUMBER(VALUE(TRIM(MID(A778,FIND("-",A778)+1,FIND("km",A778)-FIND("-",A778)-1)))),"Distance + direction + city","Named-region"),"Named-region")</f>
        <v>Distance + direction + city</v>
      </c>
      <c r="V778" s="3" t="str">
        <f aca="false">LOWER(M778)</f>
        <v>mwc</v>
      </c>
      <c r="W778" s="3" t="n">
        <f aca="false">COUNTIFS($A$2:$A$1001,A778,$C$2:$C$1001,C778)</f>
        <v>1</v>
      </c>
      <c r="X778" s="3" t="str">
        <f aca="false">IF(W778&gt;1,"Duplicate","Unique")</f>
        <v>Unique</v>
      </c>
      <c r="Y778" s="3" t="str">
        <f aca="false">IF(B778&lt;6.5,"&lt;6.5",IF(B778&lt;7,"6.5–6.9",IF(B778&lt;7.5,"7.0–7.4",IF(B778&lt;8,"7.5–7.9","8.0+"))))</f>
        <v>6.5–6.9</v>
      </c>
      <c r="Z778" s="3" t="n">
        <f aca="false">IF(T778="","",YEAR(T778))</f>
        <v>2002</v>
      </c>
    </row>
    <row r="779" customFormat="false" ht="13.8" hidden="false" customHeight="false" outlineLevel="0" collapsed="false">
      <c r="A779" s="3" t="s">
        <v>2028</v>
      </c>
      <c r="B779" s="3" t="n">
        <v>7.1</v>
      </c>
      <c r="C779" s="3" t="s">
        <v>2029</v>
      </c>
      <c r="D779" s="3" t="n">
        <v>0</v>
      </c>
      <c r="E779" s="3" t="n">
        <v>7</v>
      </c>
      <c r="F779" s="3"/>
      <c r="G779" s="3" t="n">
        <v>0</v>
      </c>
      <c r="H779" s="3" t="n">
        <v>776</v>
      </c>
      <c r="I779" s="3" t="s">
        <v>22</v>
      </c>
      <c r="J779" s="3" t="n">
        <v>257</v>
      </c>
      <c r="K779" s="3" t="n">
        <v>0</v>
      </c>
      <c r="L779" s="3" t="n">
        <v>0</v>
      </c>
      <c r="M779" s="3" t="s">
        <v>127</v>
      </c>
      <c r="N779" s="3" t="n">
        <v>85.7</v>
      </c>
      <c r="O779" s="3" t="n">
        <v>13.088</v>
      </c>
      <c r="P779" s="3" t="n">
        <v>144.619</v>
      </c>
      <c r="Q779" s="3" t="s">
        <v>2030</v>
      </c>
      <c r="R779" s="3"/>
      <c r="S779" s="3" t="s">
        <v>261</v>
      </c>
      <c r="T779" s="5" t="n">
        <f aca="false">IF(C779="","",DATE(VALUE(MID(C779,7,4)),VALUE(MID(C779,4,2)),VALUE(MID(C779,1,2)))+TIME(VALUE(MID(C779,12,2)),VALUE(MID(C779,15,2)),0))</f>
        <v>37372.6708333333</v>
      </c>
      <c r="U779" s="3" t="str">
        <f aca="false">IFERROR(IF(ISNUMBER(VALUE(TRIM(MID(A779,FIND("-",A779)+1,FIND("km",A779)-FIND("-",A779)-1)))),"Distance + direction + city","Named-region"),"Named-region")</f>
        <v>Distance + direction + city</v>
      </c>
      <c r="V779" s="3" t="str">
        <f aca="false">LOWER(M779)</f>
        <v>mwc</v>
      </c>
      <c r="W779" s="3" t="n">
        <f aca="false">COUNTIFS($A$2:$A$1001,A779,$C$2:$C$1001,C779)</f>
        <v>1</v>
      </c>
      <c r="X779" s="3" t="str">
        <f aca="false">IF(W779&gt;1,"Duplicate","Unique")</f>
        <v>Unique</v>
      </c>
      <c r="Y779" s="3" t="str">
        <f aca="false">IF(B779&lt;6.5,"&lt;6.5",IF(B779&lt;7,"6.5–6.9",IF(B779&lt;7.5,"7.0–7.4",IF(B779&lt;8,"7.5–7.9","8.0+"))))</f>
        <v>7.0–7.4</v>
      </c>
      <c r="Z779" s="3" t="n">
        <f aca="false">IF(T779="","",YEAR(T779))</f>
        <v>2002</v>
      </c>
    </row>
    <row r="780" customFormat="false" ht="13.8" hidden="false" customHeight="false" outlineLevel="0" collapsed="false">
      <c r="A780" s="3" t="s">
        <v>2031</v>
      </c>
      <c r="B780" s="3" t="n">
        <v>6.7</v>
      </c>
      <c r="C780" s="3" t="s">
        <v>2032</v>
      </c>
      <c r="D780" s="3" t="n">
        <v>0</v>
      </c>
      <c r="E780" s="3" t="n">
        <v>7</v>
      </c>
      <c r="F780" s="3"/>
      <c r="G780" s="3" t="n">
        <v>0</v>
      </c>
      <c r="H780" s="3" t="n">
        <v>691</v>
      </c>
      <c r="I780" s="3" t="s">
        <v>22</v>
      </c>
      <c r="J780" s="3" t="n">
        <v>462</v>
      </c>
      <c r="K780" s="3" t="n">
        <v>0</v>
      </c>
      <c r="L780" s="3" t="n">
        <v>0</v>
      </c>
      <c r="M780" s="3" t="s">
        <v>154</v>
      </c>
      <c r="N780" s="3" t="n">
        <v>62</v>
      </c>
      <c r="O780" s="3" t="n">
        <v>-27.535</v>
      </c>
      <c r="P780" s="3" t="n">
        <v>-70.586</v>
      </c>
      <c r="Q780" s="3" t="s">
        <v>1758</v>
      </c>
      <c r="R780" s="3" t="s">
        <v>33</v>
      </c>
      <c r="S780" s="3" t="s">
        <v>373</v>
      </c>
      <c r="T780" s="5" t="n">
        <f aca="false">IF(C780="","",DATE(VALUE(MID(C780,7,4)),VALUE(MID(C780,4,2)),VALUE(MID(C780,1,2)))+TIME(VALUE(MID(C780,12,2)),VALUE(MID(C780,15,2)),0))</f>
        <v>37364.6722222222</v>
      </c>
      <c r="U780" s="3" t="str">
        <f aca="false">IFERROR(IF(ISNUMBER(VALUE(TRIM(MID(A780,FIND("-",A780)+1,FIND("km",A780)-FIND("-",A780)-1)))),"Distance + direction + city","Named-region"),"Named-region")</f>
        <v>Distance + direction + city</v>
      </c>
      <c r="V780" s="3" t="str">
        <f aca="false">LOWER(M780)</f>
        <v>mwb</v>
      </c>
      <c r="W780" s="3" t="n">
        <f aca="false">COUNTIFS($A$2:$A$1001,A780,$C$2:$C$1001,C780)</f>
        <v>1</v>
      </c>
      <c r="X780" s="3" t="str">
        <f aca="false">IF(W780&gt;1,"Duplicate","Unique")</f>
        <v>Unique</v>
      </c>
      <c r="Y780" s="3" t="str">
        <f aca="false">IF(B780&lt;6.5,"&lt;6.5",IF(B780&lt;7,"6.5–6.9",IF(B780&lt;7.5,"7.0–7.4",IF(B780&lt;8,"7.5–7.9","8.0+"))))</f>
        <v>6.5–6.9</v>
      </c>
      <c r="Z780" s="3" t="n">
        <f aca="false">IF(T780="","",YEAR(T780))</f>
        <v>2002</v>
      </c>
    </row>
    <row r="781" customFormat="false" ht="13.8" hidden="false" customHeight="false" outlineLevel="0" collapsed="false">
      <c r="A781" s="3" t="s">
        <v>2033</v>
      </c>
      <c r="B781" s="3" t="n">
        <v>6.8</v>
      </c>
      <c r="C781" s="3" t="s">
        <v>2034</v>
      </c>
      <c r="D781" s="3" t="n">
        <v>0</v>
      </c>
      <c r="E781" s="3" t="n">
        <v>6</v>
      </c>
      <c r="F781" s="3"/>
      <c r="G781" s="3" t="n">
        <v>0</v>
      </c>
      <c r="H781" s="3" t="n">
        <v>711</v>
      </c>
      <c r="I781" s="3" t="s">
        <v>22</v>
      </c>
      <c r="J781" s="3" t="n">
        <v>292</v>
      </c>
      <c r="K781" s="3" t="n">
        <v>0</v>
      </c>
      <c r="L781" s="3" t="n">
        <v>0</v>
      </c>
      <c r="M781" s="3" t="s">
        <v>127</v>
      </c>
      <c r="N781" s="3" t="n">
        <v>24.9</v>
      </c>
      <c r="O781" s="3" t="n">
        <v>16.985</v>
      </c>
      <c r="P781" s="3" t="n">
        <v>-100.865</v>
      </c>
      <c r="Q781" s="3" t="s">
        <v>2035</v>
      </c>
      <c r="R781" s="3" t="s">
        <v>164</v>
      </c>
      <c r="S781" s="3"/>
      <c r="T781" s="5" t="n">
        <f aca="false">IF(C781="","",DATE(VALUE(MID(C781,7,4)),VALUE(MID(C781,4,2)),VALUE(MID(C781,1,2)))+TIME(VALUE(MID(C781,12,2)),VALUE(MID(C781,15,2)),0))</f>
        <v>37364.2097222222</v>
      </c>
      <c r="U781" s="3" t="str">
        <f aca="false">IFERROR(IF(ISNUMBER(VALUE(TRIM(MID(A781,FIND("-",A781)+1,FIND("km",A781)-FIND("-",A781)-1)))),"Distance + direction + city","Named-region"),"Named-region")</f>
        <v>Distance + direction + city</v>
      </c>
      <c r="V781" s="3" t="str">
        <f aca="false">LOWER(M781)</f>
        <v>mwc</v>
      </c>
      <c r="W781" s="3" t="n">
        <f aca="false">COUNTIFS($A$2:$A$1001,A781,$C$2:$C$1001,C781)</f>
        <v>1</v>
      </c>
      <c r="X781" s="3" t="str">
        <f aca="false">IF(W781&gt;1,"Duplicate","Unique")</f>
        <v>Unique</v>
      </c>
      <c r="Y781" s="3" t="str">
        <f aca="false">IF(B781&lt;6.5,"&lt;6.5",IF(B781&lt;7,"6.5–6.9",IF(B781&lt;7.5,"7.0–7.4",IF(B781&lt;8,"7.5–7.9","8.0+"))))</f>
        <v>6.5–6.9</v>
      </c>
      <c r="Z781" s="3" t="n">
        <f aca="false">IF(T781="","",YEAR(T781))</f>
        <v>2002</v>
      </c>
    </row>
    <row r="782" customFormat="false" ht="13.8" hidden="false" customHeight="false" outlineLevel="0" collapsed="false">
      <c r="A782" s="3" t="s">
        <v>2036</v>
      </c>
      <c r="B782" s="3" t="n">
        <v>7.1</v>
      </c>
      <c r="C782" s="3" t="s">
        <v>2037</v>
      </c>
      <c r="D782" s="3" t="n">
        <v>0</v>
      </c>
      <c r="E782" s="3" t="n">
        <v>6</v>
      </c>
      <c r="F782" s="3"/>
      <c r="G782" s="3" t="n">
        <v>0</v>
      </c>
      <c r="H782" s="3" t="n">
        <v>776</v>
      </c>
      <c r="I782" s="3" t="s">
        <v>22</v>
      </c>
      <c r="J782" s="3" t="n">
        <v>550</v>
      </c>
      <c r="K782" s="3" t="n">
        <v>0</v>
      </c>
      <c r="L782" s="3" t="n">
        <v>0</v>
      </c>
      <c r="M782" s="3" t="s">
        <v>127</v>
      </c>
      <c r="N782" s="3" t="n">
        <v>32.8</v>
      </c>
      <c r="O782" s="3" t="n">
        <v>24.279</v>
      </c>
      <c r="P782" s="3" t="n">
        <v>122.179</v>
      </c>
      <c r="Q782" s="3" t="s">
        <v>214</v>
      </c>
      <c r="R782" s="3" t="s">
        <v>80</v>
      </c>
      <c r="S782" s="3"/>
      <c r="T782" s="5" t="n">
        <f aca="false">IF(C782="","",DATE(VALUE(MID(C782,7,4)),VALUE(MID(C782,4,2)),VALUE(MID(C782,1,2)))+TIME(VALUE(MID(C782,12,2)),VALUE(MID(C782,15,2)),0))</f>
        <v>37346.2861111111</v>
      </c>
      <c r="U782" s="3" t="str">
        <f aca="false">IFERROR(IF(ISNUMBER(VALUE(TRIM(MID(A782,FIND("-",A782)+1,FIND("km",A782)-FIND("-",A782)-1)))),"Distance + direction + city","Named-region"),"Named-region")</f>
        <v>Distance + direction + city</v>
      </c>
      <c r="V782" s="3" t="str">
        <f aca="false">LOWER(M782)</f>
        <v>mwc</v>
      </c>
      <c r="W782" s="3" t="n">
        <f aca="false">COUNTIFS($A$2:$A$1001,A782,$C$2:$C$1001,C782)</f>
        <v>1</v>
      </c>
      <c r="X782" s="3" t="str">
        <f aca="false">IF(W782&gt;1,"Duplicate","Unique")</f>
        <v>Unique</v>
      </c>
      <c r="Y782" s="3" t="str">
        <f aca="false">IF(B782&lt;6.5,"&lt;6.5",IF(B782&lt;7,"6.5–6.9",IF(B782&lt;7.5,"7.0–7.4",IF(B782&lt;8,"7.5–7.9","8.0+"))))</f>
        <v>7.0–7.4</v>
      </c>
      <c r="Z782" s="3" t="n">
        <f aca="false">IF(T782="","",YEAR(T782))</f>
        <v>2002</v>
      </c>
    </row>
    <row r="783" customFormat="false" ht="13.8" hidden="false" customHeight="false" outlineLevel="0" collapsed="false">
      <c r="A783" s="3" t="s">
        <v>2038</v>
      </c>
      <c r="B783" s="3" t="n">
        <v>6.5</v>
      </c>
      <c r="C783" s="3" t="s">
        <v>2039</v>
      </c>
      <c r="D783" s="3" t="n">
        <v>0</v>
      </c>
      <c r="E783" s="3" t="n">
        <v>5</v>
      </c>
      <c r="F783" s="3"/>
      <c r="G783" s="3" t="n">
        <v>0</v>
      </c>
      <c r="H783" s="3" t="n">
        <v>650</v>
      </c>
      <c r="I783" s="3" t="s">
        <v>22</v>
      </c>
      <c r="J783" s="3" t="n">
        <v>486</v>
      </c>
      <c r="K783" s="3" t="n">
        <v>0</v>
      </c>
      <c r="L783" s="3" t="n">
        <v>0</v>
      </c>
      <c r="M783" s="3" t="s">
        <v>127</v>
      </c>
      <c r="N783" s="3" t="n">
        <v>125.1</v>
      </c>
      <c r="O783" s="3" t="n">
        <v>-21.663</v>
      </c>
      <c r="P783" s="3" t="n">
        <v>-68.329</v>
      </c>
      <c r="Q783" s="3" t="s">
        <v>2040</v>
      </c>
      <c r="R783" s="3" t="s">
        <v>33</v>
      </c>
      <c r="S783" s="3" t="s">
        <v>373</v>
      </c>
      <c r="T783" s="5" t="n">
        <f aca="false">IF(C783="","",DATE(VALUE(MID(C783,7,4)),VALUE(MID(C783,4,2)),VALUE(MID(C783,1,2)))+TIME(VALUE(MID(C783,12,2)),VALUE(MID(C783,15,2)),0))</f>
        <v>37343.2055555556</v>
      </c>
      <c r="U783" s="3" t="str">
        <f aca="false">IFERROR(IF(ISNUMBER(VALUE(TRIM(MID(A783,FIND("-",A783)+1,FIND("km",A783)-FIND("-",A783)-1)))),"Distance + direction + city","Named-region"),"Named-region")</f>
        <v>Distance + direction + city</v>
      </c>
      <c r="V783" s="3" t="str">
        <f aca="false">LOWER(M783)</f>
        <v>mwc</v>
      </c>
      <c r="W783" s="3" t="n">
        <f aca="false">COUNTIFS($A$2:$A$1001,A783,$C$2:$C$1001,C783)</f>
        <v>1</v>
      </c>
      <c r="X783" s="3" t="str">
        <f aca="false">IF(W783&gt;1,"Duplicate","Unique")</f>
        <v>Unique</v>
      </c>
      <c r="Y783" s="3" t="str">
        <f aca="false">IF(B783&lt;6.5,"&lt;6.5",IF(B783&lt;7,"6.5–6.9",IF(B783&lt;7.5,"7.0–7.4",IF(B783&lt;8,"7.5–7.9","8.0+"))))</f>
        <v>6.5–6.9</v>
      </c>
      <c r="Z783" s="3" t="n">
        <f aca="false">IF(T783="","",YEAR(T783))</f>
        <v>2002</v>
      </c>
    </row>
    <row r="784" customFormat="false" ht="13.8" hidden="false" customHeight="false" outlineLevel="0" collapsed="false">
      <c r="A784" s="3" t="s">
        <v>2041</v>
      </c>
      <c r="B784" s="3" t="n">
        <v>7.5</v>
      </c>
      <c r="C784" s="6" t="s">
        <v>2042</v>
      </c>
      <c r="D784" s="3" t="n">
        <v>0</v>
      </c>
      <c r="E784" s="3" t="n">
        <v>7</v>
      </c>
      <c r="F784" s="3"/>
      <c r="G784" s="3" t="n">
        <v>0</v>
      </c>
      <c r="H784" s="3" t="n">
        <v>865</v>
      </c>
      <c r="I784" s="3" t="s">
        <v>22</v>
      </c>
      <c r="J784" s="3" t="n">
        <v>321</v>
      </c>
      <c r="K784" s="3" t="n">
        <v>0</v>
      </c>
      <c r="L784" s="3" t="n">
        <v>0</v>
      </c>
      <c r="M784" s="3" t="s">
        <v>127</v>
      </c>
      <c r="N784" s="3" t="n">
        <v>31</v>
      </c>
      <c r="O784" s="3" t="n">
        <v>6.033</v>
      </c>
      <c r="P784" s="3" t="n">
        <v>124.249</v>
      </c>
      <c r="Q784" s="3" t="s">
        <v>2043</v>
      </c>
      <c r="R784" s="3"/>
      <c r="S784" s="3" t="s">
        <v>191</v>
      </c>
      <c r="T784" s="5" t="n">
        <f aca="false">IF(C784="","",DATE(VALUE(MID(C784,7,4)),VALUE(MID(C784,4,2)),VALUE(MID(C784,1,2)))+TIME(VALUE(MID(C784,12,2)),VALUE(MID(C784,15,2)),0))</f>
        <v>37320.8861111111</v>
      </c>
      <c r="U784" s="3" t="str">
        <f aca="false">IFERROR(IF(ISNUMBER(VALUE(TRIM(MID(A784,FIND("-",A784)+1,FIND("km",A784)-FIND("-",A784)-1)))),"Distance + direction + city","Named-region"),"Named-region")</f>
        <v>Named-region</v>
      </c>
      <c r="V784" s="3" t="str">
        <f aca="false">LOWER(M784)</f>
        <v>mwc</v>
      </c>
      <c r="W784" s="3" t="n">
        <f aca="false">COUNTIFS($A$2:$A$1001,A784,$C$2:$C$1001,C784)</f>
        <v>1</v>
      </c>
      <c r="X784" s="3" t="str">
        <f aca="false">IF(W784&gt;1,"Duplicate","Unique")</f>
        <v>Unique</v>
      </c>
      <c r="Y784" s="3" t="str">
        <f aca="false">IF(B784&lt;6.5,"&lt;6.5",IF(B784&lt;7,"6.5–6.9",IF(B784&lt;7.5,"7.0–7.4",IF(B784&lt;8,"7.5–7.9","8.0+"))))</f>
        <v>7.5–7.9</v>
      </c>
      <c r="Z784" s="3" t="n">
        <f aca="false">IF(T784="","",YEAR(T784))</f>
        <v>2002</v>
      </c>
    </row>
    <row r="785" customFormat="false" ht="13.8" hidden="false" customHeight="false" outlineLevel="0" collapsed="false">
      <c r="A785" s="3" t="s">
        <v>2044</v>
      </c>
      <c r="B785" s="3" t="n">
        <v>7.4</v>
      </c>
      <c r="C785" s="6" t="s">
        <v>2045</v>
      </c>
      <c r="D785" s="3" t="n">
        <v>0</v>
      </c>
      <c r="E785" s="3" t="n">
        <v>5</v>
      </c>
      <c r="F785" s="3"/>
      <c r="G785" s="3" t="n">
        <v>0</v>
      </c>
      <c r="H785" s="3" t="n">
        <v>842</v>
      </c>
      <c r="I785" s="3" t="s">
        <v>22</v>
      </c>
      <c r="J785" s="3" t="n">
        <v>138</v>
      </c>
      <c r="K785" s="3" t="n">
        <v>0</v>
      </c>
      <c r="L785" s="3" t="n">
        <v>0</v>
      </c>
      <c r="M785" s="3" t="s">
        <v>127</v>
      </c>
      <c r="N785" s="3" t="n">
        <v>225.6</v>
      </c>
      <c r="O785" s="3" t="n">
        <v>36.502</v>
      </c>
      <c r="P785" s="3" t="n">
        <v>70.482</v>
      </c>
      <c r="Q785" s="3" t="s">
        <v>91</v>
      </c>
      <c r="R785" s="3" t="s">
        <v>80</v>
      </c>
      <c r="S785" s="3" t="s">
        <v>92</v>
      </c>
      <c r="T785" s="5" t="n">
        <f aca="false">IF(C785="","",DATE(VALUE(MID(C785,7,4)),VALUE(MID(C785,4,2)),VALUE(MID(C785,1,2)))+TIME(VALUE(MID(C785,12,2)),VALUE(MID(C785,15,2)),0))</f>
        <v>37318.5055555556</v>
      </c>
      <c r="U785" s="3" t="str">
        <f aca="false">IFERROR(IF(ISNUMBER(VALUE(TRIM(MID(A785,FIND("-",A785)+1,FIND("km",A785)-FIND("-",A785)-1)))),"Distance + direction + city","Named-region"),"Named-region")</f>
        <v>Distance + direction + city</v>
      </c>
      <c r="V785" s="3" t="str">
        <f aca="false">LOWER(M785)</f>
        <v>mwc</v>
      </c>
      <c r="W785" s="3" t="n">
        <f aca="false">COUNTIFS($A$2:$A$1001,A785,$C$2:$C$1001,C785)</f>
        <v>1</v>
      </c>
      <c r="X785" s="3" t="str">
        <f aca="false">IF(W785&gt;1,"Duplicate","Unique")</f>
        <v>Unique</v>
      </c>
      <c r="Y785" s="3" t="str">
        <f aca="false">IF(B785&lt;6.5,"&lt;6.5",IF(B785&lt;7,"6.5–6.9",IF(B785&lt;7.5,"7.0–7.4",IF(B785&lt;8,"7.5–7.9","8.0+"))))</f>
        <v>7.0–7.4</v>
      </c>
      <c r="Z785" s="3" t="n">
        <f aca="false">IF(T785="","",YEAR(T785))</f>
        <v>2002</v>
      </c>
    </row>
    <row r="786" customFormat="false" ht="13.8" hidden="false" customHeight="false" outlineLevel="0" collapsed="false">
      <c r="A786" s="3" t="s">
        <v>2046</v>
      </c>
      <c r="B786" s="3" t="n">
        <v>6.6</v>
      </c>
      <c r="C786" s="6" t="s">
        <v>2047</v>
      </c>
      <c r="D786" s="3" t="n">
        <v>0</v>
      </c>
      <c r="E786" s="3" t="n">
        <v>6</v>
      </c>
      <c r="F786" s="3"/>
      <c r="G786" s="3" t="n">
        <v>0</v>
      </c>
      <c r="H786" s="3" t="n">
        <v>670</v>
      </c>
      <c r="I786" s="3" t="s">
        <v>22</v>
      </c>
      <c r="J786" s="3" t="n">
        <v>444</v>
      </c>
      <c r="K786" s="3" t="n">
        <v>0</v>
      </c>
      <c r="L786" s="3" t="n">
        <v>0</v>
      </c>
      <c r="M786" s="3" t="s">
        <v>127</v>
      </c>
      <c r="N786" s="3" t="n">
        <v>39</v>
      </c>
      <c r="O786" s="3" t="n">
        <v>-5.345</v>
      </c>
      <c r="P786" s="3" t="n">
        <v>151.248</v>
      </c>
      <c r="Q786" s="3" t="s">
        <v>107</v>
      </c>
      <c r="R786" s="3"/>
      <c r="S786" s="3" t="s">
        <v>85</v>
      </c>
      <c r="T786" s="5" t="n">
        <f aca="false">IF(C786="","",DATE(VALUE(MID(C786,7,4)),VALUE(MID(C786,4,2)),VALUE(MID(C786,1,2)))+TIME(VALUE(MID(C786,12,2)),VALUE(MID(C786,15,2)),0))</f>
        <v>37292.5604166667</v>
      </c>
      <c r="U786" s="3" t="str">
        <f aca="false">IFERROR(IF(ISNUMBER(VALUE(TRIM(MID(A786,FIND("-",A786)+1,FIND("km",A786)-FIND("-",A786)-1)))),"Distance + direction + city","Named-region"),"Named-region")</f>
        <v>Distance + direction + city</v>
      </c>
      <c r="V786" s="3" t="str">
        <f aca="false">LOWER(M786)</f>
        <v>mwc</v>
      </c>
      <c r="W786" s="3" t="n">
        <f aca="false">COUNTIFS($A$2:$A$1001,A786,$C$2:$C$1001,C786)</f>
        <v>1</v>
      </c>
      <c r="X786" s="3" t="str">
        <f aca="false">IF(W786&gt;1,"Duplicate","Unique")</f>
        <v>Unique</v>
      </c>
      <c r="Y786" s="3" t="str">
        <f aca="false">IF(B786&lt;6.5,"&lt;6.5",IF(B786&lt;7,"6.5–6.9",IF(B786&lt;7.5,"7.0–7.4",IF(B786&lt;8,"7.5–7.9","8.0+"))))</f>
        <v>6.5–6.9</v>
      </c>
      <c r="Z786" s="3" t="n">
        <f aca="false">IF(T786="","",YEAR(T786))</f>
        <v>2002</v>
      </c>
    </row>
    <row r="787" customFormat="false" ht="13.8" hidden="false" customHeight="false" outlineLevel="0" collapsed="false">
      <c r="A787" s="3" t="s">
        <v>2048</v>
      </c>
      <c r="B787" s="3" t="n">
        <v>6.5</v>
      </c>
      <c r="C787" s="6" t="s">
        <v>2049</v>
      </c>
      <c r="D787" s="3" t="n">
        <v>0</v>
      </c>
      <c r="E787" s="3" t="n">
        <v>7</v>
      </c>
      <c r="F787" s="3"/>
      <c r="G787" s="3" t="n">
        <v>0</v>
      </c>
      <c r="H787" s="3" t="n">
        <v>650</v>
      </c>
      <c r="I787" s="3" t="s">
        <v>22</v>
      </c>
      <c r="J787" s="3" t="n">
        <v>482</v>
      </c>
      <c r="K787" s="3" t="n">
        <v>0</v>
      </c>
      <c r="L787" s="3" t="n">
        <v>0</v>
      </c>
      <c r="M787" s="3" t="s">
        <v>127</v>
      </c>
      <c r="N787" s="3" t="n">
        <v>5</v>
      </c>
      <c r="O787" s="3" t="n">
        <v>38.573</v>
      </c>
      <c r="P787" s="3" t="n">
        <v>31.271</v>
      </c>
      <c r="Q787" s="3" t="s">
        <v>2050</v>
      </c>
      <c r="R787" s="3" t="s">
        <v>80</v>
      </c>
      <c r="S787" s="3" t="s">
        <v>435</v>
      </c>
      <c r="T787" s="5" t="n">
        <f aca="false">IF(C787="","",DATE(VALUE(MID(C787,7,4)),VALUE(MID(C787,4,2)),VALUE(MID(C787,1,2)))+TIME(VALUE(MID(C787,12,2)),VALUE(MID(C787,15,2)),0))</f>
        <v>37290.2993055556</v>
      </c>
      <c r="U787" s="3" t="str">
        <f aca="false">IFERROR(IF(ISNUMBER(VALUE(TRIM(MID(A787,FIND("-",A787)+1,FIND("km",A787)-FIND("-",A787)-1)))),"Distance + direction + city","Named-region"),"Named-region")</f>
        <v>Distance + direction + city</v>
      </c>
      <c r="V787" s="3" t="str">
        <f aca="false">LOWER(M787)</f>
        <v>mwc</v>
      </c>
      <c r="W787" s="3" t="n">
        <f aca="false">COUNTIFS($A$2:$A$1001,A787,$C$2:$C$1001,C787)</f>
        <v>1</v>
      </c>
      <c r="X787" s="3" t="str">
        <f aca="false">IF(W787&gt;1,"Duplicate","Unique")</f>
        <v>Unique</v>
      </c>
      <c r="Y787" s="3" t="str">
        <f aca="false">IF(B787&lt;6.5,"&lt;6.5",IF(B787&lt;7,"6.5–6.9",IF(B787&lt;7.5,"7.0–7.4",IF(B787&lt;8,"7.5–7.9","8.0+"))))</f>
        <v>6.5–6.9</v>
      </c>
      <c r="Z787" s="3" t="n">
        <f aca="false">IF(T787="","",YEAR(T787))</f>
        <v>2002</v>
      </c>
    </row>
    <row r="788" customFormat="false" ht="13.8" hidden="false" customHeight="false" outlineLevel="0" collapsed="false">
      <c r="A788" s="3" t="s">
        <v>2051</v>
      </c>
      <c r="B788" s="3" t="n">
        <v>6.7</v>
      </c>
      <c r="C788" s="6" t="s">
        <v>2052</v>
      </c>
      <c r="D788" s="3" t="n">
        <v>0</v>
      </c>
      <c r="E788" s="3" t="n">
        <v>8</v>
      </c>
      <c r="F788" s="3"/>
      <c r="G788" s="3" t="n">
        <v>0</v>
      </c>
      <c r="H788" s="3" t="n">
        <v>691</v>
      </c>
      <c r="I788" s="3" t="s">
        <v>22</v>
      </c>
      <c r="J788" s="3" t="n">
        <v>333</v>
      </c>
      <c r="K788" s="3" t="n">
        <v>0</v>
      </c>
      <c r="L788" s="3" t="n">
        <v>0</v>
      </c>
      <c r="M788" s="3" t="s">
        <v>127</v>
      </c>
      <c r="N788" s="3" t="n">
        <v>11</v>
      </c>
      <c r="O788" s="3" t="n">
        <v>-3.212</v>
      </c>
      <c r="P788" s="3" t="n">
        <v>142.427</v>
      </c>
      <c r="Q788" s="3" t="s">
        <v>1188</v>
      </c>
      <c r="R788" s="3"/>
      <c r="S788" s="3" t="s">
        <v>85</v>
      </c>
      <c r="T788" s="5" t="n">
        <f aca="false">IF(C788="","",DATE(VALUE(MID(C788,7,4)),VALUE(MID(C788,4,2)),VALUE(MID(C788,1,2)))+TIME(VALUE(MID(C788,12,2)),VALUE(MID(C788,15,2)),0))</f>
        <v>37266.4680555556</v>
      </c>
      <c r="U788" s="3" t="str">
        <f aca="false">IFERROR(IF(ISNUMBER(VALUE(TRIM(MID(A788,FIND("-",A788)+1,FIND("km",A788)-FIND("-",A788)-1)))),"Distance + direction + city","Named-region"),"Named-region")</f>
        <v>Distance + direction + city</v>
      </c>
      <c r="V788" s="3" t="str">
        <f aca="false">LOWER(M788)</f>
        <v>mwc</v>
      </c>
      <c r="W788" s="3" t="n">
        <f aca="false">COUNTIFS($A$2:$A$1001,A788,$C$2:$C$1001,C788)</f>
        <v>1</v>
      </c>
      <c r="X788" s="3" t="str">
        <f aca="false">IF(W788&gt;1,"Duplicate","Unique")</f>
        <v>Unique</v>
      </c>
      <c r="Y788" s="3" t="str">
        <f aca="false">IF(B788&lt;6.5,"&lt;6.5",IF(B788&lt;7,"6.5–6.9",IF(B788&lt;7.5,"7.0–7.4",IF(B788&lt;8,"7.5–7.9","8.0+"))))</f>
        <v>6.5–6.9</v>
      </c>
      <c r="Z788" s="3" t="n">
        <f aca="false">IF(T788="","",YEAR(T788))</f>
        <v>2002</v>
      </c>
    </row>
    <row r="789" customFormat="false" ht="13.8" hidden="false" customHeight="false" outlineLevel="0" collapsed="false">
      <c r="A789" s="3" t="s">
        <v>2053</v>
      </c>
      <c r="B789" s="3" t="n">
        <v>6.6</v>
      </c>
      <c r="C789" s="6" t="s">
        <v>2054</v>
      </c>
      <c r="D789" s="3" t="n">
        <v>0</v>
      </c>
      <c r="E789" s="3" t="n">
        <v>6</v>
      </c>
      <c r="F789" s="3"/>
      <c r="G789" s="3" t="n">
        <v>0</v>
      </c>
      <c r="H789" s="3" t="n">
        <v>670</v>
      </c>
      <c r="I789" s="3" t="s">
        <v>22</v>
      </c>
      <c r="J789" s="3" t="n">
        <v>386</v>
      </c>
      <c r="K789" s="3" t="n">
        <v>0</v>
      </c>
      <c r="L789" s="3" t="n">
        <v>0</v>
      </c>
      <c r="M789" s="3" t="s">
        <v>127</v>
      </c>
      <c r="N789" s="3" t="n">
        <v>10</v>
      </c>
      <c r="O789" s="3" t="n">
        <v>-17.664</v>
      </c>
      <c r="P789" s="3" t="n">
        <v>168.004</v>
      </c>
      <c r="Q789" s="3" t="s">
        <v>989</v>
      </c>
      <c r="R789" s="3"/>
      <c r="S789" s="3" t="s">
        <v>25</v>
      </c>
      <c r="T789" s="5" t="n">
        <f aca="false">IF(C789="","",DATE(VALUE(MID(C789,7,4)),VALUE(MID(C789,4,2)),VALUE(MID(C789,1,2)))+TIME(VALUE(MID(C789,12,2)),VALUE(MID(C789,15,2)),0))</f>
        <v>37259.4284722222</v>
      </c>
      <c r="U789" s="3" t="str">
        <f aca="false">IFERROR(IF(ISNUMBER(VALUE(TRIM(MID(A789,FIND("-",A789)+1,FIND("km",A789)-FIND("-",A789)-1)))),"Distance + direction + city","Named-region"),"Named-region")</f>
        <v>Distance + direction + city</v>
      </c>
      <c r="V789" s="3" t="str">
        <f aca="false">LOWER(M789)</f>
        <v>mwc</v>
      </c>
      <c r="W789" s="3" t="n">
        <f aca="false">COUNTIFS($A$2:$A$1001,A789,$C$2:$C$1001,C789)</f>
        <v>1</v>
      </c>
      <c r="X789" s="3" t="str">
        <f aca="false">IF(W789&gt;1,"Duplicate","Unique")</f>
        <v>Unique</v>
      </c>
      <c r="Y789" s="3" t="str">
        <f aca="false">IF(B789&lt;6.5,"&lt;6.5",IF(B789&lt;7,"6.5–6.9",IF(B789&lt;7.5,"7.0–7.4",IF(B789&lt;8,"7.5–7.9","8.0+"))))</f>
        <v>6.5–6.9</v>
      </c>
      <c r="Z789" s="3" t="n">
        <f aca="false">IF(T789="","",YEAR(T789))</f>
        <v>2002</v>
      </c>
    </row>
    <row r="790" customFormat="false" ht="13.8" hidden="false" customHeight="false" outlineLevel="0" collapsed="false">
      <c r="A790" s="3" t="s">
        <v>2055</v>
      </c>
      <c r="B790" s="3" t="n">
        <v>7.2</v>
      </c>
      <c r="C790" s="6" t="s">
        <v>2056</v>
      </c>
      <c r="D790" s="3" t="n">
        <v>0</v>
      </c>
      <c r="E790" s="3" t="n">
        <v>6</v>
      </c>
      <c r="F790" s="3"/>
      <c r="G790" s="3" t="n">
        <v>0</v>
      </c>
      <c r="H790" s="3" t="n">
        <v>798</v>
      </c>
      <c r="I790" s="3" t="s">
        <v>22</v>
      </c>
      <c r="J790" s="3" t="n">
        <v>427</v>
      </c>
      <c r="K790" s="3" t="n">
        <v>0</v>
      </c>
      <c r="L790" s="3" t="n">
        <v>0</v>
      </c>
      <c r="M790" s="3" t="s">
        <v>127</v>
      </c>
      <c r="N790" s="3" t="n">
        <v>21</v>
      </c>
      <c r="O790" s="3" t="n">
        <v>-17.6</v>
      </c>
      <c r="P790" s="3" t="n">
        <v>167.856</v>
      </c>
      <c r="Q790" s="3" t="s">
        <v>989</v>
      </c>
      <c r="R790" s="3"/>
      <c r="S790" s="3" t="s">
        <v>25</v>
      </c>
      <c r="T790" s="5" t="n">
        <f aca="false">IF(C790="","",DATE(VALUE(MID(C790,7,4)),VALUE(MID(C790,4,2)),VALUE(MID(C790,1,2)))+TIME(VALUE(MID(C790,12,2)),VALUE(MID(C790,15,2)),0))</f>
        <v>37258.7236111111</v>
      </c>
      <c r="U790" s="3" t="str">
        <f aca="false">IFERROR(IF(ISNUMBER(VALUE(TRIM(MID(A790,FIND("-",A790)+1,FIND("km",A790)-FIND("-",A790)-1)))),"Distance + direction + city","Named-region"),"Named-region")</f>
        <v>Distance + direction + city</v>
      </c>
      <c r="V790" s="3" t="str">
        <f aca="false">LOWER(M790)</f>
        <v>mwc</v>
      </c>
      <c r="W790" s="3" t="n">
        <f aca="false">COUNTIFS($A$2:$A$1001,A790,$C$2:$C$1001,C790)</f>
        <v>1</v>
      </c>
      <c r="X790" s="3" t="str">
        <f aca="false">IF(W790&gt;1,"Duplicate","Unique")</f>
        <v>Unique</v>
      </c>
      <c r="Y790" s="3" t="str">
        <f aca="false">IF(B790&lt;6.5,"&lt;6.5",IF(B790&lt;7,"6.5–6.9",IF(B790&lt;7.5,"7.0–7.4",IF(B790&lt;8,"7.5–7.9","8.0+"))))</f>
        <v>7.0–7.4</v>
      </c>
      <c r="Z790" s="3" t="n">
        <f aca="false">IF(T790="","",YEAR(T790))</f>
        <v>2002</v>
      </c>
    </row>
    <row r="791" customFormat="false" ht="13.8" hidden="false" customHeight="false" outlineLevel="0" collapsed="false">
      <c r="A791" s="3" t="s">
        <v>2057</v>
      </c>
      <c r="B791" s="3" t="n">
        <v>6.8</v>
      </c>
      <c r="C791" s="3" t="s">
        <v>2058</v>
      </c>
      <c r="D791" s="3" t="n">
        <v>0</v>
      </c>
      <c r="E791" s="3" t="n">
        <v>7</v>
      </c>
      <c r="F791" s="3"/>
      <c r="G791" s="3" t="n">
        <v>0</v>
      </c>
      <c r="H791" s="3" t="n">
        <v>711</v>
      </c>
      <c r="I791" s="3" t="s">
        <v>22</v>
      </c>
      <c r="J791" s="3" t="n">
        <v>385</v>
      </c>
      <c r="K791" s="3" t="n">
        <v>0</v>
      </c>
      <c r="L791" s="3" t="n">
        <v>0</v>
      </c>
      <c r="M791" s="3" t="s">
        <v>127</v>
      </c>
      <c r="N791" s="3" t="n">
        <v>16</v>
      </c>
      <c r="O791" s="3" t="n">
        <v>-9.613</v>
      </c>
      <c r="P791" s="3" t="n">
        <v>159.53</v>
      </c>
      <c r="Q791" s="3" t="s">
        <v>138</v>
      </c>
      <c r="R791" s="3"/>
      <c r="S791" s="3" t="s">
        <v>140</v>
      </c>
      <c r="T791" s="5" t="n">
        <f aca="false">IF(C791="","",DATE(VALUE(MID(C791,7,4)),VALUE(MID(C791,4,2)),VALUE(MID(C791,1,2)))+TIME(VALUE(MID(C791,12,2)),VALUE(MID(C791,15,2)),0))</f>
        <v>37248.9527777778</v>
      </c>
      <c r="U791" s="3" t="str">
        <f aca="false">IFERROR(IF(ISNUMBER(VALUE(TRIM(MID(A791,FIND("-",A791)+1,FIND("km",A791)-FIND("-",A791)-1)))),"Distance + direction + city","Named-region"),"Named-region")</f>
        <v>Distance + direction + city</v>
      </c>
      <c r="V791" s="3" t="str">
        <f aca="false">LOWER(M791)</f>
        <v>mwc</v>
      </c>
      <c r="W791" s="3" t="n">
        <f aca="false">COUNTIFS($A$2:$A$1001,A791,$C$2:$C$1001,C791)</f>
        <v>1</v>
      </c>
      <c r="X791" s="3" t="str">
        <f aca="false">IF(W791&gt;1,"Duplicate","Unique")</f>
        <v>Unique</v>
      </c>
      <c r="Y791" s="3" t="str">
        <f aca="false">IF(B791&lt;6.5,"&lt;6.5",IF(B791&lt;7,"6.5–6.9",IF(B791&lt;7.5,"7.0–7.4",IF(B791&lt;8,"7.5–7.9","8.0+"))))</f>
        <v>6.5–6.9</v>
      </c>
      <c r="Z791" s="3" t="n">
        <f aca="false">IF(T791="","",YEAR(T791))</f>
        <v>2001</v>
      </c>
    </row>
    <row r="792" customFormat="false" ht="13.8" hidden="false" customHeight="false" outlineLevel="0" collapsed="false">
      <c r="A792" s="3" t="s">
        <v>2059</v>
      </c>
      <c r="B792" s="3" t="n">
        <v>6.8</v>
      </c>
      <c r="C792" s="3" t="s">
        <v>2060</v>
      </c>
      <c r="D792" s="3" t="n">
        <v>0</v>
      </c>
      <c r="E792" s="3" t="n">
        <v>5</v>
      </c>
      <c r="F792" s="3"/>
      <c r="G792" s="3" t="n">
        <v>0</v>
      </c>
      <c r="H792" s="3" t="n">
        <v>711</v>
      </c>
      <c r="I792" s="3" t="s">
        <v>22</v>
      </c>
      <c r="J792" s="3" t="n">
        <v>499</v>
      </c>
      <c r="K792" s="3" t="n">
        <v>0</v>
      </c>
      <c r="L792" s="3" t="n">
        <v>0</v>
      </c>
      <c r="M792" s="3" t="s">
        <v>127</v>
      </c>
      <c r="N792" s="3" t="n">
        <v>14</v>
      </c>
      <c r="O792" s="3" t="n">
        <v>23.954</v>
      </c>
      <c r="P792" s="3" t="n">
        <v>122.734</v>
      </c>
      <c r="Q792" s="3" t="s">
        <v>1884</v>
      </c>
      <c r="R792" s="3"/>
      <c r="S792" s="3"/>
      <c r="T792" s="5" t="n">
        <f aca="false">IF(C792="","",DATE(VALUE(MID(C792,7,4)),VALUE(MID(C792,4,2)),VALUE(MID(C792,1,2)))+TIME(VALUE(MID(C792,12,2)),VALUE(MID(C792,15,2)),0))</f>
        <v>37243.1680555556</v>
      </c>
      <c r="U792" s="3" t="str">
        <f aca="false">IFERROR(IF(ISNUMBER(VALUE(TRIM(MID(A792,FIND("-",A792)+1,FIND("km",A792)-FIND("-",A792)-1)))),"Distance + direction + city","Named-region"),"Named-region")</f>
        <v>Distance + direction + city</v>
      </c>
      <c r="V792" s="3" t="str">
        <f aca="false">LOWER(M792)</f>
        <v>mwc</v>
      </c>
      <c r="W792" s="3" t="n">
        <f aca="false">COUNTIFS($A$2:$A$1001,A792,$C$2:$C$1001,C792)</f>
        <v>1</v>
      </c>
      <c r="X792" s="3" t="str">
        <f aca="false">IF(W792&gt;1,"Duplicate","Unique")</f>
        <v>Unique</v>
      </c>
      <c r="Y792" s="3" t="str">
        <f aca="false">IF(B792&lt;6.5,"&lt;6.5",IF(B792&lt;7,"6.5–6.9",IF(B792&lt;7.5,"7.0–7.4",IF(B792&lt;8,"7.5–7.9","8.0+"))))</f>
        <v>6.5–6.9</v>
      </c>
      <c r="Z792" s="3" t="n">
        <f aca="false">IF(T792="","",YEAR(T792))</f>
        <v>2001</v>
      </c>
    </row>
    <row r="793" customFormat="false" ht="13.8" hidden="false" customHeight="false" outlineLevel="0" collapsed="false">
      <c r="A793" s="3" t="s">
        <v>2061</v>
      </c>
      <c r="B793" s="3" t="n">
        <v>6.5</v>
      </c>
      <c r="C793" s="6" t="s">
        <v>2062</v>
      </c>
      <c r="D793" s="3" t="n">
        <v>0</v>
      </c>
      <c r="E793" s="3" t="n">
        <v>5</v>
      </c>
      <c r="F793" s="3"/>
      <c r="G793" s="3" t="n">
        <v>0</v>
      </c>
      <c r="H793" s="3" t="n">
        <v>650</v>
      </c>
      <c r="I793" s="3" t="s">
        <v>22</v>
      </c>
      <c r="J793" s="3" t="n">
        <v>605</v>
      </c>
      <c r="K793" s="3" t="n">
        <v>0</v>
      </c>
      <c r="L793" s="3" t="n">
        <v>0</v>
      </c>
      <c r="M793" s="3" t="s">
        <v>127</v>
      </c>
      <c r="N793" s="3" t="n">
        <v>123.8</v>
      </c>
      <c r="O793" s="3" t="n">
        <v>39.402</v>
      </c>
      <c r="P793" s="3" t="n">
        <v>141.089</v>
      </c>
      <c r="Q793" s="3" t="s">
        <v>2063</v>
      </c>
      <c r="R793" s="3" t="s">
        <v>80</v>
      </c>
      <c r="S793" s="3" t="s">
        <v>322</v>
      </c>
      <c r="T793" s="5" t="n">
        <f aca="false">IF(C793="","",DATE(VALUE(MID(C793,7,4)),VALUE(MID(C793,4,2)),VALUE(MID(C793,1,2)))+TIME(VALUE(MID(C793,12,2)),VALUE(MID(C793,15,2)),0))</f>
        <v>37227.5423611111</v>
      </c>
      <c r="U793" s="3" t="str">
        <f aca="false">IFERROR(IF(ISNUMBER(VALUE(TRIM(MID(A793,FIND("-",A793)+1,FIND("km",A793)-FIND("-",A793)-1)))),"Distance + direction + city","Named-region"),"Named-region")</f>
        <v>Distance + direction + city</v>
      </c>
      <c r="V793" s="3" t="str">
        <f aca="false">LOWER(M793)</f>
        <v>mwc</v>
      </c>
      <c r="W793" s="3" t="n">
        <f aca="false">COUNTIFS($A$2:$A$1001,A793,$C$2:$C$1001,C793)</f>
        <v>1</v>
      </c>
      <c r="X793" s="3" t="str">
        <f aca="false">IF(W793&gt;1,"Duplicate","Unique")</f>
        <v>Unique</v>
      </c>
      <c r="Y793" s="3" t="str">
        <f aca="false">IF(B793&lt;6.5,"&lt;6.5",IF(B793&lt;7,"6.5–6.9",IF(B793&lt;7.5,"7.0–7.4",IF(B793&lt;8,"7.5–7.9","8.0+"))))</f>
        <v>6.5–6.9</v>
      </c>
      <c r="Z793" s="3" t="n">
        <f aca="false">IF(T793="","",YEAR(T793))</f>
        <v>2001</v>
      </c>
    </row>
    <row r="794" customFormat="false" ht="13.8" hidden="false" customHeight="false" outlineLevel="0" collapsed="false">
      <c r="A794" s="3" t="s">
        <v>2064</v>
      </c>
      <c r="B794" s="3" t="n">
        <v>7.8</v>
      </c>
      <c r="C794" s="3" t="s">
        <v>2065</v>
      </c>
      <c r="D794" s="3" t="n">
        <v>0</v>
      </c>
      <c r="E794" s="3" t="n">
        <v>9</v>
      </c>
      <c r="F794" s="3"/>
      <c r="G794" s="3" t="n">
        <v>0</v>
      </c>
      <c r="H794" s="3" t="n">
        <v>936</v>
      </c>
      <c r="I794" s="3" t="s">
        <v>22</v>
      </c>
      <c r="J794" s="3" t="n">
        <v>368</v>
      </c>
      <c r="K794" s="3" t="n">
        <v>0</v>
      </c>
      <c r="L794" s="3" t="n">
        <v>0</v>
      </c>
      <c r="M794" s="3" t="s">
        <v>127</v>
      </c>
      <c r="N794" s="3" t="n">
        <v>10</v>
      </c>
      <c r="O794" s="3" t="n">
        <v>35.946</v>
      </c>
      <c r="P794" s="3" t="n">
        <v>90.541</v>
      </c>
      <c r="Q794" s="3" t="s">
        <v>314</v>
      </c>
      <c r="R794" s="3" t="s">
        <v>80</v>
      </c>
      <c r="S794" s="3" t="s">
        <v>184</v>
      </c>
      <c r="T794" s="5" t="n">
        <f aca="false">IF(C794="","",DATE(VALUE(MID(C794,7,4)),VALUE(MID(C794,4,2)),VALUE(MID(C794,1,2)))+TIME(VALUE(MID(C794,12,2)),VALUE(MID(C794,15,2)),0))</f>
        <v>37209.3930555556</v>
      </c>
      <c r="U794" s="3" t="str">
        <f aca="false">IFERROR(IF(ISNUMBER(VALUE(TRIM(MID(A794,FIND("-",A794)+1,FIND("km",A794)-FIND("-",A794)-1)))),"Distance + direction + city","Named-region"),"Named-region")</f>
        <v>Named-region</v>
      </c>
      <c r="V794" s="3" t="str">
        <f aca="false">LOWER(M794)</f>
        <v>mwc</v>
      </c>
      <c r="W794" s="3" t="n">
        <f aca="false">COUNTIFS($A$2:$A$1001,A794,$C$2:$C$1001,C794)</f>
        <v>1</v>
      </c>
      <c r="X794" s="3" t="str">
        <f aca="false">IF(W794&gt;1,"Duplicate","Unique")</f>
        <v>Unique</v>
      </c>
      <c r="Y794" s="3" t="str">
        <f aca="false">IF(B794&lt;6.5,"&lt;6.5",IF(B794&lt;7,"6.5–6.9",IF(B794&lt;7.5,"7.0–7.4",IF(B794&lt;8,"7.5–7.9","8.0+"))))</f>
        <v>7.5–7.9</v>
      </c>
      <c r="Z794" s="3" t="n">
        <f aca="false">IF(T794="","",YEAR(T794))</f>
        <v>2001</v>
      </c>
    </row>
    <row r="795" customFormat="false" ht="13.8" hidden="false" customHeight="false" outlineLevel="0" collapsed="false">
      <c r="A795" s="3" t="s">
        <v>2066</v>
      </c>
      <c r="B795" s="3" t="n">
        <v>7</v>
      </c>
      <c r="C795" s="3" t="s">
        <v>2067</v>
      </c>
      <c r="D795" s="3" t="n">
        <v>0</v>
      </c>
      <c r="E795" s="3" t="n">
        <v>7</v>
      </c>
      <c r="F795" s="3"/>
      <c r="G795" s="3" t="n">
        <v>0</v>
      </c>
      <c r="H795" s="3" t="n">
        <v>754</v>
      </c>
      <c r="I795" s="3" t="s">
        <v>22</v>
      </c>
      <c r="J795" s="3" t="n">
        <v>254</v>
      </c>
      <c r="K795" s="3" t="n">
        <v>0</v>
      </c>
      <c r="L795" s="3" t="n">
        <v>0</v>
      </c>
      <c r="M795" s="3" t="s">
        <v>127</v>
      </c>
      <c r="N795" s="3" t="n">
        <v>33</v>
      </c>
      <c r="O795" s="3" t="n">
        <v>-5.912</v>
      </c>
      <c r="P795" s="3" t="n">
        <v>150.196</v>
      </c>
      <c r="Q795" s="3" t="s">
        <v>107</v>
      </c>
      <c r="R795" s="3"/>
      <c r="S795" s="3" t="s">
        <v>85</v>
      </c>
      <c r="T795" s="5" t="n">
        <f aca="false">IF(C795="","",DATE(VALUE(MID(C795,7,4)),VALUE(MID(C795,4,2)),VALUE(MID(C795,1,2)))+TIME(VALUE(MID(C795,12,2)),VALUE(MID(C795,15,2)),0))</f>
        <v>37195.3819444444</v>
      </c>
      <c r="U795" s="3" t="str">
        <f aca="false">IFERROR(IF(ISNUMBER(VALUE(TRIM(MID(A795,FIND("-",A795)+1,FIND("km",A795)-FIND("-",A795)-1)))),"Distance + direction + city","Named-region"),"Named-region")</f>
        <v>Distance + direction + city</v>
      </c>
      <c r="V795" s="3" t="str">
        <f aca="false">LOWER(M795)</f>
        <v>mwc</v>
      </c>
      <c r="W795" s="3" t="n">
        <f aca="false">COUNTIFS($A$2:$A$1001,A795,$C$2:$C$1001,C795)</f>
        <v>1</v>
      </c>
      <c r="X795" s="3" t="str">
        <f aca="false">IF(W795&gt;1,"Duplicate","Unique")</f>
        <v>Unique</v>
      </c>
      <c r="Y795" s="3" t="str">
        <f aca="false">IF(B795&lt;6.5,"&lt;6.5",IF(B795&lt;7,"6.5–6.9",IF(B795&lt;7.5,"7.0–7.4",IF(B795&lt;8,"7.5–7.9","8.0+"))))</f>
        <v>7.0–7.4</v>
      </c>
      <c r="Z795" s="3" t="n">
        <f aca="false">IF(T795="","",YEAR(T795))</f>
        <v>2001</v>
      </c>
    </row>
    <row r="796" customFormat="false" ht="13.8" hidden="false" customHeight="false" outlineLevel="0" collapsed="false">
      <c r="A796" s="3" t="s">
        <v>2068</v>
      </c>
      <c r="B796" s="3" t="n">
        <v>7.5</v>
      </c>
      <c r="C796" s="3" t="s">
        <v>2069</v>
      </c>
      <c r="D796" s="3" t="n">
        <v>0</v>
      </c>
      <c r="E796" s="3" t="n">
        <v>6</v>
      </c>
      <c r="F796" s="3"/>
      <c r="G796" s="3" t="n">
        <v>0</v>
      </c>
      <c r="H796" s="3" t="n">
        <v>865</v>
      </c>
      <c r="I796" s="3" t="s">
        <v>22</v>
      </c>
      <c r="J796" s="3" t="n">
        <v>234</v>
      </c>
      <c r="K796" s="3" t="n">
        <v>0</v>
      </c>
      <c r="L796" s="3" t="n">
        <v>0</v>
      </c>
      <c r="M796" s="3" t="s">
        <v>127</v>
      </c>
      <c r="N796" s="3" t="n">
        <v>33</v>
      </c>
      <c r="O796" s="3" t="n">
        <v>-4.102</v>
      </c>
      <c r="P796" s="3" t="n">
        <v>123.907</v>
      </c>
      <c r="Q796" s="3" t="s">
        <v>2070</v>
      </c>
      <c r="R796" s="3"/>
      <c r="S796" s="3" t="s">
        <v>68</v>
      </c>
      <c r="T796" s="5" t="n">
        <f aca="false">IF(C796="","",DATE(VALUE(MID(C796,7,4)),VALUE(MID(C796,4,2)),VALUE(MID(C796,1,2)))+TIME(VALUE(MID(C796,12,2)),VALUE(MID(C796,15,2)),0))</f>
        <v>37183.1444444444</v>
      </c>
      <c r="U796" s="3" t="str">
        <f aca="false">IFERROR(IF(ISNUMBER(VALUE(TRIM(MID(A796,FIND("-",A796)+1,FIND("km",A796)-FIND("-",A796)-1)))),"Distance + direction + city","Named-region"),"Named-region")</f>
        <v>Distance + direction + city</v>
      </c>
      <c r="V796" s="3" t="str">
        <f aca="false">LOWER(M796)</f>
        <v>mwc</v>
      </c>
      <c r="W796" s="3" t="n">
        <f aca="false">COUNTIFS($A$2:$A$1001,A796,$C$2:$C$1001,C796)</f>
        <v>1</v>
      </c>
      <c r="X796" s="3" t="str">
        <f aca="false">IF(W796&gt;1,"Duplicate","Unique")</f>
        <v>Unique</v>
      </c>
      <c r="Y796" s="3" t="str">
        <f aca="false">IF(B796&lt;6.5,"&lt;6.5",IF(B796&lt;7,"6.5–6.9",IF(B796&lt;7.5,"7.0–7.4",IF(B796&lt;8,"7.5–7.9","8.0+"))))</f>
        <v>7.5–7.9</v>
      </c>
      <c r="Z796" s="3" t="n">
        <f aca="false">IF(T796="","",YEAR(T796))</f>
        <v>2001</v>
      </c>
    </row>
    <row r="797" customFormat="false" ht="13.8" hidden="false" customHeight="false" outlineLevel="0" collapsed="false">
      <c r="A797" s="3" t="s">
        <v>2071</v>
      </c>
      <c r="B797" s="3" t="n">
        <v>7</v>
      </c>
      <c r="C797" s="6" t="s">
        <v>2072</v>
      </c>
      <c r="D797" s="3" t="n">
        <v>0</v>
      </c>
      <c r="E797" s="3" t="n">
        <v>6</v>
      </c>
      <c r="F797" s="3"/>
      <c r="G797" s="3" t="n">
        <v>0</v>
      </c>
      <c r="H797" s="3" t="n">
        <v>754</v>
      </c>
      <c r="I797" s="3" t="s">
        <v>22</v>
      </c>
      <c r="J797" s="3" t="n">
        <v>482</v>
      </c>
      <c r="K797" s="3" t="n">
        <v>0</v>
      </c>
      <c r="L797" s="3" t="n">
        <v>0</v>
      </c>
      <c r="M797" s="3" t="s">
        <v>127</v>
      </c>
      <c r="N797" s="3" t="n">
        <v>37</v>
      </c>
      <c r="O797" s="3" t="n">
        <v>12.686</v>
      </c>
      <c r="P797" s="3" t="n">
        <v>144.98</v>
      </c>
      <c r="Q797" s="3" t="s">
        <v>2073</v>
      </c>
      <c r="R797" s="3"/>
      <c r="S797" s="3"/>
      <c r="T797" s="5" t="n">
        <f aca="false">IF(C797="","",DATE(VALUE(MID(C797,7,4)),VALUE(MID(C797,4,2)),VALUE(MID(C797,1,2)))+TIME(VALUE(MID(C797,12,2)),VALUE(MID(C797,15,2)),0))</f>
        <v>37176.6263888889</v>
      </c>
      <c r="U797" s="3" t="str">
        <f aca="false">IFERROR(IF(ISNUMBER(VALUE(TRIM(MID(A797,FIND("-",A797)+1,FIND("km",A797)-FIND("-",A797)-1)))),"Distance + direction + city","Named-region"),"Named-region")</f>
        <v>Distance + direction + city</v>
      </c>
      <c r="V797" s="3" t="str">
        <f aca="false">LOWER(M797)</f>
        <v>mwc</v>
      </c>
      <c r="W797" s="3" t="n">
        <f aca="false">COUNTIFS($A$2:$A$1001,A797,$C$2:$C$1001,C797)</f>
        <v>1</v>
      </c>
      <c r="X797" s="3" t="str">
        <f aca="false">IF(W797&gt;1,"Duplicate","Unique")</f>
        <v>Unique</v>
      </c>
      <c r="Y797" s="3" t="str">
        <f aca="false">IF(B797&lt;6.5,"&lt;6.5",IF(B797&lt;7,"6.5–6.9",IF(B797&lt;7.5,"7.0–7.4",IF(B797&lt;8,"7.5–7.9","8.0+"))))</f>
        <v>7.0–7.4</v>
      </c>
      <c r="Z797" s="3" t="n">
        <f aca="false">IF(T797="","",YEAR(T797))</f>
        <v>2001</v>
      </c>
    </row>
    <row r="798" customFormat="false" ht="13.8" hidden="false" customHeight="false" outlineLevel="0" collapsed="false">
      <c r="A798" s="3" t="s">
        <v>2074</v>
      </c>
      <c r="B798" s="3" t="n">
        <v>6.5</v>
      </c>
      <c r="C798" s="6" t="s">
        <v>2075</v>
      </c>
      <c r="D798" s="3" t="n">
        <v>0</v>
      </c>
      <c r="E798" s="3" t="n">
        <v>6</v>
      </c>
      <c r="F798" s="3"/>
      <c r="G798" s="3" t="n">
        <v>0</v>
      </c>
      <c r="H798" s="3" t="n">
        <v>650</v>
      </c>
      <c r="I798" s="3" t="s">
        <v>22</v>
      </c>
      <c r="J798" s="3" t="n">
        <v>174</v>
      </c>
      <c r="K798" s="3" t="n">
        <v>0</v>
      </c>
      <c r="L798" s="3" t="n">
        <v>0</v>
      </c>
      <c r="M798" s="3" t="s">
        <v>127</v>
      </c>
      <c r="N798" s="3" t="n">
        <v>33</v>
      </c>
      <c r="O798" s="3" t="n">
        <v>-0.578</v>
      </c>
      <c r="P798" s="3" t="n">
        <v>133.13</v>
      </c>
      <c r="Q798" s="3" t="s">
        <v>1275</v>
      </c>
      <c r="R798" s="3"/>
      <c r="S798" s="3" t="s">
        <v>68</v>
      </c>
      <c r="T798" s="5" t="n">
        <f aca="false">IF(C798="","",DATE(VALUE(MID(C798,7,4)),VALUE(MID(C798,4,2)),VALUE(MID(C798,1,2)))+TIME(VALUE(MID(C798,12,2)),VALUE(MID(C798,15,2)),0))</f>
        <v>37145.6222222222</v>
      </c>
      <c r="U798" s="3" t="str">
        <f aca="false">IFERROR(IF(ISNUMBER(VALUE(TRIM(MID(A798,FIND("-",A798)+1,FIND("km",A798)-FIND("-",A798)-1)))),"Distance + direction + city","Named-region"),"Named-region")</f>
        <v>Distance + direction + city</v>
      </c>
      <c r="V798" s="3" t="str">
        <f aca="false">LOWER(M798)</f>
        <v>mwc</v>
      </c>
      <c r="W798" s="3" t="n">
        <f aca="false">COUNTIFS($A$2:$A$1001,A798,$C$2:$C$1001,C798)</f>
        <v>1</v>
      </c>
      <c r="X798" s="3" t="str">
        <f aca="false">IF(W798&gt;1,"Duplicate","Unique")</f>
        <v>Unique</v>
      </c>
      <c r="Y798" s="3" t="str">
        <f aca="false">IF(B798&lt;6.5,"&lt;6.5",IF(B798&lt;7,"6.5–6.9",IF(B798&lt;7.5,"7.0–7.4",IF(B798&lt;8,"7.5–7.9","8.0+"))))</f>
        <v>6.5–6.9</v>
      </c>
      <c r="Z798" s="3" t="n">
        <f aca="false">IF(T798="","",YEAR(T798))</f>
        <v>2001</v>
      </c>
    </row>
    <row r="799" customFormat="false" ht="13.8" hidden="false" customHeight="false" outlineLevel="0" collapsed="false">
      <c r="A799" s="3" t="s">
        <v>2076</v>
      </c>
      <c r="B799" s="3" t="n">
        <v>6.6</v>
      </c>
      <c r="C799" s="3" t="s">
        <v>2077</v>
      </c>
      <c r="D799" s="3" t="n">
        <v>6</v>
      </c>
      <c r="E799" s="3" t="n">
        <v>6</v>
      </c>
      <c r="F799" s="3"/>
      <c r="G799" s="3" t="n">
        <v>0</v>
      </c>
      <c r="H799" s="3" t="n">
        <v>754</v>
      </c>
      <c r="I799" s="3" t="s">
        <v>259</v>
      </c>
      <c r="J799" s="3" t="n">
        <v>0</v>
      </c>
      <c r="K799" s="3" t="n">
        <v>0</v>
      </c>
      <c r="L799" s="3" t="n">
        <v>0</v>
      </c>
      <c r="M799" s="3" t="s">
        <v>485</v>
      </c>
      <c r="N799" s="3" t="n">
        <v>131.8</v>
      </c>
      <c r="O799" s="3" t="n">
        <v>58.775</v>
      </c>
      <c r="P799" s="3" t="n">
        <v>-154.701</v>
      </c>
      <c r="Q799" s="3" t="s">
        <v>2078</v>
      </c>
      <c r="R799" s="3" t="s">
        <v>164</v>
      </c>
      <c r="S799" s="3" t="s">
        <v>261</v>
      </c>
      <c r="T799" s="5" t="n">
        <f aca="false">IF(C799="","",DATE(VALUE(MID(C799,7,4)),VALUE(MID(C799,4,2)),VALUE(MID(C799,1,2)))+TIME(VALUE(MID(C799,12,2)),VALUE(MID(C799,15,2)),0))</f>
        <v>37100.3138888889</v>
      </c>
      <c r="U799" s="3" t="str">
        <f aca="false">IFERROR(IF(ISNUMBER(VALUE(TRIM(MID(A799,FIND("-",A799)+1,FIND("km",A799)-FIND("-",A799)-1)))),"Distance + direction + city","Named-region"),"Named-region")</f>
        <v>Distance + direction + city</v>
      </c>
      <c r="V799" s="3" t="str">
        <f aca="false">LOWER(M799)</f>
        <v>mw</v>
      </c>
      <c r="W799" s="3" t="n">
        <f aca="false">COUNTIFS($A$2:$A$1001,A799,$C$2:$C$1001,C799)</f>
        <v>1</v>
      </c>
      <c r="X799" s="3" t="str">
        <f aca="false">IF(W799&gt;1,"Duplicate","Unique")</f>
        <v>Unique</v>
      </c>
      <c r="Y799" s="3" t="str">
        <f aca="false">IF(B799&lt;6.5,"&lt;6.5",IF(B799&lt;7,"6.5–6.9",IF(B799&lt;7.5,"7.0–7.4",IF(B799&lt;8,"7.5–7.9","8.0+"))))</f>
        <v>6.5–6.9</v>
      </c>
      <c r="Z799" s="3" t="n">
        <f aca="false">IF(T799="","",YEAR(T799))</f>
        <v>2001</v>
      </c>
    </row>
    <row r="800" customFormat="false" ht="13.8" hidden="false" customHeight="false" outlineLevel="0" collapsed="false">
      <c r="A800" s="3" t="s">
        <v>2079</v>
      </c>
      <c r="B800" s="3" t="n">
        <v>6.5</v>
      </c>
      <c r="C800" s="3" t="s">
        <v>2080</v>
      </c>
      <c r="D800" s="3" t="n">
        <v>0</v>
      </c>
      <c r="E800" s="3" t="n">
        <v>8</v>
      </c>
      <c r="F800" s="3"/>
      <c r="G800" s="3" t="n">
        <v>0</v>
      </c>
      <c r="H800" s="3" t="n">
        <v>650</v>
      </c>
      <c r="I800" s="3" t="s">
        <v>22</v>
      </c>
      <c r="J800" s="3" t="n">
        <v>483</v>
      </c>
      <c r="K800" s="3" t="n">
        <v>0</v>
      </c>
      <c r="L800" s="3" t="n">
        <v>0</v>
      </c>
      <c r="M800" s="3" t="s">
        <v>127</v>
      </c>
      <c r="N800" s="3" t="n">
        <v>10</v>
      </c>
      <c r="O800" s="3" t="n">
        <v>39.059</v>
      </c>
      <c r="P800" s="3" t="n">
        <v>24.244</v>
      </c>
      <c r="Q800" s="3" t="s">
        <v>2081</v>
      </c>
      <c r="R800" s="3" t="s">
        <v>361</v>
      </c>
      <c r="S800" s="3" t="s">
        <v>362</v>
      </c>
      <c r="T800" s="5" t="n">
        <f aca="false">IF(C800="","",DATE(VALUE(MID(C800,7,4)),VALUE(MID(C800,4,2)),VALUE(MID(C800,1,2)))+TIME(VALUE(MID(C800,12,2)),VALUE(MID(C800,15,2)),0))</f>
        <v>37098.0145833333</v>
      </c>
      <c r="U800" s="3" t="str">
        <f aca="false">IFERROR(IF(ISNUMBER(VALUE(TRIM(MID(A800,FIND("-",A800)+1,FIND("km",A800)-FIND("-",A800)-1)))),"Distance + direction + city","Named-region"),"Named-region")</f>
        <v>Distance + direction + city</v>
      </c>
      <c r="V800" s="3" t="str">
        <f aca="false">LOWER(M800)</f>
        <v>mwc</v>
      </c>
      <c r="W800" s="3" t="n">
        <f aca="false">COUNTIFS($A$2:$A$1001,A800,$C$2:$C$1001,C800)</f>
        <v>1</v>
      </c>
      <c r="X800" s="3" t="str">
        <f aca="false">IF(W800&gt;1,"Duplicate","Unique")</f>
        <v>Unique</v>
      </c>
      <c r="Y800" s="3" t="str">
        <f aca="false">IF(B800&lt;6.5,"&lt;6.5",IF(B800&lt;7,"6.5–6.9",IF(B800&lt;7.5,"7.0–7.4",IF(B800&lt;8,"7.5–7.9","8.0+"))))</f>
        <v>6.5–6.9</v>
      </c>
      <c r="Z800" s="3" t="n">
        <f aca="false">IF(T800="","",YEAR(T800))</f>
        <v>2001</v>
      </c>
    </row>
    <row r="801" customFormat="false" ht="13.8" hidden="false" customHeight="false" outlineLevel="0" collapsed="false">
      <c r="A801" s="3" t="s">
        <v>2082</v>
      </c>
      <c r="B801" s="3" t="n">
        <v>7.6</v>
      </c>
      <c r="C801" s="6" t="s">
        <v>2083</v>
      </c>
      <c r="D801" s="3" t="n">
        <v>0</v>
      </c>
      <c r="E801" s="3" t="n">
        <v>7</v>
      </c>
      <c r="F801" s="3"/>
      <c r="G801" s="3" t="n">
        <v>0</v>
      </c>
      <c r="H801" s="3" t="n">
        <v>889</v>
      </c>
      <c r="I801" s="3" t="s">
        <v>22</v>
      </c>
      <c r="J801" s="3" t="n">
        <v>398</v>
      </c>
      <c r="K801" s="3" t="n">
        <v>0</v>
      </c>
      <c r="L801" s="3" t="n">
        <v>0</v>
      </c>
      <c r="M801" s="3" t="s">
        <v>127</v>
      </c>
      <c r="N801" s="3" t="n">
        <v>33</v>
      </c>
      <c r="O801" s="3" t="n">
        <v>-17.543</v>
      </c>
      <c r="P801" s="3" t="n">
        <v>-72.077</v>
      </c>
      <c r="Q801" s="3" t="s">
        <v>2084</v>
      </c>
      <c r="R801" s="3"/>
      <c r="S801" s="3" t="s">
        <v>199</v>
      </c>
      <c r="T801" s="5" t="n">
        <f aca="false">IF(C801="","",DATE(VALUE(MID(C801,7,4)),VALUE(MID(C801,4,2)),VALUE(MID(C801,1,2)))+TIME(VALUE(MID(C801,12,2)),VALUE(MID(C801,15,2)),0))</f>
        <v>37079.4013888889</v>
      </c>
      <c r="U801" s="3" t="str">
        <f aca="false">IFERROR(IF(ISNUMBER(VALUE(TRIM(MID(A801,FIND("-",A801)+1,FIND("km",A801)-FIND("-",A801)-1)))),"Distance + direction + city","Named-region"),"Named-region")</f>
        <v>Distance + direction + city</v>
      </c>
      <c r="V801" s="3" t="str">
        <f aca="false">LOWER(M801)</f>
        <v>mwc</v>
      </c>
      <c r="W801" s="3" t="n">
        <f aca="false">COUNTIFS($A$2:$A$1001,A801,$C$2:$C$1001,C801)</f>
        <v>1</v>
      </c>
      <c r="X801" s="3" t="str">
        <f aca="false">IF(W801&gt;1,"Duplicate","Unique")</f>
        <v>Unique</v>
      </c>
      <c r="Y801" s="3" t="str">
        <f aca="false">IF(B801&lt;6.5,"&lt;6.5",IF(B801&lt;7,"6.5–6.9",IF(B801&lt;7.5,"7.0–7.4",IF(B801&lt;8,"7.5–7.9","8.0+"))))</f>
        <v>7.5–7.9</v>
      </c>
      <c r="Z801" s="3" t="n">
        <f aca="false">IF(T801="","",YEAR(T801))</f>
        <v>2001</v>
      </c>
    </row>
    <row r="802" customFormat="false" ht="13.8" hidden="false" customHeight="false" outlineLevel="0" collapsed="false">
      <c r="A802" s="3" t="s">
        <v>2085</v>
      </c>
      <c r="B802" s="3" t="n">
        <v>6.6</v>
      </c>
      <c r="C802" s="6" t="s">
        <v>2086</v>
      </c>
      <c r="D802" s="3" t="n">
        <v>0</v>
      </c>
      <c r="E802" s="3" t="n">
        <v>7</v>
      </c>
      <c r="F802" s="3"/>
      <c r="G802" s="3" t="n">
        <v>0</v>
      </c>
      <c r="H802" s="3" t="n">
        <v>670</v>
      </c>
      <c r="I802" s="3" t="s">
        <v>22</v>
      </c>
      <c r="J802" s="3" t="n">
        <v>324</v>
      </c>
      <c r="K802" s="3" t="n">
        <v>0</v>
      </c>
      <c r="L802" s="3" t="n">
        <v>0</v>
      </c>
      <c r="M802" s="3" t="s">
        <v>127</v>
      </c>
      <c r="N802" s="3" t="n">
        <v>62</v>
      </c>
      <c r="O802" s="3" t="n">
        <v>-16.086</v>
      </c>
      <c r="P802" s="3" t="n">
        <v>-73.987</v>
      </c>
      <c r="Q802" s="3" t="s">
        <v>2087</v>
      </c>
      <c r="R802" s="3"/>
      <c r="S802" s="3" t="s">
        <v>199</v>
      </c>
      <c r="T802" s="5" t="n">
        <f aca="false">IF(C802="","",DATE(VALUE(MID(C802,7,4)),VALUE(MID(C802,4,2)),VALUE(MID(C802,1,2)))+TIME(VALUE(MID(C802,12,2)),VALUE(MID(C802,15,2)),0))</f>
        <v>37077.5784722222</v>
      </c>
      <c r="U802" s="3" t="str">
        <f aca="false">IFERROR(IF(ISNUMBER(VALUE(TRIM(MID(A802,FIND("-",A802)+1,FIND("km",A802)-FIND("-",A802)-1)))),"Distance + direction + city","Named-region"),"Named-region")</f>
        <v>Distance + direction + city</v>
      </c>
      <c r="V802" s="3" t="str">
        <f aca="false">LOWER(M802)</f>
        <v>mwc</v>
      </c>
      <c r="W802" s="3" t="n">
        <f aca="false">COUNTIFS($A$2:$A$1001,A802,$C$2:$C$1001,C802)</f>
        <v>1</v>
      </c>
      <c r="X802" s="3" t="str">
        <f aca="false">IF(W802&gt;1,"Duplicate","Unique")</f>
        <v>Unique</v>
      </c>
      <c r="Y802" s="3" t="str">
        <f aca="false">IF(B802&lt;6.5,"&lt;6.5",IF(B802&lt;7,"6.5–6.9",IF(B802&lt;7.5,"7.0–7.4",IF(B802&lt;8,"7.5–7.9","8.0+"))))</f>
        <v>6.5–6.9</v>
      </c>
      <c r="Z802" s="3" t="n">
        <f aca="false">IF(T802="","",YEAR(T802))</f>
        <v>2001</v>
      </c>
    </row>
    <row r="803" customFormat="false" ht="13.8" hidden="false" customHeight="false" outlineLevel="0" collapsed="false">
      <c r="A803" s="3" t="s">
        <v>2088</v>
      </c>
      <c r="B803" s="3" t="n">
        <v>6.7</v>
      </c>
      <c r="C803" s="3" t="s">
        <v>2089</v>
      </c>
      <c r="D803" s="3" t="n">
        <v>0</v>
      </c>
      <c r="E803" s="3" t="n">
        <v>6</v>
      </c>
      <c r="F803" s="3"/>
      <c r="G803" s="3" t="n">
        <v>0</v>
      </c>
      <c r="H803" s="3" t="n">
        <v>691</v>
      </c>
      <c r="I803" s="3" t="s">
        <v>22</v>
      </c>
      <c r="J803" s="3" t="n">
        <v>422</v>
      </c>
      <c r="K803" s="3" t="n">
        <v>0</v>
      </c>
      <c r="L803" s="3" t="n">
        <v>0</v>
      </c>
      <c r="M803" s="3" t="s">
        <v>127</v>
      </c>
      <c r="N803" s="3" t="n">
        <v>24</v>
      </c>
      <c r="O803" s="3" t="n">
        <v>-17.745</v>
      </c>
      <c r="P803" s="3" t="n">
        <v>-71.649</v>
      </c>
      <c r="Q803" s="3" t="s">
        <v>2090</v>
      </c>
      <c r="R803" s="3"/>
      <c r="S803" s="3" t="s">
        <v>199</v>
      </c>
      <c r="T803" s="5" t="n">
        <f aca="false">IF(C803="","",DATE(VALUE(MID(C803,7,4)),VALUE(MID(C803,4,2)),VALUE(MID(C803,1,2)))+TIME(VALUE(MID(C803,12,2)),VALUE(MID(C803,15,2)),0))</f>
        <v>37068.1791666667</v>
      </c>
      <c r="U803" s="3" t="str">
        <f aca="false">IFERROR(IF(ISNUMBER(VALUE(TRIM(MID(A803,FIND("-",A803)+1,FIND("km",A803)-FIND("-",A803)-1)))),"Distance + direction + city","Named-region"),"Named-region")</f>
        <v>Distance + direction + city</v>
      </c>
      <c r="V803" s="3" t="str">
        <f aca="false">LOWER(M803)</f>
        <v>mwc</v>
      </c>
      <c r="W803" s="3" t="n">
        <f aca="false">COUNTIFS($A$2:$A$1001,A803,$C$2:$C$1001,C803)</f>
        <v>1</v>
      </c>
      <c r="X803" s="3" t="str">
        <f aca="false">IF(W803&gt;1,"Duplicate","Unique")</f>
        <v>Unique</v>
      </c>
      <c r="Y803" s="3" t="str">
        <f aca="false">IF(B803&lt;6.5,"&lt;6.5",IF(B803&lt;7,"6.5–6.9",IF(B803&lt;7.5,"7.0–7.4",IF(B803&lt;8,"7.5–7.9","8.0+"))))</f>
        <v>6.5–6.9</v>
      </c>
      <c r="Z803" s="3" t="n">
        <f aca="false">IF(T803="","",YEAR(T803))</f>
        <v>2001</v>
      </c>
    </row>
    <row r="804" customFormat="false" ht="13.8" hidden="false" customHeight="false" outlineLevel="0" collapsed="false">
      <c r="A804" s="3" t="s">
        <v>2091</v>
      </c>
      <c r="B804" s="3" t="n">
        <v>8.4</v>
      </c>
      <c r="C804" s="3" t="s">
        <v>2092</v>
      </c>
      <c r="D804" s="3" t="n">
        <v>0</v>
      </c>
      <c r="E804" s="3" t="n">
        <v>8</v>
      </c>
      <c r="F804" s="3"/>
      <c r="G804" s="3" t="n">
        <v>0</v>
      </c>
      <c r="H804" s="3" t="n">
        <v>1086</v>
      </c>
      <c r="I804" s="3" t="s">
        <v>1293</v>
      </c>
      <c r="J804" s="3" t="n">
        <v>518</v>
      </c>
      <c r="K804" s="3" t="n">
        <v>0</v>
      </c>
      <c r="L804" s="3" t="n">
        <v>0</v>
      </c>
      <c r="M804" s="3" t="s">
        <v>23</v>
      </c>
      <c r="N804" s="3" t="n">
        <v>33</v>
      </c>
      <c r="O804" s="3" t="n">
        <v>-16.265</v>
      </c>
      <c r="P804" s="3" t="n">
        <v>-73.641</v>
      </c>
      <c r="Q804" s="3" t="s">
        <v>2093</v>
      </c>
      <c r="R804" s="3"/>
      <c r="S804" s="3" t="s">
        <v>199</v>
      </c>
      <c r="T804" s="5" t="n">
        <f aca="false">IF(C804="","",DATE(VALUE(MID(C804,7,4)),VALUE(MID(C804,4,2)),VALUE(MID(C804,1,2)))+TIME(VALUE(MID(C804,12,2)),VALUE(MID(C804,15,2)),0))</f>
        <v>37065.85625</v>
      </c>
      <c r="U804" s="3" t="str">
        <f aca="false">IFERROR(IF(ISNUMBER(VALUE(TRIM(MID(A804,FIND("-",A804)+1,FIND("km",A804)-FIND("-",A804)-1)))),"Distance + direction + city","Named-region"),"Named-region")</f>
        <v>Distance + direction + city</v>
      </c>
      <c r="V804" s="3" t="str">
        <f aca="false">LOWER(M804)</f>
        <v>mww</v>
      </c>
      <c r="W804" s="3" t="n">
        <f aca="false">COUNTIFS($A$2:$A$1001,A804,$C$2:$C$1001,C804)</f>
        <v>1</v>
      </c>
      <c r="X804" s="3" t="str">
        <f aca="false">IF(W804&gt;1,"Duplicate","Unique")</f>
        <v>Unique</v>
      </c>
      <c r="Y804" s="3" t="str">
        <f aca="false">IF(B804&lt;6.5,"&lt;6.5",IF(B804&lt;7,"6.5–6.9",IF(B804&lt;7.5,"7.0–7.4",IF(B804&lt;8,"7.5–7.9","8.0+"))))</f>
        <v>8.0+</v>
      </c>
      <c r="Z804" s="3" t="n">
        <f aca="false">IF(T804="","",YEAR(T804))</f>
        <v>2001</v>
      </c>
    </row>
    <row r="805" customFormat="false" ht="13.8" hidden="false" customHeight="false" outlineLevel="0" collapsed="false">
      <c r="A805" s="3" t="s">
        <v>2094</v>
      </c>
      <c r="B805" s="3" t="n">
        <v>6.7</v>
      </c>
      <c r="C805" s="3" t="s">
        <v>2095</v>
      </c>
      <c r="D805" s="3" t="n">
        <v>0</v>
      </c>
      <c r="E805" s="3" t="n">
        <v>6</v>
      </c>
      <c r="F805" s="3"/>
      <c r="G805" s="3" t="n">
        <v>0</v>
      </c>
      <c r="H805" s="3" t="n">
        <v>691</v>
      </c>
      <c r="I805" s="3" t="s">
        <v>22</v>
      </c>
      <c r="J805" s="3" t="n">
        <v>282</v>
      </c>
      <c r="K805" s="3" t="n">
        <v>0</v>
      </c>
      <c r="L805" s="3" t="n">
        <v>0</v>
      </c>
      <c r="M805" s="3" t="s">
        <v>127</v>
      </c>
      <c r="N805" s="3" t="n">
        <v>17</v>
      </c>
      <c r="O805" s="3" t="n">
        <v>-7.41</v>
      </c>
      <c r="P805" s="3" t="n">
        <v>155.865</v>
      </c>
      <c r="Q805" s="3" t="s">
        <v>736</v>
      </c>
      <c r="R805" s="3"/>
      <c r="S805" s="3" t="s">
        <v>140</v>
      </c>
      <c r="T805" s="5" t="n">
        <f aca="false">IF(C805="","",DATE(VALUE(MID(C805,7,4)),VALUE(MID(C805,4,2)),VALUE(MID(C805,1,2)))+TIME(VALUE(MID(C805,12,2)),VALUE(MID(C805,15,2)),0))</f>
        <v>37000.9048611111</v>
      </c>
      <c r="U805" s="3" t="str">
        <f aca="false">IFERROR(IF(ISNUMBER(VALUE(TRIM(MID(A805,FIND("-",A805)+1,FIND("km",A805)-FIND("-",A805)-1)))),"Distance + direction + city","Named-region"),"Named-region")</f>
        <v>Distance + direction + city</v>
      </c>
      <c r="V805" s="3" t="str">
        <f aca="false">LOWER(M805)</f>
        <v>mwc</v>
      </c>
      <c r="W805" s="3" t="n">
        <f aca="false">COUNTIFS($A$2:$A$1001,A805,$C$2:$C$1001,C805)</f>
        <v>1</v>
      </c>
      <c r="X805" s="3" t="str">
        <f aca="false">IF(W805&gt;1,"Duplicate","Unique")</f>
        <v>Unique</v>
      </c>
      <c r="Y805" s="3" t="str">
        <f aca="false">IF(B805&lt;6.5,"&lt;6.5",IF(B805&lt;7,"6.5–6.9",IF(B805&lt;7.5,"7.0–7.4",IF(B805&lt;8,"7.5–7.9","8.0+"))))</f>
        <v>6.5–6.9</v>
      </c>
      <c r="Z805" s="3" t="n">
        <f aca="false">IF(T805="","",YEAR(T805))</f>
        <v>2001</v>
      </c>
    </row>
    <row r="806" customFormat="false" ht="13.8" hidden="false" customHeight="false" outlineLevel="0" collapsed="false">
      <c r="A806" s="3" t="s">
        <v>2096</v>
      </c>
      <c r="B806" s="3" t="n">
        <v>6.8</v>
      </c>
      <c r="C806" s="3" t="s">
        <v>2097</v>
      </c>
      <c r="D806" s="3" t="n">
        <v>0</v>
      </c>
      <c r="E806" s="3" t="n">
        <v>7</v>
      </c>
      <c r="F806" s="3"/>
      <c r="G806" s="3" t="n">
        <v>0</v>
      </c>
      <c r="H806" s="3" t="n">
        <v>711</v>
      </c>
      <c r="I806" s="3" t="s">
        <v>22</v>
      </c>
      <c r="J806" s="3" t="n">
        <v>596</v>
      </c>
      <c r="K806" s="3" t="n">
        <v>0</v>
      </c>
      <c r="L806" s="3" t="n">
        <v>0</v>
      </c>
      <c r="M806" s="3" t="s">
        <v>127</v>
      </c>
      <c r="N806" s="3" t="n">
        <v>50</v>
      </c>
      <c r="O806" s="3" t="n">
        <v>34.083</v>
      </c>
      <c r="P806" s="3" t="n">
        <v>132.526</v>
      </c>
      <c r="Q806" s="3" t="s">
        <v>2098</v>
      </c>
      <c r="R806" s="3" t="s">
        <v>80</v>
      </c>
      <c r="S806" s="3" t="s">
        <v>322</v>
      </c>
      <c r="T806" s="5" t="n">
        <f aca="false">IF(C806="","",DATE(VALUE(MID(C806,7,4)),VALUE(MID(C806,4,2)),VALUE(MID(C806,1,2)))+TIME(VALUE(MID(C806,12,2)),VALUE(MID(C806,15,2)),0))</f>
        <v>36974.26875</v>
      </c>
      <c r="U806" s="3" t="str">
        <f aca="false">IFERROR(IF(ISNUMBER(VALUE(TRIM(MID(A806,FIND("-",A806)+1,FIND("km",A806)-FIND("-",A806)-1)))),"Distance + direction + city","Named-region"),"Named-region")</f>
        <v>Distance + direction + city</v>
      </c>
      <c r="V806" s="3" t="str">
        <f aca="false">LOWER(M806)</f>
        <v>mwc</v>
      </c>
      <c r="W806" s="3" t="n">
        <f aca="false">COUNTIFS($A$2:$A$1001,A806,$C$2:$C$1001,C806)</f>
        <v>1</v>
      </c>
      <c r="X806" s="3" t="str">
        <f aca="false">IF(W806&gt;1,"Duplicate","Unique")</f>
        <v>Unique</v>
      </c>
      <c r="Y806" s="3" t="str">
        <f aca="false">IF(B806&lt;6.5,"&lt;6.5",IF(B806&lt;7,"6.5–6.9",IF(B806&lt;7.5,"7.0–7.4",IF(B806&lt;8,"7.5–7.9","8.0+"))))</f>
        <v>6.5–6.9</v>
      </c>
      <c r="Z806" s="3" t="n">
        <f aca="false">IF(T806="","",YEAR(T806))</f>
        <v>2001</v>
      </c>
    </row>
    <row r="807" customFormat="false" ht="13.8" hidden="false" customHeight="false" outlineLevel="0" collapsed="false">
      <c r="A807" s="3" t="s">
        <v>2099</v>
      </c>
      <c r="B807" s="3" t="n">
        <v>6.5</v>
      </c>
      <c r="C807" s="3" t="s">
        <v>2100</v>
      </c>
      <c r="D807" s="3" t="n">
        <v>0</v>
      </c>
      <c r="E807" s="3" t="n">
        <v>6</v>
      </c>
      <c r="F807" s="3"/>
      <c r="G807" s="3" t="n">
        <v>0</v>
      </c>
      <c r="H807" s="3" t="n">
        <v>650</v>
      </c>
      <c r="I807" s="3" t="s">
        <v>22</v>
      </c>
      <c r="J807" s="3" t="n">
        <v>206</v>
      </c>
      <c r="K807" s="3" t="n">
        <v>0</v>
      </c>
      <c r="L807" s="3" t="n">
        <v>0</v>
      </c>
      <c r="M807" s="3" t="s">
        <v>127</v>
      </c>
      <c r="N807" s="3" t="n">
        <v>33</v>
      </c>
      <c r="O807" s="3" t="n">
        <v>-4.029</v>
      </c>
      <c r="P807" s="3" t="n">
        <v>128.02</v>
      </c>
      <c r="Q807" s="3" t="s">
        <v>1770</v>
      </c>
      <c r="R807" s="3"/>
      <c r="S807" s="3" t="s">
        <v>68</v>
      </c>
      <c r="T807" s="5" t="n">
        <f aca="false">IF(C807="","",DATE(VALUE(MID(C807,7,4)),VALUE(MID(C807,4,2)),VALUE(MID(C807,1,2)))+TIME(VALUE(MID(C807,12,2)),VALUE(MID(C807,15,2)),0))</f>
        <v>36969.2444444444</v>
      </c>
      <c r="U807" s="3" t="str">
        <f aca="false">IFERROR(IF(ISNUMBER(VALUE(TRIM(MID(A807,FIND("-",A807)+1,FIND("km",A807)-FIND("-",A807)-1)))),"Distance + direction + city","Named-region"),"Named-region")</f>
        <v>Distance + direction + city</v>
      </c>
      <c r="V807" s="3" t="str">
        <f aca="false">LOWER(M807)</f>
        <v>mwc</v>
      </c>
      <c r="W807" s="3" t="n">
        <f aca="false">COUNTIFS($A$2:$A$1001,A807,$C$2:$C$1001,C807)</f>
        <v>1</v>
      </c>
      <c r="X807" s="3" t="str">
        <f aca="false">IF(W807&gt;1,"Duplicate","Unique")</f>
        <v>Unique</v>
      </c>
      <c r="Y807" s="3" t="str">
        <f aca="false">IF(B807&lt;6.5,"&lt;6.5",IF(B807&lt;7,"6.5–6.9",IF(B807&lt;7.5,"7.0–7.4",IF(B807&lt;8,"7.5–7.9","8.0+"))))</f>
        <v>6.5–6.9</v>
      </c>
      <c r="Z807" s="3" t="n">
        <f aca="false">IF(T807="","",YEAR(T807))</f>
        <v>2001</v>
      </c>
    </row>
    <row r="808" customFormat="false" ht="13.8" hidden="false" customHeight="false" outlineLevel="0" collapsed="false">
      <c r="A808" s="3" t="s">
        <v>2101</v>
      </c>
      <c r="B808" s="3" t="n">
        <v>6.8</v>
      </c>
      <c r="C808" s="3" t="s">
        <v>2102</v>
      </c>
      <c r="D808" s="3" t="n">
        <v>7</v>
      </c>
      <c r="E808" s="3" t="n">
        <v>7</v>
      </c>
      <c r="F808" s="3"/>
      <c r="G808" s="3" t="n">
        <v>0</v>
      </c>
      <c r="H808" s="3" t="n">
        <v>1441</v>
      </c>
      <c r="I808" s="3" t="s">
        <v>2103</v>
      </c>
      <c r="J808" s="3" t="n">
        <v>67</v>
      </c>
      <c r="K808" s="3" t="n">
        <v>0</v>
      </c>
      <c r="L808" s="3" t="n">
        <v>31</v>
      </c>
      <c r="M808" s="3" t="s">
        <v>1732</v>
      </c>
      <c r="N808" s="3" t="n">
        <v>51.798</v>
      </c>
      <c r="O808" s="3" t="n">
        <v>47.149</v>
      </c>
      <c r="P808" s="3" t="n">
        <v>-122.727</v>
      </c>
      <c r="Q808" s="3" t="s">
        <v>2104</v>
      </c>
      <c r="R808" s="3" t="s">
        <v>164</v>
      </c>
      <c r="S808" s="3" t="s">
        <v>261</v>
      </c>
      <c r="T808" s="5" t="n">
        <f aca="false">IF(C808="","",DATE(VALUE(MID(C808,7,4)),VALUE(MID(C808,4,2)),VALUE(MID(C808,1,2)))+TIME(VALUE(MID(C808,12,2)),VALUE(MID(C808,15,2)),0))</f>
        <v>36950.7875</v>
      </c>
      <c r="U808" s="3" t="str">
        <f aca="false">IFERROR(IF(ISNUMBER(VALUE(TRIM(MID(A808,FIND("-",A808)+1,FIND("km",A808)-FIND("-",A808)-1)))),"Distance + direction + city","Named-region"),"Named-region")</f>
        <v>Distance + direction + city</v>
      </c>
      <c r="V808" s="3" t="str">
        <f aca="false">LOWER(M808)</f>
        <v>md</v>
      </c>
      <c r="W808" s="3" t="n">
        <f aca="false">COUNTIFS($A$2:$A$1001,A808,$C$2:$C$1001,C808)</f>
        <v>1</v>
      </c>
      <c r="X808" s="3" t="str">
        <f aca="false">IF(W808&gt;1,"Duplicate","Unique")</f>
        <v>Unique</v>
      </c>
      <c r="Y808" s="3" t="str">
        <f aca="false">IF(B808&lt;6.5,"&lt;6.5",IF(B808&lt;7,"6.5–6.9",IF(B808&lt;7.5,"7.0–7.4",IF(B808&lt;8,"7.5–7.9","8.0+"))))</f>
        <v>6.5–6.9</v>
      </c>
      <c r="Z808" s="3" t="n">
        <f aca="false">IF(T808="","",YEAR(T808))</f>
        <v>2001</v>
      </c>
    </row>
    <row r="809" customFormat="false" ht="13.8" hidden="false" customHeight="false" outlineLevel="0" collapsed="false">
      <c r="A809" s="3" t="s">
        <v>2105</v>
      </c>
      <c r="B809" s="3" t="n">
        <v>7.1</v>
      </c>
      <c r="C809" s="3" t="s">
        <v>2106</v>
      </c>
      <c r="D809" s="3" t="n">
        <v>0</v>
      </c>
      <c r="E809" s="3" t="n">
        <v>7</v>
      </c>
      <c r="F809" s="3"/>
      <c r="G809" s="3" t="n">
        <v>0</v>
      </c>
      <c r="H809" s="3" t="n">
        <v>776</v>
      </c>
      <c r="I809" s="3" t="s">
        <v>22</v>
      </c>
      <c r="J809" s="3" t="n">
        <v>426</v>
      </c>
      <c r="K809" s="3" t="n">
        <v>0</v>
      </c>
      <c r="L809" s="3" t="n">
        <v>0</v>
      </c>
      <c r="M809" s="3" t="s">
        <v>127</v>
      </c>
      <c r="N809" s="3" t="n">
        <v>35</v>
      </c>
      <c r="O809" s="3" t="n">
        <v>1.271</v>
      </c>
      <c r="P809" s="3" t="n">
        <v>126.249</v>
      </c>
      <c r="Q809" s="3" t="s">
        <v>1002</v>
      </c>
      <c r="R809" s="3"/>
      <c r="S809" s="3" t="s">
        <v>68</v>
      </c>
      <c r="T809" s="5" t="n">
        <f aca="false">IF(C809="","",DATE(VALUE(MID(C809,7,4)),VALUE(MID(C809,4,2)),VALUE(MID(C809,1,2)))+TIME(VALUE(MID(C809,12,2)),VALUE(MID(C809,15,2)),0))</f>
        <v>36946.3076388889</v>
      </c>
      <c r="U809" s="3" t="str">
        <f aca="false">IFERROR(IF(ISNUMBER(VALUE(TRIM(MID(A809,FIND("-",A809)+1,FIND("km",A809)-FIND("-",A809)-1)))),"Distance + direction + city","Named-region"),"Named-region")</f>
        <v>Distance + direction + city</v>
      </c>
      <c r="V809" s="3" t="str">
        <f aca="false">LOWER(M809)</f>
        <v>mwc</v>
      </c>
      <c r="W809" s="3" t="n">
        <f aca="false">COUNTIFS($A$2:$A$1001,A809,$C$2:$C$1001,C809)</f>
        <v>1</v>
      </c>
      <c r="X809" s="3" t="str">
        <f aca="false">IF(W809&gt;1,"Duplicate","Unique")</f>
        <v>Unique</v>
      </c>
      <c r="Y809" s="3" t="str">
        <f aca="false">IF(B809&lt;6.5,"&lt;6.5",IF(B809&lt;7,"6.5–6.9",IF(B809&lt;7.5,"7.0–7.4",IF(B809&lt;8,"7.5–7.9","8.0+"))))</f>
        <v>7.0–7.4</v>
      </c>
      <c r="Z809" s="3" t="n">
        <f aca="false">IF(T809="","",YEAR(T809))</f>
        <v>2001</v>
      </c>
    </row>
    <row r="810" customFormat="false" ht="13.8" hidden="false" customHeight="false" outlineLevel="0" collapsed="false">
      <c r="A810" s="3" t="s">
        <v>2107</v>
      </c>
      <c r="B810" s="3" t="n">
        <v>7.4</v>
      </c>
      <c r="C810" s="3" t="s">
        <v>2108</v>
      </c>
      <c r="D810" s="3" t="n">
        <v>0</v>
      </c>
      <c r="E810" s="3" t="n">
        <v>6</v>
      </c>
      <c r="F810" s="3"/>
      <c r="G810" s="3" t="n">
        <v>0</v>
      </c>
      <c r="H810" s="3" t="n">
        <v>842</v>
      </c>
      <c r="I810" s="3" t="s">
        <v>22</v>
      </c>
      <c r="J810" s="3" t="n">
        <v>221</v>
      </c>
      <c r="K810" s="3" t="n">
        <v>0</v>
      </c>
      <c r="L810" s="3" t="n">
        <v>0</v>
      </c>
      <c r="M810" s="3" t="s">
        <v>127</v>
      </c>
      <c r="N810" s="3" t="n">
        <v>36</v>
      </c>
      <c r="O810" s="3" t="n">
        <v>-4.68</v>
      </c>
      <c r="P810" s="3" t="n">
        <v>102.562</v>
      </c>
      <c r="Q810" s="3" t="s">
        <v>143</v>
      </c>
      <c r="R810" s="3"/>
      <c r="S810" s="3" t="s">
        <v>68</v>
      </c>
      <c r="T810" s="5" t="n">
        <f aca="false">IF(C810="","",DATE(VALUE(MID(C810,7,4)),VALUE(MID(C810,4,2)),VALUE(MID(C810,1,2)))+TIME(VALUE(MID(C810,12,2)),VALUE(MID(C810,15,2)),0))</f>
        <v>36935.8111111111</v>
      </c>
      <c r="U810" s="3" t="str">
        <f aca="false">IFERROR(IF(ISNUMBER(VALUE(TRIM(MID(A810,FIND("-",A810)+1,FIND("km",A810)-FIND("-",A810)-1)))),"Distance + direction + city","Named-region"),"Named-region")</f>
        <v>Distance + direction + city</v>
      </c>
      <c r="V810" s="3" t="str">
        <f aca="false">LOWER(M810)</f>
        <v>mwc</v>
      </c>
      <c r="W810" s="3" t="n">
        <f aca="false">COUNTIFS($A$2:$A$1001,A810,$C$2:$C$1001,C810)</f>
        <v>1</v>
      </c>
      <c r="X810" s="3" t="str">
        <f aca="false">IF(W810&gt;1,"Duplicate","Unique")</f>
        <v>Unique</v>
      </c>
      <c r="Y810" s="3" t="str">
        <f aca="false">IF(B810&lt;6.5,"&lt;6.5",IF(B810&lt;7,"6.5–6.9",IF(B810&lt;7.5,"7.0–7.4",IF(B810&lt;8,"7.5–7.9","8.0+"))))</f>
        <v>7.0–7.4</v>
      </c>
      <c r="Z810" s="3" t="n">
        <f aca="false">IF(T810="","",YEAR(T810))</f>
        <v>2001</v>
      </c>
    </row>
    <row r="811" customFormat="false" ht="13.8" hidden="false" customHeight="false" outlineLevel="0" collapsed="false">
      <c r="A811" s="3" t="s">
        <v>2109</v>
      </c>
      <c r="B811" s="3" t="n">
        <v>6.6</v>
      </c>
      <c r="C811" s="3" t="s">
        <v>2110</v>
      </c>
      <c r="D811" s="3" t="n">
        <v>0</v>
      </c>
      <c r="E811" s="3" t="n">
        <v>8</v>
      </c>
      <c r="F811" s="3"/>
      <c r="G811" s="3" t="n">
        <v>0</v>
      </c>
      <c r="H811" s="3" t="n">
        <v>670</v>
      </c>
      <c r="I811" s="3" t="s">
        <v>22</v>
      </c>
      <c r="J811" s="3" t="n">
        <v>273</v>
      </c>
      <c r="K811" s="3" t="n">
        <v>0</v>
      </c>
      <c r="L811" s="3" t="n">
        <v>0</v>
      </c>
      <c r="M811" s="3" t="s">
        <v>127</v>
      </c>
      <c r="N811" s="3" t="n">
        <v>10</v>
      </c>
      <c r="O811" s="3" t="n">
        <v>13.671</v>
      </c>
      <c r="P811" s="3" t="n">
        <v>-88.938</v>
      </c>
      <c r="Q811" s="3" t="s">
        <v>2111</v>
      </c>
      <c r="R811" s="3"/>
      <c r="S811" s="3" t="s">
        <v>2112</v>
      </c>
      <c r="T811" s="5" t="n">
        <f aca="false">IF(C811="","",DATE(VALUE(MID(C811,7,4)),VALUE(MID(C811,4,2)),VALUE(MID(C811,1,2)))+TIME(VALUE(MID(C811,12,2)),VALUE(MID(C811,15,2)),0))</f>
        <v>36935.5986111111</v>
      </c>
      <c r="U811" s="3" t="str">
        <f aca="false">IFERROR(IF(ISNUMBER(VALUE(TRIM(MID(A811,FIND("-",A811)+1,FIND("km",A811)-FIND("-",A811)-1)))),"Distance + direction + city","Named-region"),"Named-region")</f>
        <v>Distance + direction + city</v>
      </c>
      <c r="V811" s="3" t="str">
        <f aca="false">LOWER(M811)</f>
        <v>mwc</v>
      </c>
      <c r="W811" s="3" t="n">
        <f aca="false">COUNTIFS($A$2:$A$1001,A811,$C$2:$C$1001,C811)</f>
        <v>1</v>
      </c>
      <c r="X811" s="3" t="str">
        <f aca="false">IF(W811&gt;1,"Duplicate","Unique")</f>
        <v>Unique</v>
      </c>
      <c r="Y811" s="3" t="str">
        <f aca="false">IF(B811&lt;6.5,"&lt;6.5",IF(B811&lt;7,"6.5–6.9",IF(B811&lt;7.5,"7.0–7.4",IF(B811&lt;8,"7.5–7.9","8.0+"))))</f>
        <v>6.5–6.9</v>
      </c>
      <c r="Z811" s="3" t="n">
        <f aca="false">IF(T811="","",YEAR(T811))</f>
        <v>2001</v>
      </c>
    </row>
    <row r="812" customFormat="false" ht="13.8" hidden="false" customHeight="false" outlineLevel="0" collapsed="false">
      <c r="A812" s="3" t="s">
        <v>2113</v>
      </c>
      <c r="B812" s="3" t="n">
        <v>7.7</v>
      </c>
      <c r="C812" s="3" t="s">
        <v>2114</v>
      </c>
      <c r="D812" s="3" t="n">
        <v>0</v>
      </c>
      <c r="E812" s="3" t="n">
        <v>9</v>
      </c>
      <c r="F812" s="3"/>
      <c r="G812" s="3" t="n">
        <v>0</v>
      </c>
      <c r="H812" s="3" t="n">
        <v>912</v>
      </c>
      <c r="I812" s="3" t="s">
        <v>22</v>
      </c>
      <c r="J812" s="3" t="n">
        <v>472</v>
      </c>
      <c r="K812" s="3" t="n">
        <v>0</v>
      </c>
      <c r="L812" s="3" t="n">
        <v>0</v>
      </c>
      <c r="M812" s="3" t="s">
        <v>127</v>
      </c>
      <c r="N812" s="3" t="n">
        <v>16</v>
      </c>
      <c r="O812" s="3" t="n">
        <v>23.419</v>
      </c>
      <c r="P812" s="3" t="n">
        <v>70.232</v>
      </c>
      <c r="Q812" s="3" t="s">
        <v>2115</v>
      </c>
      <c r="R812" s="3" t="s">
        <v>80</v>
      </c>
      <c r="S812" s="3" t="s">
        <v>860</v>
      </c>
      <c r="T812" s="5" t="n">
        <f aca="false">IF(C812="","",DATE(VALUE(MID(C812,7,4)),VALUE(MID(C812,4,2)),VALUE(MID(C812,1,2)))+TIME(VALUE(MID(C812,12,2)),VALUE(MID(C812,15,2)),0))</f>
        <v>36917.1361111111</v>
      </c>
      <c r="U812" s="3" t="str">
        <f aca="false">IFERROR(IF(ISNUMBER(VALUE(TRIM(MID(A812,FIND("-",A812)+1,FIND("km",A812)-FIND("-",A812)-1)))),"Distance + direction + city","Named-region"),"Named-region")</f>
        <v>Distance + direction + city</v>
      </c>
      <c r="V812" s="3" t="str">
        <f aca="false">LOWER(M812)</f>
        <v>mwc</v>
      </c>
      <c r="W812" s="3" t="n">
        <f aca="false">COUNTIFS($A$2:$A$1001,A812,$C$2:$C$1001,C812)</f>
        <v>1</v>
      </c>
      <c r="X812" s="3" t="str">
        <f aca="false">IF(W812&gt;1,"Duplicate","Unique")</f>
        <v>Unique</v>
      </c>
      <c r="Y812" s="3" t="str">
        <f aca="false">IF(B812&lt;6.5,"&lt;6.5",IF(B812&lt;7,"6.5–6.9",IF(B812&lt;7.5,"7.0–7.4",IF(B812&lt;8,"7.5–7.9","8.0+"))))</f>
        <v>7.5–7.9</v>
      </c>
      <c r="Z812" s="3" t="n">
        <f aca="false">IF(T812="","",YEAR(T812))</f>
        <v>2001</v>
      </c>
    </row>
    <row r="813" customFormat="false" ht="13.8" hidden="false" customHeight="false" outlineLevel="0" collapsed="false">
      <c r="A813" s="3" t="s">
        <v>2116</v>
      </c>
      <c r="B813" s="3" t="n">
        <v>6.9</v>
      </c>
      <c r="C813" s="3" t="s">
        <v>2117</v>
      </c>
      <c r="D813" s="3" t="n">
        <v>0</v>
      </c>
      <c r="E813" s="3" t="n">
        <v>6</v>
      </c>
      <c r="F813" s="3"/>
      <c r="G813" s="3" t="n">
        <v>0</v>
      </c>
      <c r="H813" s="3" t="n">
        <v>732</v>
      </c>
      <c r="I813" s="3" t="s">
        <v>22</v>
      </c>
      <c r="J813" s="3" t="n">
        <v>117</v>
      </c>
      <c r="K813" s="3" t="n">
        <v>0</v>
      </c>
      <c r="L813" s="3" t="n">
        <v>0</v>
      </c>
      <c r="M813" s="3" t="s">
        <v>154</v>
      </c>
      <c r="N813" s="3" t="n">
        <v>28</v>
      </c>
      <c r="O813" s="3" t="n">
        <v>-4.022</v>
      </c>
      <c r="P813" s="3" t="n">
        <v>101.776</v>
      </c>
      <c r="Q813" s="3" t="s">
        <v>143</v>
      </c>
      <c r="R813" s="3"/>
      <c r="S813" s="3" t="s">
        <v>68</v>
      </c>
      <c r="T813" s="5" t="n">
        <f aca="false">IF(C813="","",DATE(VALUE(MID(C813,7,4)),VALUE(MID(C813,4,2)),VALUE(MID(C813,1,2)))+TIME(VALUE(MID(C813,12,2)),VALUE(MID(C813,15,2)),0))</f>
        <v>36907.5590277778</v>
      </c>
      <c r="U813" s="3" t="str">
        <f aca="false">IFERROR(IF(ISNUMBER(VALUE(TRIM(MID(A813,FIND("-",A813)+1,FIND("km",A813)-FIND("-",A813)-1)))),"Distance + direction + city","Named-region"),"Named-region")</f>
        <v>Distance + direction + city</v>
      </c>
      <c r="V813" s="3" t="str">
        <f aca="false">LOWER(M813)</f>
        <v>mwb</v>
      </c>
      <c r="W813" s="3" t="n">
        <f aca="false">COUNTIFS($A$2:$A$1001,A813,$C$2:$C$1001,C813)</f>
        <v>1</v>
      </c>
      <c r="X813" s="3" t="str">
        <f aca="false">IF(W813&gt;1,"Duplicate","Unique")</f>
        <v>Unique</v>
      </c>
      <c r="Y813" s="3" t="str">
        <f aca="false">IF(B813&lt;6.5,"&lt;6.5",IF(B813&lt;7,"6.5–6.9",IF(B813&lt;7.5,"7.0–7.4",IF(B813&lt;8,"7.5–7.9","8.0+"))))</f>
        <v>6.5–6.9</v>
      </c>
      <c r="Z813" s="3" t="n">
        <f aca="false">IF(T813="","",YEAR(T813))</f>
        <v>2001</v>
      </c>
    </row>
    <row r="814" customFormat="false" ht="13.8" hidden="false" customHeight="false" outlineLevel="0" collapsed="false">
      <c r="A814" s="3" t="s">
        <v>2118</v>
      </c>
      <c r="B814" s="3" t="n">
        <v>7.7</v>
      </c>
      <c r="C814" s="3" t="s">
        <v>2119</v>
      </c>
      <c r="D814" s="3" t="n">
        <v>0</v>
      </c>
      <c r="E814" s="3" t="n">
        <v>8</v>
      </c>
      <c r="F814" s="3"/>
      <c r="G814" s="3" t="n">
        <v>0</v>
      </c>
      <c r="H814" s="3" t="n">
        <v>912</v>
      </c>
      <c r="I814" s="3" t="s">
        <v>22</v>
      </c>
      <c r="J814" s="3" t="n">
        <v>427</v>
      </c>
      <c r="K814" s="3" t="n">
        <v>0</v>
      </c>
      <c r="L814" s="3" t="n">
        <v>0</v>
      </c>
      <c r="M814" s="3" t="s">
        <v>127</v>
      </c>
      <c r="N814" s="3" t="n">
        <v>60</v>
      </c>
      <c r="O814" s="3" t="n">
        <v>13.049</v>
      </c>
      <c r="P814" s="3" t="n">
        <v>-88.66</v>
      </c>
      <c r="Q814" s="3" t="s">
        <v>768</v>
      </c>
      <c r="R814" s="3"/>
      <c r="S814" s="3"/>
      <c r="T814" s="5" t="n">
        <f aca="false">IF(C814="","",DATE(VALUE(MID(C814,7,4)),VALUE(MID(C814,4,2)),VALUE(MID(C814,1,2)))+TIME(VALUE(MID(C814,12,2)),VALUE(MID(C814,15,2)),0))</f>
        <v>36904.73125</v>
      </c>
      <c r="U814" s="3" t="str">
        <f aca="false">IFERROR(IF(ISNUMBER(VALUE(TRIM(MID(A814,FIND("-",A814)+1,FIND("km",A814)-FIND("-",A814)-1)))),"Distance + direction + city","Named-region"),"Named-region")</f>
        <v>Distance + direction + city</v>
      </c>
      <c r="V814" s="3" t="str">
        <f aca="false">LOWER(M814)</f>
        <v>mwc</v>
      </c>
      <c r="W814" s="3" t="n">
        <f aca="false">COUNTIFS($A$2:$A$1001,A814,$C$2:$C$1001,C814)</f>
        <v>1</v>
      </c>
      <c r="X814" s="3" t="str">
        <f aca="false">IF(W814&gt;1,"Duplicate","Unique")</f>
        <v>Unique</v>
      </c>
      <c r="Y814" s="3" t="str">
        <f aca="false">IF(B814&lt;6.5,"&lt;6.5",IF(B814&lt;7,"6.5–6.9",IF(B814&lt;7.5,"7.0–7.4",IF(B814&lt;8,"7.5–7.9","8.0+"))))</f>
        <v>7.5–7.9</v>
      </c>
      <c r="Z814" s="3" t="n">
        <f aca="false">IF(T814="","",YEAR(T814))</f>
        <v>2001</v>
      </c>
    </row>
    <row r="815" customFormat="false" ht="13.8" hidden="false" customHeight="false" outlineLevel="0" collapsed="false">
      <c r="A815" s="3" t="s">
        <v>2120</v>
      </c>
      <c r="B815" s="3" t="n">
        <v>6.9</v>
      </c>
      <c r="C815" s="6" t="s">
        <v>2121</v>
      </c>
      <c r="D815" s="3" t="n">
        <v>5</v>
      </c>
      <c r="E815" s="3" t="n">
        <v>7</v>
      </c>
      <c r="F815" s="3"/>
      <c r="G815" s="3" t="n">
        <v>0</v>
      </c>
      <c r="H815" s="3" t="n">
        <v>745</v>
      </c>
      <c r="I815" s="3" t="s">
        <v>259</v>
      </c>
      <c r="J815" s="3" t="n">
        <v>0</v>
      </c>
      <c r="K815" s="3" t="n">
        <v>0</v>
      </c>
      <c r="L815" s="3" t="n">
        <v>0</v>
      </c>
      <c r="M815" s="3" t="s">
        <v>485</v>
      </c>
      <c r="N815" s="3" t="n">
        <v>36.4</v>
      </c>
      <c r="O815" s="3" t="n">
        <v>56.7744</v>
      </c>
      <c r="P815" s="3" t="n">
        <v>-153.281</v>
      </c>
      <c r="Q815" s="3" t="s">
        <v>2122</v>
      </c>
      <c r="R815" s="3" t="s">
        <v>164</v>
      </c>
      <c r="S815" s="3"/>
      <c r="T815" s="5" t="n">
        <f aca="false">IF(C815="","",DATE(VALUE(MID(C815,7,4)),VALUE(MID(C815,4,2)),VALUE(MID(C815,1,2)))+TIME(VALUE(MID(C815,12,2)),VALUE(MID(C815,15,2)),0))</f>
        <v>36901.6680555556</v>
      </c>
      <c r="U815" s="3" t="str">
        <f aca="false">IFERROR(IF(ISNUMBER(VALUE(TRIM(MID(A815,FIND("-",A815)+1,FIND("km",A815)-FIND("-",A815)-1)))),"Distance + direction + city","Named-region"),"Named-region")</f>
        <v>Distance + direction + city</v>
      </c>
      <c r="V815" s="3" t="str">
        <f aca="false">LOWER(M815)</f>
        <v>mw</v>
      </c>
      <c r="W815" s="3" t="n">
        <f aca="false">COUNTIFS($A$2:$A$1001,A815,$C$2:$C$1001,C815)</f>
        <v>1</v>
      </c>
      <c r="X815" s="3" t="str">
        <f aca="false">IF(W815&gt;1,"Duplicate","Unique")</f>
        <v>Unique</v>
      </c>
      <c r="Y815" s="3" t="str">
        <f aca="false">IF(B815&lt;6.5,"&lt;6.5",IF(B815&lt;7,"6.5–6.9",IF(B815&lt;7.5,"7.0–7.4",IF(B815&lt;8,"7.5–7.9","8.0+"))))</f>
        <v>6.5–6.9</v>
      </c>
      <c r="Z815" s="3" t="n">
        <f aca="false">IF(T815="","",YEAR(T815))</f>
        <v>2001</v>
      </c>
    </row>
    <row r="816" customFormat="false" ht="13.8" hidden="false" customHeight="false" outlineLevel="0" collapsed="false">
      <c r="A816" s="3" t="s">
        <v>2123</v>
      </c>
      <c r="B816" s="3" t="n">
        <v>7.1</v>
      </c>
      <c r="C816" s="6" t="s">
        <v>2124</v>
      </c>
      <c r="D816" s="3" t="n">
        <v>0</v>
      </c>
      <c r="E816" s="3" t="n">
        <v>7</v>
      </c>
      <c r="F816" s="3"/>
      <c r="G816" s="3" t="n">
        <v>0</v>
      </c>
      <c r="H816" s="3" t="n">
        <v>776</v>
      </c>
      <c r="I816" s="3" t="s">
        <v>22</v>
      </c>
      <c r="J816" s="3" t="n">
        <v>372</v>
      </c>
      <c r="K816" s="3" t="n">
        <v>0</v>
      </c>
      <c r="L816" s="3" t="n">
        <v>0</v>
      </c>
      <c r="M816" s="3" t="s">
        <v>154</v>
      </c>
      <c r="N816" s="3" t="n">
        <v>103</v>
      </c>
      <c r="O816" s="3" t="n">
        <v>-14.928</v>
      </c>
      <c r="P816" s="3" t="n">
        <v>167.17</v>
      </c>
      <c r="Q816" s="3" t="s">
        <v>104</v>
      </c>
      <c r="R816" s="3"/>
      <c r="S816" s="3" t="s">
        <v>25</v>
      </c>
      <c r="T816" s="5" t="n">
        <f aca="false">IF(C816="","",DATE(VALUE(MID(C816,7,4)),VALUE(MID(C816,4,2)),VALUE(MID(C816,1,2)))+TIME(VALUE(MID(C816,12,2)),VALUE(MID(C816,15,2)),0))</f>
        <v>36900.7006944444</v>
      </c>
      <c r="U816" s="3" t="str">
        <f aca="false">IFERROR(IF(ISNUMBER(VALUE(TRIM(MID(A816,FIND("-",A816)+1,FIND("km",A816)-FIND("-",A816)-1)))),"Distance + direction + city","Named-region"),"Named-region")</f>
        <v>Distance + direction + city</v>
      </c>
      <c r="V816" s="3" t="str">
        <f aca="false">LOWER(M816)</f>
        <v>mwb</v>
      </c>
      <c r="W816" s="3" t="n">
        <f aca="false">COUNTIFS($A$2:$A$1001,A816,$C$2:$C$1001,C816)</f>
        <v>1</v>
      </c>
      <c r="X816" s="3" t="str">
        <f aca="false">IF(W816&gt;1,"Duplicate","Unique")</f>
        <v>Unique</v>
      </c>
      <c r="Y816" s="3" t="str">
        <f aca="false">IF(B816&lt;6.5,"&lt;6.5",IF(B816&lt;7,"6.5–6.9",IF(B816&lt;7.5,"7.0–7.4",IF(B816&lt;8,"7.5–7.9","8.0+"))))</f>
        <v>7.0–7.4</v>
      </c>
      <c r="Z816" s="3" t="n">
        <f aca="false">IF(T816="","",YEAR(T816))</f>
        <v>2001</v>
      </c>
    </row>
    <row r="817" customFormat="false" ht="13.8" hidden="false" customHeight="false" outlineLevel="0" collapsed="false">
      <c r="A817" s="3" t="s">
        <v>2125</v>
      </c>
      <c r="B817" s="3" t="n">
        <v>6.8</v>
      </c>
      <c r="C817" s="6" t="s">
        <v>2126</v>
      </c>
      <c r="D817" s="3" t="n">
        <v>0</v>
      </c>
      <c r="E817" s="3" t="n">
        <v>5</v>
      </c>
      <c r="F817" s="3"/>
      <c r="G817" s="3" t="n">
        <v>0</v>
      </c>
      <c r="H817" s="3" t="n">
        <v>711</v>
      </c>
      <c r="I817" s="3" t="s">
        <v>22</v>
      </c>
      <c r="J817" s="3" t="n">
        <v>64</v>
      </c>
      <c r="K817" s="3" t="n">
        <v>0</v>
      </c>
      <c r="L817" s="3" t="n">
        <v>0</v>
      </c>
      <c r="M817" s="3" t="s">
        <v>127</v>
      </c>
      <c r="N817" s="3" t="n">
        <v>33</v>
      </c>
      <c r="O817" s="3" t="n">
        <v>6.631</v>
      </c>
      <c r="P817" s="3" t="n">
        <v>126.899</v>
      </c>
      <c r="Q817" s="3" t="s">
        <v>2043</v>
      </c>
      <c r="R817" s="3"/>
      <c r="S817" s="3"/>
      <c r="T817" s="5" t="n">
        <f aca="false">IF(C817="","",DATE(VALUE(MID(C817,7,4)),VALUE(MID(C817,4,2)),VALUE(MID(C817,1,2)))+TIME(VALUE(MID(C817,12,2)),VALUE(MID(C817,15,2)),0))</f>
        <v>36892.3708333333</v>
      </c>
      <c r="U817" s="3" t="str">
        <f aca="false">IFERROR(IF(ISNUMBER(VALUE(TRIM(MID(A817,FIND("-",A817)+1,FIND("km",A817)-FIND("-",A817)-1)))),"Distance + direction + city","Named-region"),"Named-region")</f>
        <v>Named-region</v>
      </c>
      <c r="V817" s="3" t="str">
        <f aca="false">LOWER(M817)</f>
        <v>mwc</v>
      </c>
      <c r="W817" s="3" t="n">
        <f aca="false">COUNTIFS($A$2:$A$1001,A817,$C$2:$C$1001,C817)</f>
        <v>1</v>
      </c>
      <c r="X817" s="3" t="str">
        <f aca="false">IF(W817&gt;1,"Duplicate","Unique")</f>
        <v>Unique</v>
      </c>
      <c r="Y817" s="3" t="str">
        <f aca="false">IF(B817&lt;6.5,"&lt;6.5",IF(B817&lt;7,"6.5–6.9",IF(B817&lt;7.5,"7.0–7.4",IF(B817&lt;8,"7.5–7.9","8.0+"))))</f>
        <v>6.5–6.9</v>
      </c>
      <c r="Z817" s="3" t="n">
        <f aca="false">IF(T817="","",YEAR(T817))</f>
        <v>2001</v>
      </c>
    </row>
    <row r="818" customFormat="false" ht="13.8" hidden="false" customHeight="false" outlineLevel="0" collapsed="false">
      <c r="A818" s="3" t="s">
        <v>2127</v>
      </c>
      <c r="B818" s="3" t="n">
        <v>7.5</v>
      </c>
      <c r="C818" s="6" t="s">
        <v>2128</v>
      </c>
      <c r="D818" s="3" t="n">
        <v>0</v>
      </c>
      <c r="E818" s="3" t="n">
        <v>7</v>
      </c>
      <c r="F818" s="3"/>
      <c r="G818" s="3" t="n">
        <v>0</v>
      </c>
      <c r="H818" s="3" t="n">
        <v>865</v>
      </c>
      <c r="I818" s="3" t="s">
        <v>22</v>
      </c>
      <c r="J818" s="3" t="n">
        <v>324</v>
      </c>
      <c r="K818" s="3" t="n">
        <v>0</v>
      </c>
      <c r="L818" s="3" t="n">
        <v>0</v>
      </c>
      <c r="M818" s="3" t="s">
        <v>127</v>
      </c>
      <c r="N818" s="3" t="n">
        <v>33</v>
      </c>
      <c r="O818" s="3" t="n">
        <v>6.898</v>
      </c>
      <c r="P818" s="3" t="n">
        <v>126.579</v>
      </c>
      <c r="Q818" s="3" t="s">
        <v>2129</v>
      </c>
      <c r="R818" s="3"/>
      <c r="S818" s="3" t="s">
        <v>191</v>
      </c>
      <c r="T818" s="5" t="n">
        <f aca="false">IF(C818="","",DATE(VALUE(MID(C818,7,4)),VALUE(MID(C818,4,2)),VALUE(MID(C818,1,2)))+TIME(VALUE(MID(C818,12,2)),VALUE(MID(C818,15,2)),0))</f>
        <v>36892.2895833333</v>
      </c>
      <c r="U818" s="3" t="str">
        <f aca="false">IFERROR(IF(ISNUMBER(VALUE(TRIM(MID(A818,FIND("-",A818)+1,FIND("km",A818)-FIND("-",A818)-1)))),"Distance + direction + city","Named-region"),"Named-region")</f>
        <v>Distance + direction + city</v>
      </c>
      <c r="V818" s="3" t="str">
        <f aca="false">LOWER(M818)</f>
        <v>mwc</v>
      </c>
      <c r="W818" s="3" t="n">
        <f aca="false">COUNTIFS($A$2:$A$1001,A818,$C$2:$C$1001,C818)</f>
        <v>1</v>
      </c>
      <c r="X818" s="3" t="str">
        <f aca="false">IF(W818&gt;1,"Duplicate","Unique")</f>
        <v>Unique</v>
      </c>
      <c r="Y818" s="3" t="str">
        <f aca="false">IF(B818&lt;6.5,"&lt;6.5",IF(B818&lt;7,"6.5–6.9",IF(B818&lt;7.5,"7.0–7.4",IF(B818&lt;8,"7.5–7.9","8.0+"))))</f>
        <v>7.5–7.9</v>
      </c>
      <c r="Z818" s="3" t="n">
        <f aca="false">IF(T818="","",YEAR(T818))</f>
        <v>2001</v>
      </c>
    </row>
    <row r="819" customFormat="false" ht="13.8" hidden="false" customHeight="false" outlineLevel="0" collapsed="false">
      <c r="A819" s="3" t="s">
        <v>2130</v>
      </c>
      <c r="B819" s="3" t="n">
        <v>6.5</v>
      </c>
      <c r="C819" s="6" t="s">
        <v>2131</v>
      </c>
      <c r="D819" s="3" t="n">
        <v>0</v>
      </c>
      <c r="E819" s="3" t="n">
        <v>7</v>
      </c>
      <c r="F819" s="3"/>
      <c r="G819" s="3" t="n">
        <v>0</v>
      </c>
      <c r="H819" s="3" t="n">
        <v>650</v>
      </c>
      <c r="I819" s="3" t="s">
        <v>22</v>
      </c>
      <c r="J819" s="3" t="n">
        <v>401</v>
      </c>
      <c r="K819" s="3" t="n">
        <v>0</v>
      </c>
      <c r="L819" s="3" t="n">
        <v>0</v>
      </c>
      <c r="M819" s="3" t="s">
        <v>127</v>
      </c>
      <c r="N819" s="3" t="n">
        <v>31</v>
      </c>
      <c r="O819" s="3" t="n">
        <v>-4.218</v>
      </c>
      <c r="P819" s="3" t="n">
        <v>152.725</v>
      </c>
      <c r="Q819" s="3" t="s">
        <v>625</v>
      </c>
      <c r="R819" s="3"/>
      <c r="S819" s="3" t="s">
        <v>85</v>
      </c>
      <c r="T819" s="5" t="n">
        <f aca="false">IF(C819="","",DATE(VALUE(MID(C819,7,4)),VALUE(MID(C819,4,2)),VALUE(MID(C819,1,2)))+TIME(VALUE(MID(C819,12,2)),VALUE(MID(C819,15,2)),0))</f>
        <v>36866.95625</v>
      </c>
      <c r="U819" s="3" t="str">
        <f aca="false">IFERROR(IF(ISNUMBER(VALUE(TRIM(MID(A819,FIND("-",A819)+1,FIND("km",A819)-FIND("-",A819)-1)))),"Distance + direction + city","Named-region"),"Named-region")</f>
        <v>Distance + direction + city</v>
      </c>
      <c r="V819" s="3" t="str">
        <f aca="false">LOWER(M819)</f>
        <v>mwc</v>
      </c>
      <c r="W819" s="3" t="n">
        <f aca="false">COUNTIFS($A$2:$A$1001,A819,$C$2:$C$1001,C819)</f>
        <v>1</v>
      </c>
      <c r="X819" s="3" t="str">
        <f aca="false">IF(W819&gt;1,"Duplicate","Unique")</f>
        <v>Unique</v>
      </c>
      <c r="Y819" s="3" t="str">
        <f aca="false">IF(B819&lt;6.5,"&lt;6.5",IF(B819&lt;7,"6.5–6.9",IF(B819&lt;7.5,"7.0–7.4",IF(B819&lt;8,"7.5–7.9","8.0+"))))</f>
        <v>6.5–6.9</v>
      </c>
      <c r="Z819" s="3" t="n">
        <f aca="false">IF(T819="","",YEAR(T819))</f>
        <v>2000</v>
      </c>
    </row>
    <row r="820" customFormat="false" ht="13.8" hidden="false" customHeight="false" outlineLevel="0" collapsed="false">
      <c r="A820" s="3" t="s">
        <v>2132</v>
      </c>
      <c r="B820" s="3" t="n">
        <v>7</v>
      </c>
      <c r="C820" s="6" t="s">
        <v>2133</v>
      </c>
      <c r="D820" s="3" t="n">
        <v>0</v>
      </c>
      <c r="E820" s="3" t="n">
        <v>7</v>
      </c>
      <c r="F820" s="3"/>
      <c r="G820" s="3" t="n">
        <v>0</v>
      </c>
      <c r="H820" s="3" t="n">
        <v>754</v>
      </c>
      <c r="I820" s="3" t="s">
        <v>22</v>
      </c>
      <c r="J820" s="3" t="n">
        <v>495</v>
      </c>
      <c r="K820" s="3" t="n">
        <v>0</v>
      </c>
      <c r="L820" s="3" t="n">
        <v>0</v>
      </c>
      <c r="M820" s="3" t="s">
        <v>127</v>
      </c>
      <c r="N820" s="3" t="n">
        <v>30</v>
      </c>
      <c r="O820" s="3" t="n">
        <v>39.566</v>
      </c>
      <c r="P820" s="3" t="n">
        <v>54.799</v>
      </c>
      <c r="Q820" s="3" t="s">
        <v>2134</v>
      </c>
      <c r="R820" s="3" t="s">
        <v>80</v>
      </c>
      <c r="S820" s="3" t="s">
        <v>2135</v>
      </c>
      <c r="T820" s="5" t="n">
        <f aca="false">IF(C820="","",DATE(VALUE(MID(C820,7,4)),VALUE(MID(C820,4,2)),VALUE(MID(C820,1,2)))+TIME(VALUE(MID(C820,12,2)),VALUE(MID(C820,15,2)),0))</f>
        <v>36866.7159722222</v>
      </c>
      <c r="U820" s="3" t="str">
        <f aca="false">IFERROR(IF(ISNUMBER(VALUE(TRIM(MID(A820,FIND("-",A820)+1,FIND("km",A820)-FIND("-",A820)-1)))),"Distance + direction + city","Named-region"),"Named-region")</f>
        <v>Distance + direction + city</v>
      </c>
      <c r="V820" s="3" t="str">
        <f aca="false">LOWER(M820)</f>
        <v>mwc</v>
      </c>
      <c r="W820" s="3" t="n">
        <f aca="false">COUNTIFS($A$2:$A$1001,A820,$C$2:$C$1001,C820)</f>
        <v>1</v>
      </c>
      <c r="X820" s="3" t="str">
        <f aca="false">IF(W820&gt;1,"Duplicate","Unique")</f>
        <v>Unique</v>
      </c>
      <c r="Y820" s="3" t="str">
        <f aca="false">IF(B820&lt;6.5,"&lt;6.5",IF(B820&lt;7,"6.5–6.9",IF(B820&lt;7.5,"7.0–7.4",IF(B820&lt;8,"7.5–7.9","8.0+"))))</f>
        <v>7.0–7.4</v>
      </c>
      <c r="Z820" s="3" t="n">
        <f aca="false">IF(T820="","",YEAR(T820))</f>
        <v>2000</v>
      </c>
    </row>
    <row r="821" customFormat="false" ht="13.8" hidden="false" customHeight="false" outlineLevel="0" collapsed="false">
      <c r="A821" s="3" t="s">
        <v>2136</v>
      </c>
      <c r="B821" s="3" t="n">
        <v>6.5</v>
      </c>
      <c r="C821" s="3" t="s">
        <v>2137</v>
      </c>
      <c r="D821" s="3" t="n">
        <v>0</v>
      </c>
      <c r="E821" s="3" t="n">
        <v>6</v>
      </c>
      <c r="F821" s="3"/>
      <c r="G821" s="3" t="n">
        <v>0</v>
      </c>
      <c r="H821" s="3" t="n">
        <v>650</v>
      </c>
      <c r="I821" s="3" t="s">
        <v>22</v>
      </c>
      <c r="J821" s="3" t="n">
        <v>268</v>
      </c>
      <c r="K821" s="3" t="n">
        <v>0</v>
      </c>
      <c r="L821" s="3" t="n">
        <v>0</v>
      </c>
      <c r="M821" s="3" t="s">
        <v>127</v>
      </c>
      <c r="N821" s="3" t="n">
        <v>33</v>
      </c>
      <c r="O821" s="3" t="n">
        <v>40.167</v>
      </c>
      <c r="P821" s="3" t="n">
        <v>49.954</v>
      </c>
      <c r="Q821" s="3" t="s">
        <v>2138</v>
      </c>
      <c r="R821" s="3" t="s">
        <v>80</v>
      </c>
      <c r="S821" s="3" t="s">
        <v>2139</v>
      </c>
      <c r="T821" s="5" t="n">
        <f aca="false">IF(C821="","",DATE(VALUE(MID(C821,7,4)),VALUE(MID(C821,4,2)),VALUE(MID(C821,1,2)))+TIME(VALUE(MID(C821,12,2)),VALUE(MID(C821,15,2)),0))</f>
        <v>36855.7569444444</v>
      </c>
      <c r="U821" s="3" t="str">
        <f aca="false">IFERROR(IF(ISNUMBER(VALUE(TRIM(MID(A821,FIND("-",A821)+1,FIND("km",A821)-FIND("-",A821)-1)))),"Distance + direction + city","Named-region"),"Named-region")</f>
        <v>Distance + direction + city</v>
      </c>
      <c r="V821" s="3" t="str">
        <f aca="false">LOWER(M821)</f>
        <v>mwc</v>
      </c>
      <c r="W821" s="3" t="n">
        <f aca="false">COUNTIFS($A$2:$A$1001,A821,$C$2:$C$1001,C821)</f>
        <v>1</v>
      </c>
      <c r="X821" s="3" t="str">
        <f aca="false">IF(W821&gt;1,"Duplicate","Unique")</f>
        <v>Unique</v>
      </c>
      <c r="Y821" s="3" t="str">
        <f aca="false">IF(B821&lt;6.5,"&lt;6.5",IF(B821&lt;7,"6.5–6.9",IF(B821&lt;7.5,"7.0–7.4",IF(B821&lt;8,"7.5–7.9","8.0+"))))</f>
        <v>6.5–6.9</v>
      </c>
      <c r="Z821" s="3" t="n">
        <f aca="false">IF(T821="","",YEAR(T821))</f>
        <v>2000</v>
      </c>
    </row>
    <row r="822" customFormat="false" ht="13.8" hidden="false" customHeight="false" outlineLevel="0" collapsed="false">
      <c r="A822" s="3" t="s">
        <v>2140</v>
      </c>
      <c r="B822" s="3" t="n">
        <v>6.8</v>
      </c>
      <c r="C822" s="3" t="s">
        <v>2141</v>
      </c>
      <c r="D822" s="3" t="n">
        <v>0</v>
      </c>
      <c r="E822" s="3" t="n">
        <v>6</v>
      </c>
      <c r="F822" s="3"/>
      <c r="G822" s="3" t="n">
        <v>0</v>
      </c>
      <c r="H822" s="3" t="n">
        <v>711</v>
      </c>
      <c r="I822" s="3" t="s">
        <v>22</v>
      </c>
      <c r="J822" s="3" t="n">
        <v>446</v>
      </c>
      <c r="K822" s="3" t="n">
        <v>0</v>
      </c>
      <c r="L822" s="3" t="n">
        <v>0</v>
      </c>
      <c r="M822" s="3" t="s">
        <v>127</v>
      </c>
      <c r="N822" s="3" t="n">
        <v>50.4</v>
      </c>
      <c r="O822" s="3" t="n">
        <v>40.245</v>
      </c>
      <c r="P822" s="3" t="n">
        <v>49.946</v>
      </c>
      <c r="Q822" s="3" t="s">
        <v>2142</v>
      </c>
      <c r="R822" s="3" t="s">
        <v>80</v>
      </c>
      <c r="S822" s="3" t="s">
        <v>2139</v>
      </c>
      <c r="T822" s="5" t="n">
        <f aca="false">IF(C822="","",DATE(VALUE(MID(C822,7,4)),VALUE(MID(C822,4,2)),VALUE(MID(C822,1,2)))+TIME(VALUE(MID(C822,12,2)),VALUE(MID(C822,15,2)),0))</f>
        <v>36855.75625</v>
      </c>
      <c r="U822" s="3" t="str">
        <f aca="false">IFERROR(IF(ISNUMBER(VALUE(TRIM(MID(A822,FIND("-",A822)+1,FIND("km",A822)-FIND("-",A822)-1)))),"Distance + direction + city","Named-region"),"Named-region")</f>
        <v>Distance + direction + city</v>
      </c>
      <c r="V822" s="3" t="str">
        <f aca="false">LOWER(M822)</f>
        <v>mwc</v>
      </c>
      <c r="W822" s="3" t="n">
        <f aca="false">COUNTIFS($A$2:$A$1001,A822,$C$2:$C$1001,C822)</f>
        <v>1</v>
      </c>
      <c r="X822" s="3" t="str">
        <f aca="false">IF(W822&gt;1,"Duplicate","Unique")</f>
        <v>Unique</v>
      </c>
      <c r="Y822" s="3" t="str">
        <f aca="false">IF(B822&lt;6.5,"&lt;6.5",IF(B822&lt;7,"6.5–6.9",IF(B822&lt;7.5,"7.0–7.4",IF(B822&lt;8,"7.5–7.9","8.0+"))))</f>
        <v>6.5–6.9</v>
      </c>
      <c r="Z822" s="3" t="n">
        <f aca="false">IF(T822="","",YEAR(T822))</f>
        <v>2000</v>
      </c>
    </row>
    <row r="823" customFormat="false" ht="13.8" hidden="false" customHeight="false" outlineLevel="0" collapsed="false">
      <c r="A823" s="3" t="s">
        <v>2143</v>
      </c>
      <c r="B823" s="3" t="n">
        <v>6.8</v>
      </c>
      <c r="C823" s="3" t="s">
        <v>2144</v>
      </c>
      <c r="D823" s="3" t="n">
        <v>0</v>
      </c>
      <c r="E823" s="3" t="n">
        <v>6</v>
      </c>
      <c r="F823" s="3"/>
      <c r="G823" s="3" t="n">
        <v>0</v>
      </c>
      <c r="H823" s="3" t="n">
        <v>711</v>
      </c>
      <c r="I823" s="3" t="s">
        <v>22</v>
      </c>
      <c r="J823" s="3" t="n">
        <v>402</v>
      </c>
      <c r="K823" s="3" t="n">
        <v>0</v>
      </c>
      <c r="L823" s="3" t="n">
        <v>0</v>
      </c>
      <c r="M823" s="3" t="s">
        <v>154</v>
      </c>
      <c r="N823" s="3" t="n">
        <v>33</v>
      </c>
      <c r="O823" s="3" t="n">
        <v>-5.228</v>
      </c>
      <c r="P823" s="3" t="n">
        <v>151.771</v>
      </c>
      <c r="Q823" s="3" t="s">
        <v>625</v>
      </c>
      <c r="R823" s="3"/>
      <c r="S823" s="3" t="s">
        <v>85</v>
      </c>
      <c r="T823" s="5" t="n">
        <f aca="false">IF(C823="","",DATE(VALUE(MID(C823,7,4)),VALUE(MID(C823,4,2)),VALUE(MID(C823,1,2)))+TIME(VALUE(MID(C823,12,2)),VALUE(MID(C823,15,2)),0))</f>
        <v>36848.2875</v>
      </c>
      <c r="U823" s="3" t="str">
        <f aca="false">IFERROR(IF(ISNUMBER(VALUE(TRIM(MID(A823,FIND("-",A823)+1,FIND("km",A823)-FIND("-",A823)-1)))),"Distance + direction + city","Named-region"),"Named-region")</f>
        <v>Distance + direction + city</v>
      </c>
      <c r="V823" s="3" t="str">
        <f aca="false">LOWER(M823)</f>
        <v>mwb</v>
      </c>
      <c r="W823" s="3" t="n">
        <f aca="false">COUNTIFS($A$2:$A$1001,A823,$C$2:$C$1001,C823)</f>
        <v>1</v>
      </c>
      <c r="X823" s="3" t="str">
        <f aca="false">IF(W823&gt;1,"Duplicate","Unique")</f>
        <v>Unique</v>
      </c>
      <c r="Y823" s="3" t="str">
        <f aca="false">IF(B823&lt;6.5,"&lt;6.5",IF(B823&lt;7,"6.5–6.9",IF(B823&lt;7.5,"7.0–7.4",IF(B823&lt;8,"7.5–7.9","8.0+"))))</f>
        <v>6.5–6.9</v>
      </c>
      <c r="Z823" s="3" t="n">
        <f aca="false">IF(T823="","",YEAR(T823))</f>
        <v>2000</v>
      </c>
    </row>
    <row r="824" customFormat="false" ht="13.8" hidden="false" customHeight="false" outlineLevel="0" collapsed="false">
      <c r="A824" s="3" t="s">
        <v>2145</v>
      </c>
      <c r="B824" s="3" t="n">
        <v>6.6</v>
      </c>
      <c r="C824" s="3" t="s">
        <v>2146</v>
      </c>
      <c r="D824" s="3" t="n">
        <v>0</v>
      </c>
      <c r="E824" s="3" t="n">
        <v>6</v>
      </c>
      <c r="F824" s="3"/>
      <c r="G824" s="3" t="n">
        <v>0</v>
      </c>
      <c r="H824" s="3" t="n">
        <v>670</v>
      </c>
      <c r="I824" s="3" t="s">
        <v>22</v>
      </c>
      <c r="J824" s="3" t="n">
        <v>267</v>
      </c>
      <c r="K824" s="3" t="n">
        <v>0</v>
      </c>
      <c r="L824" s="3" t="n">
        <v>0</v>
      </c>
      <c r="M824" s="3" t="s">
        <v>127</v>
      </c>
      <c r="N824" s="3" t="n">
        <v>33</v>
      </c>
      <c r="O824" s="3" t="n">
        <v>-5.097</v>
      </c>
      <c r="P824" s="3" t="n">
        <v>153.181</v>
      </c>
      <c r="Q824" s="3" t="s">
        <v>625</v>
      </c>
      <c r="R824" s="3"/>
      <c r="S824" s="3" t="s">
        <v>85</v>
      </c>
      <c r="T824" s="5" t="n">
        <f aca="false">IF(C824="","",DATE(VALUE(MID(C824,7,4)),VALUE(MID(C824,4,2)),VALUE(MID(C824,1,2)))+TIME(VALUE(MID(C824,12,2)),VALUE(MID(C824,15,2)),0))</f>
        <v>36848.0868055556</v>
      </c>
      <c r="U824" s="3" t="str">
        <f aca="false">IFERROR(IF(ISNUMBER(VALUE(TRIM(MID(A824,FIND("-",A824)+1,FIND("km",A824)-FIND("-",A824)-1)))),"Distance + direction + city","Named-region"),"Named-region")</f>
        <v>Distance + direction + city</v>
      </c>
      <c r="V824" s="3" t="str">
        <f aca="false">LOWER(M824)</f>
        <v>mwc</v>
      </c>
      <c r="W824" s="3" t="n">
        <f aca="false">COUNTIFS($A$2:$A$1001,A824,$C$2:$C$1001,C824)</f>
        <v>1</v>
      </c>
      <c r="X824" s="3" t="str">
        <f aca="false">IF(W824&gt;1,"Duplicate","Unique")</f>
        <v>Unique</v>
      </c>
      <c r="Y824" s="3" t="str">
        <f aca="false">IF(B824&lt;6.5,"&lt;6.5",IF(B824&lt;7,"6.5–6.9",IF(B824&lt;7.5,"7.0–7.4",IF(B824&lt;8,"7.5–7.9","8.0+"))))</f>
        <v>6.5–6.9</v>
      </c>
      <c r="Z824" s="3" t="n">
        <f aca="false">IF(T824="","",YEAR(T824))</f>
        <v>2000</v>
      </c>
    </row>
    <row r="825" customFormat="false" ht="13.8" hidden="false" customHeight="false" outlineLevel="0" collapsed="false">
      <c r="A825" s="3" t="s">
        <v>2147</v>
      </c>
      <c r="B825" s="3" t="n">
        <v>7.8</v>
      </c>
      <c r="C825" s="3" t="s">
        <v>2148</v>
      </c>
      <c r="D825" s="3" t="n">
        <v>0</v>
      </c>
      <c r="E825" s="3" t="n">
        <v>7</v>
      </c>
      <c r="F825" s="3"/>
      <c r="G825" s="3" t="n">
        <v>0</v>
      </c>
      <c r="H825" s="3" t="n">
        <v>936</v>
      </c>
      <c r="I825" s="3" t="s">
        <v>22</v>
      </c>
      <c r="J825" s="3" t="n">
        <v>346</v>
      </c>
      <c r="K825" s="3" t="n">
        <v>0</v>
      </c>
      <c r="L825" s="3" t="n">
        <v>0</v>
      </c>
      <c r="M825" s="3" t="s">
        <v>127</v>
      </c>
      <c r="N825" s="3" t="n">
        <v>33</v>
      </c>
      <c r="O825" s="3" t="n">
        <v>-5.496</v>
      </c>
      <c r="P825" s="3" t="n">
        <v>151.781</v>
      </c>
      <c r="Q825" s="3" t="s">
        <v>625</v>
      </c>
      <c r="R825" s="3"/>
      <c r="S825" s="3" t="s">
        <v>85</v>
      </c>
      <c r="T825" s="5" t="n">
        <f aca="false">IF(C825="","",DATE(VALUE(MID(C825,7,4)),VALUE(MID(C825,4,2)),VALUE(MID(C825,1,2)))+TIME(VALUE(MID(C825,12,2)),VALUE(MID(C825,15,2)),0))</f>
        <v>36847.8756944445</v>
      </c>
      <c r="U825" s="3" t="str">
        <f aca="false">IFERROR(IF(ISNUMBER(VALUE(TRIM(MID(A825,FIND("-",A825)+1,FIND("km",A825)-FIND("-",A825)-1)))),"Distance + direction + city","Named-region"),"Named-region")</f>
        <v>Distance + direction + city</v>
      </c>
      <c r="V825" s="3" t="str">
        <f aca="false">LOWER(M825)</f>
        <v>mwc</v>
      </c>
      <c r="W825" s="3" t="n">
        <f aca="false">COUNTIFS($A$2:$A$1001,A825,$C$2:$C$1001,C825)</f>
        <v>1</v>
      </c>
      <c r="X825" s="3" t="str">
        <f aca="false">IF(W825&gt;1,"Duplicate","Unique")</f>
        <v>Unique</v>
      </c>
      <c r="Y825" s="3" t="str">
        <f aca="false">IF(B825&lt;6.5,"&lt;6.5",IF(B825&lt;7,"6.5–6.9",IF(B825&lt;7.5,"7.0–7.4",IF(B825&lt;8,"7.5–7.9","8.0+"))))</f>
        <v>7.5–7.9</v>
      </c>
      <c r="Z825" s="3" t="n">
        <f aca="false">IF(T825="","",YEAR(T825))</f>
        <v>2000</v>
      </c>
    </row>
    <row r="826" customFormat="false" ht="13.8" hidden="false" customHeight="false" outlineLevel="0" collapsed="false">
      <c r="A826" s="3" t="s">
        <v>2149</v>
      </c>
      <c r="B826" s="3" t="n">
        <v>6.5</v>
      </c>
      <c r="C826" s="3" t="s">
        <v>2150</v>
      </c>
      <c r="D826" s="3" t="n">
        <v>0</v>
      </c>
      <c r="E826" s="3" t="n">
        <v>6</v>
      </c>
      <c r="F826" s="3"/>
      <c r="G826" s="3" t="n">
        <v>0</v>
      </c>
      <c r="H826" s="3" t="n">
        <v>650</v>
      </c>
      <c r="I826" s="3" t="s">
        <v>22</v>
      </c>
      <c r="J826" s="3" t="n">
        <v>71</v>
      </c>
      <c r="K826" s="3" t="n">
        <v>0</v>
      </c>
      <c r="L826" s="3" t="n">
        <v>0</v>
      </c>
      <c r="M826" s="3" t="s">
        <v>1374</v>
      </c>
      <c r="N826" s="3" t="n">
        <v>33</v>
      </c>
      <c r="O826" s="3" t="n">
        <v>-4.827</v>
      </c>
      <c r="P826" s="3" t="n">
        <v>153.226</v>
      </c>
      <c r="Q826" s="3" t="s">
        <v>625</v>
      </c>
      <c r="R826" s="3"/>
      <c r="S826" s="3" t="s">
        <v>85</v>
      </c>
      <c r="T826" s="5" t="n">
        <f aca="false">IF(C826="","",DATE(VALUE(MID(C826,7,4)),VALUE(MID(C826,4,2)),VALUE(MID(C826,1,2)))+TIME(VALUE(MID(C826,12,2)),VALUE(MID(C826,15,2)),0))</f>
        <v>36846.3229166667</v>
      </c>
      <c r="U826" s="3" t="str">
        <f aca="false">IFERROR(IF(ISNUMBER(VALUE(TRIM(MID(A826,FIND("-",A826)+1,FIND("km",A826)-FIND("-",A826)-1)))),"Distance + direction + city","Named-region"),"Named-region")</f>
        <v>Distance + direction + city</v>
      </c>
      <c r="V826" s="3" t="str">
        <f aca="false">LOWER(M826)</f>
        <v>mb</v>
      </c>
      <c r="W826" s="3" t="n">
        <f aca="false">COUNTIFS($A$2:$A$1001,A826,$C$2:$C$1001,C826)</f>
        <v>1</v>
      </c>
      <c r="X826" s="3" t="str">
        <f aca="false">IF(W826&gt;1,"Duplicate","Unique")</f>
        <v>Unique</v>
      </c>
      <c r="Y826" s="3" t="str">
        <f aca="false">IF(B826&lt;6.5,"&lt;6.5",IF(B826&lt;7,"6.5–6.9",IF(B826&lt;7.5,"7.0–7.4",IF(B826&lt;8,"7.5–7.9","8.0+"))))</f>
        <v>6.5–6.9</v>
      </c>
      <c r="Z826" s="3" t="n">
        <f aca="false">IF(T826="","",YEAR(T826))</f>
        <v>2000</v>
      </c>
    </row>
    <row r="827" customFormat="false" ht="13.8" hidden="false" customHeight="false" outlineLevel="0" collapsed="false">
      <c r="A827" s="3" t="s">
        <v>2151</v>
      </c>
      <c r="B827" s="3" t="n">
        <v>7.8</v>
      </c>
      <c r="C827" s="3" t="s">
        <v>2152</v>
      </c>
      <c r="D827" s="3" t="n">
        <v>0</v>
      </c>
      <c r="E827" s="3" t="n">
        <v>7</v>
      </c>
      <c r="F827" s="3"/>
      <c r="G827" s="3" t="n">
        <v>0</v>
      </c>
      <c r="H827" s="3" t="n">
        <v>936</v>
      </c>
      <c r="I827" s="3" t="s">
        <v>22</v>
      </c>
      <c r="J827" s="3" t="n">
        <v>294</v>
      </c>
      <c r="K827" s="3" t="n">
        <v>0</v>
      </c>
      <c r="L827" s="3" t="n">
        <v>0</v>
      </c>
      <c r="M827" s="3" t="s">
        <v>127</v>
      </c>
      <c r="N827" s="3" t="n">
        <v>30</v>
      </c>
      <c r="O827" s="3" t="n">
        <v>-5.233</v>
      </c>
      <c r="P827" s="3" t="n">
        <v>153.102</v>
      </c>
      <c r="Q827" s="3" t="s">
        <v>625</v>
      </c>
      <c r="R827" s="3"/>
      <c r="S827" s="3"/>
      <c r="T827" s="5" t="n">
        <f aca="false">IF(C827="","",DATE(VALUE(MID(C827,7,4)),VALUE(MID(C827,4,2)),VALUE(MID(C827,1,2)))+TIME(VALUE(MID(C827,12,2)),VALUE(MID(C827,15,2)),0))</f>
        <v>36846.3208333333</v>
      </c>
      <c r="U827" s="3" t="str">
        <f aca="false">IFERROR(IF(ISNUMBER(VALUE(TRIM(MID(A827,FIND("-",A827)+1,FIND("km",A827)-FIND("-",A827)-1)))),"Distance + direction + city","Named-region"),"Named-region")</f>
        <v>Distance + direction + city</v>
      </c>
      <c r="V827" s="3" t="str">
        <f aca="false">LOWER(M827)</f>
        <v>mwc</v>
      </c>
      <c r="W827" s="3" t="n">
        <f aca="false">COUNTIFS($A$2:$A$1001,A827,$C$2:$C$1001,C827)</f>
        <v>1</v>
      </c>
      <c r="X827" s="3" t="str">
        <f aca="false">IF(W827&gt;1,"Duplicate","Unique")</f>
        <v>Unique</v>
      </c>
      <c r="Y827" s="3" t="str">
        <f aca="false">IF(B827&lt;6.5,"&lt;6.5",IF(B827&lt;7,"6.5–6.9",IF(B827&lt;7.5,"7.0–7.4",IF(B827&lt;8,"7.5–7.9","8.0+"))))</f>
        <v>7.5–7.9</v>
      </c>
      <c r="Z827" s="3" t="n">
        <f aca="false">IF(T827="","",YEAR(T827))</f>
        <v>2000</v>
      </c>
    </row>
    <row r="828" customFormat="false" ht="13.8" hidden="false" customHeight="false" outlineLevel="0" collapsed="false">
      <c r="A828" s="3" t="s">
        <v>2153</v>
      </c>
      <c r="B828" s="3" t="n">
        <v>8</v>
      </c>
      <c r="C828" s="3" t="s">
        <v>2154</v>
      </c>
      <c r="D828" s="3" t="n">
        <v>0</v>
      </c>
      <c r="E828" s="3" t="n">
        <v>7</v>
      </c>
      <c r="F828" s="3"/>
      <c r="G828" s="3" t="n">
        <v>0</v>
      </c>
      <c r="H828" s="3" t="n">
        <v>985</v>
      </c>
      <c r="I828" s="3" t="s">
        <v>22</v>
      </c>
      <c r="J828" s="3" t="n">
        <v>254</v>
      </c>
      <c r="K828" s="3" t="n">
        <v>0</v>
      </c>
      <c r="L828" s="3" t="n">
        <v>0</v>
      </c>
      <c r="M828" s="3" t="s">
        <v>127</v>
      </c>
      <c r="N828" s="3" t="n">
        <v>33</v>
      </c>
      <c r="O828" s="3" t="n">
        <v>-3.98</v>
      </c>
      <c r="P828" s="3" t="n">
        <v>152.169</v>
      </c>
      <c r="Q828" s="3" t="s">
        <v>797</v>
      </c>
      <c r="R828" s="3"/>
      <c r="S828" s="3" t="s">
        <v>85</v>
      </c>
      <c r="T828" s="5" t="n">
        <f aca="false">IF(C828="","",DATE(VALUE(MID(C828,7,4)),VALUE(MID(C828,4,2)),VALUE(MID(C828,1,2)))+TIME(VALUE(MID(C828,12,2)),VALUE(MID(C828,15,2)),0))</f>
        <v>36846.2041666667</v>
      </c>
      <c r="U828" s="3" t="str">
        <f aca="false">IFERROR(IF(ISNUMBER(VALUE(TRIM(MID(A828,FIND("-",A828)+1,FIND("km",A828)-FIND("-",A828)-1)))),"Distance + direction + city","Named-region"),"Named-region")</f>
        <v>Distance + direction + city</v>
      </c>
      <c r="V828" s="3" t="str">
        <f aca="false">LOWER(M828)</f>
        <v>mwc</v>
      </c>
      <c r="W828" s="3" t="n">
        <f aca="false">COUNTIFS($A$2:$A$1001,A828,$C$2:$C$1001,C828)</f>
        <v>1</v>
      </c>
      <c r="X828" s="3" t="str">
        <f aca="false">IF(W828&gt;1,"Duplicate","Unique")</f>
        <v>Unique</v>
      </c>
      <c r="Y828" s="3" t="str">
        <f aca="false">IF(B828&lt;6.5,"&lt;6.5",IF(B828&lt;7,"6.5–6.9",IF(B828&lt;7.5,"7.0–7.4",IF(B828&lt;8,"7.5–7.9","8.0+"))))</f>
        <v>8.0+</v>
      </c>
      <c r="Z828" s="3" t="n">
        <f aca="false">IF(T828="","",YEAR(T828))</f>
        <v>2000</v>
      </c>
    </row>
    <row r="829" customFormat="false" ht="13.8" hidden="false" customHeight="false" outlineLevel="0" collapsed="false">
      <c r="A829" s="3" t="s">
        <v>2155</v>
      </c>
      <c r="B829" s="3" t="n">
        <v>6.5</v>
      </c>
      <c r="C829" s="6" t="s">
        <v>2156</v>
      </c>
      <c r="D829" s="3" t="n">
        <v>0</v>
      </c>
      <c r="E829" s="3" t="n">
        <v>7</v>
      </c>
      <c r="F829" s="3"/>
      <c r="G829" s="3" t="n">
        <v>0</v>
      </c>
      <c r="H829" s="3" t="n">
        <v>650</v>
      </c>
      <c r="I829" s="3" t="s">
        <v>22</v>
      </c>
      <c r="J829" s="3" t="n">
        <v>462</v>
      </c>
      <c r="K829" s="3" t="n">
        <v>0</v>
      </c>
      <c r="L829" s="3" t="n">
        <v>0</v>
      </c>
      <c r="M829" s="3" t="s">
        <v>127</v>
      </c>
      <c r="N829" s="3" t="n">
        <v>17</v>
      </c>
      <c r="O829" s="3" t="n">
        <v>7.042</v>
      </c>
      <c r="P829" s="3" t="n">
        <v>-77.829</v>
      </c>
      <c r="Q829" s="3" t="s">
        <v>2157</v>
      </c>
      <c r="R829" s="3"/>
      <c r="S829" s="3" t="s">
        <v>54</v>
      </c>
      <c r="T829" s="5" t="n">
        <f aca="false">IF(C829="","",DATE(VALUE(MID(C829,7,4)),VALUE(MID(C829,4,2)),VALUE(MID(C829,1,2)))+TIME(VALUE(MID(C829,12,2)),VALUE(MID(C829,15,2)),0))</f>
        <v>36838.2909722222</v>
      </c>
      <c r="U829" s="3" t="str">
        <f aca="false">IFERROR(IF(ISNUMBER(VALUE(TRIM(MID(A829,FIND("-",A829)+1,FIND("km",A829)-FIND("-",A829)-1)))),"Distance + direction + city","Named-region"),"Named-region")</f>
        <v>Distance + direction + city</v>
      </c>
      <c r="V829" s="3" t="str">
        <f aca="false">LOWER(M829)</f>
        <v>mwc</v>
      </c>
      <c r="W829" s="3" t="n">
        <f aca="false">COUNTIFS($A$2:$A$1001,A829,$C$2:$C$1001,C829)</f>
        <v>1</v>
      </c>
      <c r="X829" s="3" t="str">
        <f aca="false">IF(W829&gt;1,"Duplicate","Unique")</f>
        <v>Unique</v>
      </c>
      <c r="Y829" s="3" t="str">
        <f aca="false">IF(B829&lt;6.5,"&lt;6.5",IF(B829&lt;7,"6.5–6.9",IF(B829&lt;7.5,"7.0–7.4",IF(B829&lt;8,"7.5–7.9","8.0+"))))</f>
        <v>6.5–6.9</v>
      </c>
      <c r="Z829" s="3" t="n">
        <f aca="false">IF(T829="","",YEAR(T829))</f>
        <v>2000</v>
      </c>
    </row>
    <row r="830" customFormat="false" ht="13.8" hidden="false" customHeight="false" outlineLevel="0" collapsed="false">
      <c r="A830" s="3" t="s">
        <v>2158</v>
      </c>
      <c r="B830" s="3" t="n">
        <v>7</v>
      </c>
      <c r="C830" s="3" t="s">
        <v>2159</v>
      </c>
      <c r="D830" s="3" t="n">
        <v>0</v>
      </c>
      <c r="E830" s="3" t="n">
        <v>7</v>
      </c>
      <c r="F830" s="3"/>
      <c r="G830" s="3" t="n">
        <v>0</v>
      </c>
      <c r="H830" s="3" t="n">
        <v>754</v>
      </c>
      <c r="I830" s="3" t="s">
        <v>22</v>
      </c>
      <c r="J830" s="3" t="n">
        <v>60</v>
      </c>
      <c r="K830" s="3" t="n">
        <v>0</v>
      </c>
      <c r="L830" s="3" t="n">
        <v>0</v>
      </c>
      <c r="M830" s="3" t="s">
        <v>127</v>
      </c>
      <c r="N830" s="3" t="n">
        <v>50</v>
      </c>
      <c r="O830" s="3" t="n">
        <v>-4.766</v>
      </c>
      <c r="P830" s="3" t="n">
        <v>153.945</v>
      </c>
      <c r="Q830" s="3" t="s">
        <v>625</v>
      </c>
      <c r="R830" s="3"/>
      <c r="S830" s="3" t="s">
        <v>85</v>
      </c>
      <c r="T830" s="5" t="n">
        <f aca="false">IF(C830="","",DATE(VALUE(MID(C830,7,4)),VALUE(MID(C830,4,2)),VALUE(MID(C830,1,2)))+TIME(VALUE(MID(C830,12,2)),VALUE(MID(C830,15,2)),0))</f>
        <v>36828.3590277778</v>
      </c>
      <c r="U830" s="3" t="str">
        <f aca="false">IFERROR(IF(ISNUMBER(VALUE(TRIM(MID(A830,FIND("-",A830)+1,FIND("km",A830)-FIND("-",A830)-1)))),"Distance + direction + city","Named-region"),"Named-region")</f>
        <v>Distance + direction + city</v>
      </c>
      <c r="V830" s="3" t="str">
        <f aca="false">LOWER(M830)</f>
        <v>mwc</v>
      </c>
      <c r="W830" s="3" t="n">
        <f aca="false">COUNTIFS($A$2:$A$1001,A830,$C$2:$C$1001,C830)</f>
        <v>1</v>
      </c>
      <c r="X830" s="3" t="str">
        <f aca="false">IF(W830&gt;1,"Duplicate","Unique")</f>
        <v>Unique</v>
      </c>
      <c r="Y830" s="3" t="str">
        <f aca="false">IF(B830&lt;6.5,"&lt;6.5",IF(B830&lt;7,"6.5–6.9",IF(B830&lt;7.5,"7.0–7.4",IF(B830&lt;8,"7.5–7.9","8.0+"))))</f>
        <v>7.0–7.4</v>
      </c>
      <c r="Z830" s="3" t="n">
        <f aca="false">IF(T830="","",YEAR(T830))</f>
        <v>2000</v>
      </c>
    </row>
    <row r="831" customFormat="false" ht="13.8" hidden="false" customHeight="false" outlineLevel="0" collapsed="false">
      <c r="A831" s="3" t="s">
        <v>2160</v>
      </c>
      <c r="B831" s="3" t="n">
        <v>6.8</v>
      </c>
      <c r="C831" s="3" t="s">
        <v>2161</v>
      </c>
      <c r="D831" s="3" t="n">
        <v>0</v>
      </c>
      <c r="E831" s="3" t="n">
        <v>6</v>
      </c>
      <c r="F831" s="3"/>
      <c r="G831" s="3" t="n">
        <v>0</v>
      </c>
      <c r="H831" s="3" t="n">
        <v>711</v>
      </c>
      <c r="I831" s="3" t="s">
        <v>22</v>
      </c>
      <c r="J831" s="3" t="n">
        <v>415</v>
      </c>
      <c r="K831" s="3" t="n">
        <v>0</v>
      </c>
      <c r="L831" s="3" t="n">
        <v>0</v>
      </c>
      <c r="M831" s="3" t="s">
        <v>127</v>
      </c>
      <c r="N831" s="3" t="n">
        <v>38</v>
      </c>
      <c r="O831" s="3" t="n">
        <v>-6.549</v>
      </c>
      <c r="P831" s="3" t="n">
        <v>105.63</v>
      </c>
      <c r="Q831" s="3" t="s">
        <v>231</v>
      </c>
      <c r="R831" s="3"/>
      <c r="S831" s="3" t="s">
        <v>68</v>
      </c>
      <c r="T831" s="5" t="n">
        <f aca="false">IF(C831="","",DATE(VALUE(MID(C831,7,4)),VALUE(MID(C831,4,2)),VALUE(MID(C831,1,2)))+TIME(VALUE(MID(C831,12,2)),VALUE(MID(C831,15,2)),0))</f>
        <v>36824.3972222222</v>
      </c>
      <c r="U831" s="3" t="str">
        <f aca="false">IFERROR(IF(ISNUMBER(VALUE(TRIM(MID(A831,FIND("-",A831)+1,FIND("km",A831)-FIND("-",A831)-1)))),"Distance + direction + city","Named-region"),"Named-region")</f>
        <v>Distance + direction + city</v>
      </c>
      <c r="V831" s="3" t="str">
        <f aca="false">LOWER(M831)</f>
        <v>mwc</v>
      </c>
      <c r="W831" s="3" t="n">
        <f aca="false">COUNTIFS($A$2:$A$1001,A831,$C$2:$C$1001,C831)</f>
        <v>1</v>
      </c>
      <c r="X831" s="3" t="str">
        <f aca="false">IF(W831&gt;1,"Duplicate","Unique")</f>
        <v>Unique</v>
      </c>
      <c r="Y831" s="3" t="str">
        <f aca="false">IF(B831&lt;6.5,"&lt;6.5",IF(B831&lt;7,"6.5–6.9",IF(B831&lt;7.5,"7.0–7.4",IF(B831&lt;8,"7.5–7.9","8.0+"))))</f>
        <v>6.5–6.9</v>
      </c>
      <c r="Z831" s="3" t="n">
        <f aca="false">IF(T831="","",YEAR(T831))</f>
        <v>2000</v>
      </c>
    </row>
    <row r="832" customFormat="false" ht="13.8" hidden="false" customHeight="false" outlineLevel="0" collapsed="false">
      <c r="A832" s="3" t="s">
        <v>2162</v>
      </c>
      <c r="B832" s="3" t="n">
        <v>6.7</v>
      </c>
      <c r="C832" s="6" t="s">
        <v>2163</v>
      </c>
      <c r="D832" s="3" t="n">
        <v>0</v>
      </c>
      <c r="E832" s="3" t="n">
        <v>8</v>
      </c>
      <c r="F832" s="3"/>
      <c r="G832" s="3" t="n">
        <v>0</v>
      </c>
      <c r="H832" s="3" t="n">
        <v>691</v>
      </c>
      <c r="I832" s="3" t="s">
        <v>22</v>
      </c>
      <c r="J832" s="3" t="n">
        <v>390</v>
      </c>
      <c r="K832" s="3" t="n">
        <v>0</v>
      </c>
      <c r="L832" s="3" t="n">
        <v>0</v>
      </c>
      <c r="M832" s="3" t="s">
        <v>127</v>
      </c>
      <c r="N832" s="3" t="n">
        <v>10</v>
      </c>
      <c r="O832" s="3" t="n">
        <v>35.456</v>
      </c>
      <c r="P832" s="3" t="n">
        <v>133.134</v>
      </c>
      <c r="Q832" s="3" t="s">
        <v>2164</v>
      </c>
      <c r="R832" s="3" t="s">
        <v>80</v>
      </c>
      <c r="S832" s="3" t="s">
        <v>322</v>
      </c>
      <c r="T832" s="5" t="n">
        <f aca="false">IF(C832="","",DATE(VALUE(MID(C832,7,4)),VALUE(MID(C832,4,2)),VALUE(MID(C832,1,2)))+TIME(VALUE(MID(C832,12,2)),VALUE(MID(C832,15,2)),0))</f>
        <v>36805.1875</v>
      </c>
      <c r="U832" s="3" t="str">
        <f aca="false">IFERROR(IF(ISNUMBER(VALUE(TRIM(MID(A832,FIND("-",A832)+1,FIND("km",A832)-FIND("-",A832)-1)))),"Distance + direction + city","Named-region"),"Named-region")</f>
        <v>Distance + direction + city</v>
      </c>
      <c r="V832" s="3" t="str">
        <f aca="false">LOWER(M832)</f>
        <v>mwc</v>
      </c>
      <c r="W832" s="3" t="n">
        <f aca="false">COUNTIFS($A$2:$A$1001,A832,$C$2:$C$1001,C832)</f>
        <v>1</v>
      </c>
      <c r="X832" s="3" t="str">
        <f aca="false">IF(W832&gt;1,"Duplicate","Unique")</f>
        <v>Unique</v>
      </c>
      <c r="Y832" s="3" t="str">
        <f aca="false">IF(B832&lt;6.5,"&lt;6.5",IF(B832&lt;7,"6.5–6.9",IF(B832&lt;7.5,"7.0–7.4",IF(B832&lt;8,"7.5–7.9","8.0+"))))</f>
        <v>6.5–6.9</v>
      </c>
      <c r="Z832" s="3" t="n">
        <f aca="false">IF(T832="","",YEAR(T832))</f>
        <v>2000</v>
      </c>
    </row>
    <row r="833" customFormat="false" ht="13.8" hidden="false" customHeight="false" outlineLevel="0" collapsed="false">
      <c r="A833" s="3" t="s">
        <v>2165</v>
      </c>
      <c r="B833" s="3" t="n">
        <v>7</v>
      </c>
      <c r="C833" s="6" t="s">
        <v>2166</v>
      </c>
      <c r="D833" s="3" t="n">
        <v>0</v>
      </c>
      <c r="E833" s="3" t="n">
        <v>7</v>
      </c>
      <c r="F833" s="3"/>
      <c r="G833" s="3" t="n">
        <v>0</v>
      </c>
      <c r="H833" s="3" t="n">
        <v>754</v>
      </c>
      <c r="I833" s="3" t="s">
        <v>22</v>
      </c>
      <c r="J833" s="3" t="n">
        <v>357</v>
      </c>
      <c r="K833" s="3" t="n">
        <v>0</v>
      </c>
      <c r="L833" s="3" t="n">
        <v>0</v>
      </c>
      <c r="M833" s="3" t="s">
        <v>127</v>
      </c>
      <c r="N833" s="3" t="n">
        <v>23</v>
      </c>
      <c r="O833" s="3" t="n">
        <v>-15.421</v>
      </c>
      <c r="P833" s="3" t="n">
        <v>166.91</v>
      </c>
      <c r="Q833" s="3" t="s">
        <v>1685</v>
      </c>
      <c r="R833" s="3"/>
      <c r="S833" s="3" t="s">
        <v>25</v>
      </c>
      <c r="T833" s="5" t="n">
        <f aca="false">IF(C833="","",DATE(VALUE(MID(C833,7,4)),VALUE(MID(C833,4,2)),VALUE(MID(C833,1,2)))+TIME(VALUE(MID(C833,12,2)),VALUE(MID(C833,15,2)),0))</f>
        <v>36803.7069444444</v>
      </c>
      <c r="U833" s="3" t="str">
        <f aca="false">IFERROR(IF(ISNUMBER(VALUE(TRIM(MID(A833,FIND("-",A833)+1,FIND("km",A833)-FIND("-",A833)-1)))),"Distance + direction + city","Named-region"),"Named-region")</f>
        <v>Distance + direction + city</v>
      </c>
      <c r="V833" s="3" t="str">
        <f aca="false">LOWER(M833)</f>
        <v>mwc</v>
      </c>
      <c r="W833" s="3" t="n">
        <f aca="false">COUNTIFS($A$2:$A$1001,A833,$C$2:$C$1001,C833)</f>
        <v>1</v>
      </c>
      <c r="X833" s="3" t="str">
        <f aca="false">IF(W833&gt;1,"Duplicate","Unique")</f>
        <v>Unique</v>
      </c>
      <c r="Y833" s="3" t="str">
        <f aca="false">IF(B833&lt;6.5,"&lt;6.5",IF(B833&lt;7,"6.5–6.9",IF(B833&lt;7.5,"7.0–7.4",IF(B833&lt;8,"7.5–7.9","8.0+"))))</f>
        <v>7.0–7.4</v>
      </c>
      <c r="Z833" s="3" t="n">
        <f aca="false">IF(T833="","",YEAR(T833))</f>
        <v>2000</v>
      </c>
    </row>
    <row r="834" customFormat="false" ht="13.8" hidden="false" customHeight="false" outlineLevel="0" collapsed="false">
      <c r="A834" s="3" t="s">
        <v>2167</v>
      </c>
      <c r="B834" s="3" t="n">
        <v>6.5</v>
      </c>
      <c r="C834" s="6" t="s">
        <v>2168</v>
      </c>
      <c r="D834" s="3" t="n">
        <v>0</v>
      </c>
      <c r="E834" s="3" t="n">
        <v>6</v>
      </c>
      <c r="F834" s="3"/>
      <c r="G834" s="3" t="n">
        <v>0</v>
      </c>
      <c r="H834" s="3" t="n">
        <v>650</v>
      </c>
      <c r="I834" s="3" t="s">
        <v>22</v>
      </c>
      <c r="J834" s="3" t="n">
        <v>415</v>
      </c>
      <c r="K834" s="3" t="n">
        <v>0</v>
      </c>
      <c r="L834" s="3" t="n">
        <v>0</v>
      </c>
      <c r="M834" s="3" t="s">
        <v>154</v>
      </c>
      <c r="N834" s="3" t="n">
        <v>34</v>
      </c>
      <c r="O834" s="3" t="n">
        <v>-7.977</v>
      </c>
      <c r="P834" s="3" t="n">
        <v>30.709</v>
      </c>
      <c r="Q834" s="3" t="s">
        <v>2169</v>
      </c>
      <c r="R834" s="3" t="s">
        <v>722</v>
      </c>
      <c r="S834" s="3" t="s">
        <v>1785</v>
      </c>
      <c r="T834" s="5" t="n">
        <f aca="false">IF(C834="","",DATE(VALUE(MID(C834,7,4)),VALUE(MID(C834,4,2)),VALUE(MID(C834,1,2)))+TIME(VALUE(MID(C834,12,2)),VALUE(MID(C834,15,2)),0))</f>
        <v>36801.1006944444</v>
      </c>
      <c r="U834" s="3" t="str">
        <f aca="false">IFERROR(IF(ISNUMBER(VALUE(TRIM(MID(A834,FIND("-",A834)+1,FIND("km",A834)-FIND("-",A834)-1)))),"Distance + direction + city","Named-region"),"Named-region")</f>
        <v>Distance + direction + city</v>
      </c>
      <c r="V834" s="3" t="str">
        <f aca="false">LOWER(M834)</f>
        <v>mwb</v>
      </c>
      <c r="W834" s="3" t="n">
        <f aca="false">COUNTIFS($A$2:$A$1001,A834,$C$2:$C$1001,C834)</f>
        <v>1</v>
      </c>
      <c r="X834" s="3" t="str">
        <f aca="false">IF(W834&gt;1,"Duplicate","Unique")</f>
        <v>Unique</v>
      </c>
      <c r="Y834" s="3" t="str">
        <f aca="false">IF(B834&lt;6.5,"&lt;6.5",IF(B834&lt;7,"6.5–6.9",IF(B834&lt;7.5,"7.0–7.4",IF(B834&lt;8,"7.5–7.9","8.0+"))))</f>
        <v>6.5–6.9</v>
      </c>
      <c r="Z834" s="3" t="n">
        <f aca="false">IF(T834="","",YEAR(T834))</f>
        <v>2000</v>
      </c>
    </row>
    <row r="835" customFormat="false" ht="13.8" hidden="false" customHeight="false" outlineLevel="0" collapsed="false">
      <c r="A835" s="3" t="s">
        <v>2170</v>
      </c>
      <c r="B835" s="3" t="n">
        <v>6.8</v>
      </c>
      <c r="C835" s="3" t="s">
        <v>2171</v>
      </c>
      <c r="D835" s="3" t="n">
        <v>0</v>
      </c>
      <c r="E835" s="3" t="n">
        <v>6</v>
      </c>
      <c r="F835" s="3"/>
      <c r="G835" s="3" t="n">
        <v>0</v>
      </c>
      <c r="H835" s="3" t="n">
        <v>711</v>
      </c>
      <c r="I835" s="3" t="s">
        <v>22</v>
      </c>
      <c r="J835" s="3" t="n">
        <v>336</v>
      </c>
      <c r="K835" s="3" t="n">
        <v>0</v>
      </c>
      <c r="L835" s="3" t="n">
        <v>0</v>
      </c>
      <c r="M835" s="3" t="s">
        <v>127</v>
      </c>
      <c r="N835" s="3" t="n">
        <v>16</v>
      </c>
      <c r="O835" s="3" t="n">
        <v>-4.11</v>
      </c>
      <c r="P835" s="3" t="n">
        <v>127.394</v>
      </c>
      <c r="Q835" s="3" t="s">
        <v>1770</v>
      </c>
      <c r="R835" s="3"/>
      <c r="S835" s="3" t="s">
        <v>68</v>
      </c>
      <c r="T835" s="5" t="n">
        <f aca="false">IF(C835="","",DATE(VALUE(MID(C835,7,4)),VALUE(MID(C835,4,2)),VALUE(MID(C835,1,2)))+TIME(VALUE(MID(C835,12,2)),VALUE(MID(C835,15,2)),0))</f>
        <v>36766.6284722222</v>
      </c>
      <c r="U835" s="3" t="str">
        <f aca="false">IFERROR(IF(ISNUMBER(VALUE(TRIM(MID(A835,FIND("-",A835)+1,FIND("km",A835)-FIND("-",A835)-1)))),"Distance + direction + city","Named-region"),"Named-region")</f>
        <v>Distance + direction + city</v>
      </c>
      <c r="V835" s="3" t="str">
        <f aca="false">LOWER(M835)</f>
        <v>mwc</v>
      </c>
      <c r="W835" s="3" t="n">
        <f aca="false">COUNTIFS($A$2:$A$1001,A835,$C$2:$C$1001,C835)</f>
        <v>1</v>
      </c>
      <c r="X835" s="3" t="str">
        <f aca="false">IF(W835&gt;1,"Duplicate","Unique")</f>
        <v>Unique</v>
      </c>
      <c r="Y835" s="3" t="str">
        <f aca="false">IF(B835&lt;6.5,"&lt;6.5",IF(B835&lt;7,"6.5–6.9",IF(B835&lt;7.5,"7.0–7.4",IF(B835&lt;8,"7.5–7.9","8.0+"))))</f>
        <v>6.5–6.9</v>
      </c>
      <c r="Z835" s="3" t="n">
        <f aca="false">IF(T835="","",YEAR(T835))</f>
        <v>2000</v>
      </c>
    </row>
    <row r="836" customFormat="false" ht="13.8" hidden="false" customHeight="false" outlineLevel="0" collapsed="false">
      <c r="A836" s="3" t="s">
        <v>2172</v>
      </c>
      <c r="B836" s="3" t="n">
        <v>6.5</v>
      </c>
      <c r="C836" s="6" t="s">
        <v>2173</v>
      </c>
      <c r="D836" s="3" t="n">
        <v>0</v>
      </c>
      <c r="E836" s="3" t="n">
        <v>6</v>
      </c>
      <c r="F836" s="3"/>
      <c r="G836" s="3" t="n">
        <v>0</v>
      </c>
      <c r="H836" s="3" t="n">
        <v>650</v>
      </c>
      <c r="I836" s="3" t="s">
        <v>22</v>
      </c>
      <c r="J836" s="3" t="n">
        <v>481</v>
      </c>
      <c r="K836" s="3" t="n">
        <v>0</v>
      </c>
      <c r="L836" s="3" t="n">
        <v>0</v>
      </c>
      <c r="M836" s="3" t="s">
        <v>127</v>
      </c>
      <c r="N836" s="3" t="n">
        <v>45.8</v>
      </c>
      <c r="O836" s="3" t="n">
        <v>18.198</v>
      </c>
      <c r="P836" s="3" t="n">
        <v>-102.48</v>
      </c>
      <c r="Q836" s="3" t="s">
        <v>1287</v>
      </c>
      <c r="R836" s="3" t="s">
        <v>164</v>
      </c>
      <c r="S836" s="3" t="s">
        <v>165</v>
      </c>
      <c r="T836" s="5" t="n">
        <f aca="false">IF(C836="","",DATE(VALUE(MID(C836,7,4)),VALUE(MID(C836,4,2)),VALUE(MID(C836,1,2)))+TIME(VALUE(MID(C836,12,2)),VALUE(MID(C836,15,2)),0))</f>
        <v>36747.4868055556</v>
      </c>
      <c r="U836" s="3" t="str">
        <f aca="false">IFERROR(IF(ISNUMBER(VALUE(TRIM(MID(A836,FIND("-",A836)+1,FIND("km",A836)-FIND("-",A836)-1)))),"Distance + direction + city","Named-region"),"Named-region")</f>
        <v>Distance + direction + city</v>
      </c>
      <c r="V836" s="3" t="str">
        <f aca="false">LOWER(M836)</f>
        <v>mwc</v>
      </c>
      <c r="W836" s="3" t="n">
        <f aca="false">COUNTIFS($A$2:$A$1001,A836,$C$2:$C$1001,C836)</f>
        <v>1</v>
      </c>
      <c r="X836" s="3" t="str">
        <f aca="false">IF(W836&gt;1,"Duplicate","Unique")</f>
        <v>Unique</v>
      </c>
      <c r="Y836" s="3" t="str">
        <f aca="false">IF(B836&lt;6.5,"&lt;6.5",IF(B836&lt;7,"6.5–6.9",IF(B836&lt;7.5,"7.0–7.4",IF(B836&lt;8,"7.5–7.9","8.0+"))))</f>
        <v>6.5–6.9</v>
      </c>
      <c r="Z836" s="3" t="n">
        <f aca="false">IF(T836="","",YEAR(T836))</f>
        <v>2000</v>
      </c>
    </row>
    <row r="837" customFormat="false" ht="13.8" hidden="false" customHeight="false" outlineLevel="0" collapsed="false">
      <c r="A837" s="3" t="s">
        <v>2174</v>
      </c>
      <c r="B837" s="3" t="n">
        <v>6.8</v>
      </c>
      <c r="C837" s="6" t="s">
        <v>2175</v>
      </c>
      <c r="D837" s="3" t="n">
        <v>0</v>
      </c>
      <c r="E837" s="3" t="n">
        <v>7</v>
      </c>
      <c r="F837" s="3"/>
      <c r="G837" s="3" t="n">
        <v>0</v>
      </c>
      <c r="H837" s="3" t="n">
        <v>711</v>
      </c>
      <c r="I837" s="3" t="s">
        <v>22</v>
      </c>
      <c r="J837" s="3" t="n">
        <v>593</v>
      </c>
      <c r="K837" s="3" t="n">
        <v>0</v>
      </c>
      <c r="L837" s="3" t="n">
        <v>0</v>
      </c>
      <c r="M837" s="3" t="s">
        <v>127</v>
      </c>
      <c r="N837" s="3" t="n">
        <v>10</v>
      </c>
      <c r="O837" s="3" t="n">
        <v>48.786</v>
      </c>
      <c r="P837" s="3" t="n">
        <v>142.246</v>
      </c>
      <c r="Q837" s="3" t="s">
        <v>2176</v>
      </c>
      <c r="R837" s="3" t="s">
        <v>80</v>
      </c>
      <c r="S837" s="3" t="s">
        <v>428</v>
      </c>
      <c r="T837" s="5" t="n">
        <f aca="false">IF(C837="","",DATE(VALUE(MID(C837,7,4)),VALUE(MID(C837,4,2)),VALUE(MID(C837,1,2)))+TIME(VALUE(MID(C837,12,2)),VALUE(MID(C837,15,2)),0))</f>
        <v>36742.8840277778</v>
      </c>
      <c r="U837" s="3" t="str">
        <f aca="false">IFERROR(IF(ISNUMBER(VALUE(TRIM(MID(A837,FIND("-",A837)+1,FIND("km",A837)-FIND("-",A837)-1)))),"Distance + direction + city","Named-region"),"Named-region")</f>
        <v>Distance + direction + city</v>
      </c>
      <c r="V837" s="3" t="str">
        <f aca="false">LOWER(M837)</f>
        <v>mwc</v>
      </c>
      <c r="W837" s="3" t="n">
        <f aca="false">COUNTIFS($A$2:$A$1001,A837,$C$2:$C$1001,C837)</f>
        <v>1</v>
      </c>
      <c r="X837" s="3" t="str">
        <f aca="false">IF(W837&gt;1,"Duplicate","Unique")</f>
        <v>Unique</v>
      </c>
      <c r="Y837" s="3" t="str">
        <f aca="false">IF(B837&lt;6.5,"&lt;6.5",IF(B837&lt;7,"6.5–6.9",IF(B837&lt;7.5,"7.0–7.4",IF(B837&lt;8,"7.5–7.9","8.0+"))))</f>
        <v>6.5–6.9</v>
      </c>
      <c r="Z837" s="3" t="n">
        <f aca="false">IF(T837="","",YEAR(T837))</f>
        <v>2000</v>
      </c>
    </row>
    <row r="838" customFormat="false" ht="13.8" hidden="false" customHeight="false" outlineLevel="0" collapsed="false">
      <c r="A838" s="3" t="s">
        <v>2177</v>
      </c>
      <c r="B838" s="3" t="n">
        <v>6.6</v>
      </c>
      <c r="C838" s="6" t="s">
        <v>2178</v>
      </c>
      <c r="D838" s="3" t="n">
        <v>0</v>
      </c>
      <c r="E838" s="3" t="n">
        <v>6</v>
      </c>
      <c r="F838" s="3"/>
      <c r="G838" s="3" t="n">
        <v>0</v>
      </c>
      <c r="H838" s="3" t="n">
        <v>670</v>
      </c>
      <c r="I838" s="3" t="s">
        <v>22</v>
      </c>
      <c r="J838" s="3" t="n">
        <v>218</v>
      </c>
      <c r="K838" s="3" t="n">
        <v>0</v>
      </c>
      <c r="L838" s="3" t="n">
        <v>0</v>
      </c>
      <c r="M838" s="3" t="s">
        <v>127</v>
      </c>
      <c r="N838" s="3" t="n">
        <v>33</v>
      </c>
      <c r="O838" s="3" t="n">
        <v>-12.037</v>
      </c>
      <c r="P838" s="3" t="n">
        <v>166.448</v>
      </c>
      <c r="Q838" s="3" t="s">
        <v>412</v>
      </c>
      <c r="R838" s="3"/>
      <c r="S838" s="3"/>
      <c r="T838" s="5" t="n">
        <f aca="false">IF(C838="","",DATE(VALUE(MID(C838,7,4)),VALUE(MID(C838,4,2)),VALUE(MID(C838,1,2)))+TIME(VALUE(MID(C838,12,2)),VALUE(MID(C838,15,2)),0))</f>
        <v>36741.0479166667</v>
      </c>
      <c r="U838" s="3" t="str">
        <f aca="false">IFERROR(IF(ISNUMBER(VALUE(TRIM(MID(A838,FIND("-",A838)+1,FIND("km",A838)-FIND("-",A838)-1)))),"Distance + direction + city","Named-region"),"Named-region")</f>
        <v>Distance + direction + city</v>
      </c>
      <c r="V838" s="3" t="str">
        <f aca="false">LOWER(M838)</f>
        <v>mwc</v>
      </c>
      <c r="W838" s="3" t="n">
        <f aca="false">COUNTIFS($A$2:$A$1001,A838,$C$2:$C$1001,C838)</f>
        <v>1</v>
      </c>
      <c r="X838" s="3" t="str">
        <f aca="false">IF(W838&gt;1,"Duplicate","Unique")</f>
        <v>Unique</v>
      </c>
      <c r="Y838" s="3" t="str">
        <f aca="false">IF(B838&lt;6.5,"&lt;6.5",IF(B838&lt;7,"6.5–6.9",IF(B838&lt;7.5,"7.0–7.4",IF(B838&lt;8,"7.5–7.9","8.0+"))))</f>
        <v>6.5–6.9</v>
      </c>
      <c r="Z838" s="3" t="n">
        <f aca="false">IF(T838="","",YEAR(T838))</f>
        <v>2000</v>
      </c>
    </row>
    <row r="839" customFormat="false" ht="13.8" hidden="false" customHeight="false" outlineLevel="0" collapsed="false">
      <c r="A839" s="3" t="s">
        <v>2179</v>
      </c>
      <c r="B839" s="3" t="n">
        <v>6.5</v>
      </c>
      <c r="C839" s="3" t="s">
        <v>2180</v>
      </c>
      <c r="D839" s="3" t="n">
        <v>0</v>
      </c>
      <c r="E839" s="3" t="n">
        <v>7</v>
      </c>
      <c r="F839" s="3"/>
      <c r="G839" s="3" t="n">
        <v>0</v>
      </c>
      <c r="H839" s="3" t="n">
        <v>650</v>
      </c>
      <c r="I839" s="3" t="s">
        <v>22</v>
      </c>
      <c r="J839" s="3" t="n">
        <v>428</v>
      </c>
      <c r="K839" s="3" t="n">
        <v>0</v>
      </c>
      <c r="L839" s="3" t="n">
        <v>0</v>
      </c>
      <c r="M839" s="3" t="s">
        <v>127</v>
      </c>
      <c r="N839" s="3" t="n">
        <v>10</v>
      </c>
      <c r="O839" s="3" t="n">
        <v>33.901</v>
      </c>
      <c r="P839" s="3" t="n">
        <v>139.376</v>
      </c>
      <c r="Q839" s="3" t="s">
        <v>2181</v>
      </c>
      <c r="R839" s="3"/>
      <c r="S839" s="3" t="s">
        <v>322</v>
      </c>
      <c r="T839" s="5" t="n">
        <f aca="false">IF(C839="","",DATE(VALUE(MID(C839,7,4)),VALUE(MID(C839,4,2)),VALUE(MID(C839,1,2)))+TIME(VALUE(MID(C839,12,2)),VALUE(MID(C839,15,2)),0))</f>
        <v>36737.5173611111</v>
      </c>
      <c r="U839" s="3" t="str">
        <f aca="false">IFERROR(IF(ISNUMBER(VALUE(TRIM(MID(A839,FIND("-",A839)+1,FIND("km",A839)-FIND("-",A839)-1)))),"Distance + direction + city","Named-region"),"Named-region")</f>
        <v>Distance + direction + city</v>
      </c>
      <c r="V839" s="3" t="str">
        <f aca="false">LOWER(M839)</f>
        <v>mwc</v>
      </c>
      <c r="W839" s="3" t="n">
        <f aca="false">COUNTIFS($A$2:$A$1001,A839,$C$2:$C$1001,C839)</f>
        <v>1</v>
      </c>
      <c r="X839" s="3" t="str">
        <f aca="false">IF(W839&gt;1,"Duplicate","Unique")</f>
        <v>Unique</v>
      </c>
      <c r="Y839" s="3" t="str">
        <f aca="false">IF(B839&lt;6.5,"&lt;6.5",IF(B839&lt;7,"6.5–6.9",IF(B839&lt;7.5,"7.0–7.4",IF(B839&lt;8,"7.5–7.9","8.0+"))))</f>
        <v>6.5–6.9</v>
      </c>
      <c r="Z839" s="3" t="n">
        <f aca="false">IF(T839="","",YEAR(T839))</f>
        <v>2000</v>
      </c>
    </row>
    <row r="840" customFormat="false" ht="13.8" hidden="false" customHeight="false" outlineLevel="0" collapsed="false">
      <c r="A840" s="3" t="s">
        <v>2182</v>
      </c>
      <c r="B840" s="3" t="n">
        <v>6.6</v>
      </c>
      <c r="C840" s="3" t="s">
        <v>2183</v>
      </c>
      <c r="D840" s="3" t="n">
        <v>0</v>
      </c>
      <c r="E840" s="3" t="n">
        <v>5</v>
      </c>
      <c r="F840" s="3"/>
      <c r="G840" s="3" t="n">
        <v>0</v>
      </c>
      <c r="H840" s="3" t="n">
        <v>670</v>
      </c>
      <c r="I840" s="3" t="s">
        <v>22</v>
      </c>
      <c r="J840" s="3" t="n">
        <v>367</v>
      </c>
      <c r="K840" s="3" t="n">
        <v>0</v>
      </c>
      <c r="L840" s="3" t="n">
        <v>0</v>
      </c>
      <c r="M840" s="3" t="s">
        <v>127</v>
      </c>
      <c r="N840" s="3" t="n">
        <v>10</v>
      </c>
      <c r="O840" s="3" t="n">
        <v>-7.747</v>
      </c>
      <c r="P840" s="3" t="n">
        <v>150.917</v>
      </c>
      <c r="Q840" s="3" t="s">
        <v>789</v>
      </c>
      <c r="R840" s="3"/>
      <c r="S840" s="3"/>
      <c r="T840" s="5" t="n">
        <f aca="false">IF(C840="","",DATE(VALUE(MID(C840,7,4)),VALUE(MID(C840,4,2)),VALUE(MID(C840,1,2)))+TIME(VALUE(MID(C840,12,2)),VALUE(MID(C840,15,2)),0))</f>
        <v>36723.1645833333</v>
      </c>
      <c r="U840" s="3" t="str">
        <f aca="false">IFERROR(IF(ISNUMBER(VALUE(TRIM(MID(A840,FIND("-",A840)+1,FIND("km",A840)-FIND("-",A840)-1)))),"Distance + direction + city","Named-region"),"Named-region")</f>
        <v>Distance + direction + city</v>
      </c>
      <c r="V840" s="3" t="str">
        <f aca="false">LOWER(M840)</f>
        <v>mwc</v>
      </c>
      <c r="W840" s="3" t="n">
        <f aca="false">COUNTIFS($A$2:$A$1001,A840,$C$2:$C$1001,C840)</f>
        <v>1</v>
      </c>
      <c r="X840" s="3" t="str">
        <f aca="false">IF(W840&gt;1,"Duplicate","Unique")</f>
        <v>Unique</v>
      </c>
      <c r="Y840" s="3" t="str">
        <f aca="false">IF(B840&lt;6.5,"&lt;6.5",IF(B840&lt;7,"6.5–6.9",IF(B840&lt;7.5,"7.0–7.4",IF(B840&lt;8,"7.5–7.9","8.0+"))))</f>
        <v>6.5–6.9</v>
      </c>
      <c r="Z840" s="3" t="n">
        <f aca="false">IF(T840="","",YEAR(T840))</f>
        <v>2000</v>
      </c>
    </row>
    <row r="841" customFormat="false" ht="13.8" hidden="false" customHeight="false" outlineLevel="0" collapsed="false">
      <c r="A841" s="3" t="s">
        <v>2184</v>
      </c>
      <c r="B841" s="3" t="n">
        <v>6.5</v>
      </c>
      <c r="C841" s="6" t="s">
        <v>2185</v>
      </c>
      <c r="D841" s="3" t="n">
        <v>0</v>
      </c>
      <c r="E841" s="3" t="n">
        <v>6</v>
      </c>
      <c r="F841" s="3"/>
      <c r="G841" s="3" t="n">
        <v>0</v>
      </c>
      <c r="H841" s="3" t="n">
        <v>650</v>
      </c>
      <c r="I841" s="3" t="s">
        <v>259</v>
      </c>
      <c r="J841" s="3" t="n">
        <v>0</v>
      </c>
      <c r="K841" s="3" t="n">
        <v>0</v>
      </c>
      <c r="L841" s="3" t="n">
        <v>0</v>
      </c>
      <c r="M841" s="3" t="s">
        <v>485</v>
      </c>
      <c r="N841" s="3" t="n">
        <v>42.9</v>
      </c>
      <c r="O841" s="3" t="n">
        <v>57.3546</v>
      </c>
      <c r="P841" s="3" t="n">
        <v>-154.198</v>
      </c>
      <c r="Q841" s="3" t="s">
        <v>2186</v>
      </c>
      <c r="R841" s="3" t="s">
        <v>164</v>
      </c>
      <c r="S841" s="3" t="s">
        <v>261</v>
      </c>
      <c r="T841" s="5" t="n">
        <f aca="false">IF(C841="","",DATE(VALUE(MID(C841,7,4)),VALUE(MID(C841,4,2)),VALUE(MID(C841,1,2)))+TIME(VALUE(MID(C841,12,2)),VALUE(MID(C841,15,2)),0))</f>
        <v>36718.0638888889</v>
      </c>
      <c r="U841" s="3" t="str">
        <f aca="false">IFERROR(IF(ISNUMBER(VALUE(TRIM(MID(A841,FIND("-",A841)+1,FIND("km",A841)-FIND("-",A841)-1)))),"Distance + direction + city","Named-region"),"Named-region")</f>
        <v>Distance + direction + city</v>
      </c>
      <c r="V841" s="3" t="str">
        <f aca="false">LOWER(M841)</f>
        <v>mw</v>
      </c>
      <c r="W841" s="3" t="n">
        <f aca="false">COUNTIFS($A$2:$A$1001,A841,$C$2:$C$1001,C841)</f>
        <v>1</v>
      </c>
      <c r="X841" s="3" t="str">
        <f aca="false">IF(W841&gt;1,"Duplicate","Unique")</f>
        <v>Unique</v>
      </c>
      <c r="Y841" s="3" t="str">
        <f aca="false">IF(B841&lt;6.5,"&lt;6.5",IF(B841&lt;7,"6.5–6.9",IF(B841&lt;7.5,"7.0–7.4",IF(B841&lt;8,"7.5–7.9","8.0+"))))</f>
        <v>6.5–6.9</v>
      </c>
      <c r="Z841" s="3" t="n">
        <f aca="false">IF(T841="","",YEAR(T841))</f>
        <v>2000</v>
      </c>
    </row>
    <row r="842" customFormat="false" ht="13.8" hidden="false" customHeight="false" outlineLevel="0" collapsed="false">
      <c r="A842" s="3" t="s">
        <v>2187</v>
      </c>
      <c r="B842" s="3" t="n">
        <v>6.5</v>
      </c>
      <c r="C842" s="3" t="s">
        <v>2188</v>
      </c>
      <c r="D842" s="3" t="n">
        <v>0</v>
      </c>
      <c r="E842" s="3" t="n">
        <v>9</v>
      </c>
      <c r="F842" s="3"/>
      <c r="G842" s="3" t="n">
        <v>0</v>
      </c>
      <c r="H842" s="3" t="n">
        <v>650</v>
      </c>
      <c r="I842" s="3" t="s">
        <v>22</v>
      </c>
      <c r="J842" s="3" t="n">
        <v>351</v>
      </c>
      <c r="K842" s="3" t="n">
        <v>0</v>
      </c>
      <c r="L842" s="3" t="n">
        <v>0</v>
      </c>
      <c r="M842" s="3" t="s">
        <v>127</v>
      </c>
      <c r="N842" s="3" t="n">
        <v>10</v>
      </c>
      <c r="O842" s="3" t="n">
        <v>63.98</v>
      </c>
      <c r="P842" s="3" t="n">
        <v>-20.758</v>
      </c>
      <c r="Q842" s="3" t="s">
        <v>2189</v>
      </c>
      <c r="R842" s="3"/>
      <c r="S842" s="3" t="s">
        <v>2190</v>
      </c>
      <c r="T842" s="5" t="n">
        <f aca="false">IF(C842="","",DATE(VALUE(MID(C842,7,4)),VALUE(MID(C842,4,2)),VALUE(MID(C842,1,2)))+TIME(VALUE(MID(C842,12,2)),VALUE(MID(C842,15,2)),0))</f>
        <v>36698.0354166667</v>
      </c>
      <c r="U842" s="3" t="str">
        <f aca="false">IFERROR(IF(ISNUMBER(VALUE(TRIM(MID(A842,FIND("-",A842)+1,FIND("km",A842)-FIND("-",A842)-1)))),"Distance + direction + city","Named-region"),"Named-region")</f>
        <v>Distance + direction + city</v>
      </c>
      <c r="V842" s="3" t="str">
        <f aca="false">LOWER(M842)</f>
        <v>mwc</v>
      </c>
      <c r="W842" s="3" t="n">
        <f aca="false">COUNTIFS($A$2:$A$1001,A842,$C$2:$C$1001,C842)</f>
        <v>1</v>
      </c>
      <c r="X842" s="3" t="str">
        <f aca="false">IF(W842&gt;1,"Duplicate","Unique")</f>
        <v>Unique</v>
      </c>
      <c r="Y842" s="3" t="str">
        <f aca="false">IF(B842&lt;6.5,"&lt;6.5",IF(B842&lt;7,"6.5–6.9",IF(B842&lt;7.5,"7.0–7.4",IF(B842&lt;8,"7.5–7.9","8.0+"))))</f>
        <v>6.5–6.9</v>
      </c>
      <c r="Z842" s="3" t="n">
        <f aca="false">IF(T842="","",YEAR(T842))</f>
        <v>2000</v>
      </c>
    </row>
    <row r="843" customFormat="false" ht="13.8" hidden="false" customHeight="false" outlineLevel="0" collapsed="false">
      <c r="A843" s="3" t="s">
        <v>2191</v>
      </c>
      <c r="B843" s="3" t="n">
        <v>7.9</v>
      </c>
      <c r="C843" s="3" t="s">
        <v>2192</v>
      </c>
      <c r="D843" s="3" t="n">
        <v>0</v>
      </c>
      <c r="E843" s="3" t="n">
        <v>5</v>
      </c>
      <c r="F843" s="3"/>
      <c r="G843" s="3" t="n">
        <v>0</v>
      </c>
      <c r="H843" s="3" t="n">
        <v>960</v>
      </c>
      <c r="I843" s="3" t="s">
        <v>22</v>
      </c>
      <c r="J843" s="3" t="n">
        <v>405</v>
      </c>
      <c r="K843" s="3" t="n">
        <v>0</v>
      </c>
      <c r="L843" s="3" t="n">
        <v>0</v>
      </c>
      <c r="M843" s="3" t="s">
        <v>127</v>
      </c>
      <c r="N843" s="3" t="n">
        <v>10</v>
      </c>
      <c r="O843" s="3" t="n">
        <v>-13.802</v>
      </c>
      <c r="P843" s="3" t="n">
        <v>97.453</v>
      </c>
      <c r="Q843" s="3" t="s">
        <v>2193</v>
      </c>
      <c r="R843" s="3"/>
      <c r="S843" s="3"/>
      <c r="T843" s="5" t="n">
        <f aca="false">IF(C843="","",DATE(VALUE(MID(C843,7,4)),VALUE(MID(C843,4,2)),VALUE(MID(C843,1,2)))+TIME(VALUE(MID(C843,12,2)),VALUE(MID(C843,15,2)),0))</f>
        <v>36695.6138888889</v>
      </c>
      <c r="U843" s="3" t="str">
        <f aca="false">IFERROR(IF(ISNUMBER(VALUE(TRIM(MID(A843,FIND("-",A843)+1,FIND("km",A843)-FIND("-",A843)-1)))),"Distance + direction + city","Named-region"),"Named-region")</f>
        <v>Named-region</v>
      </c>
      <c r="V843" s="3" t="str">
        <f aca="false">LOWER(M843)</f>
        <v>mwc</v>
      </c>
      <c r="W843" s="3" t="n">
        <f aca="false">COUNTIFS($A$2:$A$1001,A843,$C$2:$C$1001,C843)</f>
        <v>1</v>
      </c>
      <c r="X843" s="3" t="str">
        <f aca="false">IF(W843&gt;1,"Duplicate","Unique")</f>
        <v>Unique</v>
      </c>
      <c r="Y843" s="3" t="str">
        <f aca="false">IF(B843&lt;6.5,"&lt;6.5",IF(B843&lt;7,"6.5–6.9",IF(B843&lt;7.5,"7.0–7.4",IF(B843&lt;8,"7.5–7.9","8.0+"))))</f>
        <v>7.5–7.9</v>
      </c>
      <c r="Z843" s="3" t="n">
        <f aca="false">IF(T843="","",YEAR(T843))</f>
        <v>2000</v>
      </c>
    </row>
    <row r="844" customFormat="false" ht="13.8" hidden="false" customHeight="false" outlineLevel="0" collapsed="false">
      <c r="A844" s="3" t="s">
        <v>2194</v>
      </c>
      <c r="B844" s="3" t="n">
        <v>6.5</v>
      </c>
      <c r="C844" s="3" t="s">
        <v>2195</v>
      </c>
      <c r="D844" s="3" t="n">
        <v>0</v>
      </c>
      <c r="E844" s="3" t="n">
        <v>8</v>
      </c>
      <c r="F844" s="3"/>
      <c r="G844" s="3" t="n">
        <v>0</v>
      </c>
      <c r="H844" s="3" t="n">
        <v>650</v>
      </c>
      <c r="I844" s="3" t="s">
        <v>22</v>
      </c>
      <c r="J844" s="3" t="n">
        <v>406</v>
      </c>
      <c r="K844" s="3" t="n">
        <v>0</v>
      </c>
      <c r="L844" s="3" t="n">
        <v>0</v>
      </c>
      <c r="M844" s="3" t="s">
        <v>127</v>
      </c>
      <c r="N844" s="3" t="n">
        <v>10</v>
      </c>
      <c r="O844" s="3" t="n">
        <v>63.966</v>
      </c>
      <c r="P844" s="3" t="n">
        <v>-20.487</v>
      </c>
      <c r="Q844" s="3" t="s">
        <v>2189</v>
      </c>
      <c r="R844" s="3"/>
      <c r="S844" s="3" t="s">
        <v>2190</v>
      </c>
      <c r="T844" s="5" t="n">
        <f aca="false">IF(C844="","",DATE(VALUE(MID(C844,7,4)),VALUE(MID(C844,4,2)),VALUE(MID(C844,1,2)))+TIME(VALUE(MID(C844,12,2)),VALUE(MID(C844,15,2)),0))</f>
        <v>36694.6527777778</v>
      </c>
      <c r="U844" s="3" t="str">
        <f aca="false">IFERROR(IF(ISNUMBER(VALUE(TRIM(MID(A844,FIND("-",A844)+1,FIND("km",A844)-FIND("-",A844)-1)))),"Distance + direction + city","Named-region"),"Named-region")</f>
        <v>Distance + direction + city</v>
      </c>
      <c r="V844" s="3" t="str">
        <f aca="false">LOWER(M844)</f>
        <v>mwc</v>
      </c>
      <c r="W844" s="3" t="n">
        <f aca="false">COUNTIFS($A$2:$A$1001,A844,$C$2:$C$1001,C844)</f>
        <v>1</v>
      </c>
      <c r="X844" s="3" t="str">
        <f aca="false">IF(W844&gt;1,"Duplicate","Unique")</f>
        <v>Unique</v>
      </c>
      <c r="Y844" s="3" t="str">
        <f aca="false">IF(B844&lt;6.5,"&lt;6.5",IF(B844&lt;7,"6.5–6.9",IF(B844&lt;7.5,"7.0–7.4",IF(B844&lt;8,"7.5–7.9","8.0+"))))</f>
        <v>6.5–6.9</v>
      </c>
      <c r="Z844" s="3" t="n">
        <f aca="false">IF(T844="","",YEAR(T844))</f>
        <v>2000</v>
      </c>
    </row>
    <row r="845" customFormat="false" ht="13.8" hidden="false" customHeight="false" outlineLevel="0" collapsed="false">
      <c r="A845" s="3" t="s">
        <v>2196</v>
      </c>
      <c r="B845" s="3" t="n">
        <v>6.7</v>
      </c>
      <c r="C845" s="6" t="s">
        <v>2197</v>
      </c>
      <c r="D845" s="3" t="n">
        <v>0</v>
      </c>
      <c r="E845" s="3" t="n">
        <v>5</v>
      </c>
      <c r="F845" s="3"/>
      <c r="G845" s="3" t="n">
        <v>0</v>
      </c>
      <c r="H845" s="3" t="n">
        <v>691</v>
      </c>
      <c r="I845" s="3" t="s">
        <v>22</v>
      </c>
      <c r="J845" s="3" t="n">
        <v>352</v>
      </c>
      <c r="K845" s="3" t="n">
        <v>0</v>
      </c>
      <c r="L845" s="3" t="n">
        <v>0</v>
      </c>
      <c r="M845" s="3" t="s">
        <v>127</v>
      </c>
      <c r="N845" s="3" t="n">
        <v>33</v>
      </c>
      <c r="O845" s="3" t="n">
        <v>-4.612</v>
      </c>
      <c r="P845" s="3" t="n">
        <v>101.905</v>
      </c>
      <c r="Q845" s="3" t="s">
        <v>143</v>
      </c>
      <c r="R845" s="3"/>
      <c r="S845" s="3" t="s">
        <v>68</v>
      </c>
      <c r="T845" s="5" t="n">
        <f aca="false">IF(C845="","",DATE(VALUE(MID(C845,7,4)),VALUE(MID(C845,4,2)),VALUE(MID(C845,1,2)))+TIME(VALUE(MID(C845,12,2)),VALUE(MID(C845,15,2)),0))</f>
        <v>36684.9895833333</v>
      </c>
      <c r="U845" s="3" t="str">
        <f aca="false">IFERROR(IF(ISNUMBER(VALUE(TRIM(MID(A845,FIND("-",A845)+1,FIND("km",A845)-FIND("-",A845)-1)))),"Distance + direction + city","Named-region"),"Named-region")</f>
        <v>Distance + direction + city</v>
      </c>
      <c r="V845" s="3" t="str">
        <f aca="false">LOWER(M845)</f>
        <v>mwc</v>
      </c>
      <c r="W845" s="3" t="n">
        <f aca="false">COUNTIFS($A$2:$A$1001,A845,$C$2:$C$1001,C845)</f>
        <v>1</v>
      </c>
      <c r="X845" s="3" t="str">
        <f aca="false">IF(W845&gt;1,"Duplicate","Unique")</f>
        <v>Unique</v>
      </c>
      <c r="Y845" s="3" t="str">
        <f aca="false">IF(B845&lt;6.5,"&lt;6.5",IF(B845&lt;7,"6.5–6.9",IF(B845&lt;7.5,"7.0–7.4",IF(B845&lt;8,"7.5–7.9","8.0+"))))</f>
        <v>6.5–6.9</v>
      </c>
      <c r="Z845" s="3" t="n">
        <f aca="false">IF(T845="","",YEAR(T845))</f>
        <v>2000</v>
      </c>
    </row>
    <row r="846" customFormat="false" ht="13.8" hidden="false" customHeight="false" outlineLevel="0" collapsed="false">
      <c r="A846" s="3" t="s">
        <v>2198</v>
      </c>
      <c r="B846" s="3" t="n">
        <v>6.7</v>
      </c>
      <c r="C846" s="6" t="s">
        <v>2199</v>
      </c>
      <c r="D846" s="3" t="n">
        <v>0</v>
      </c>
      <c r="E846" s="3" t="n">
        <v>5</v>
      </c>
      <c r="F846" s="3"/>
      <c r="G846" s="3" t="n">
        <v>0</v>
      </c>
      <c r="H846" s="3" t="n">
        <v>691</v>
      </c>
      <c r="I846" s="3" t="s">
        <v>22</v>
      </c>
      <c r="J846" s="3" t="n">
        <v>147</v>
      </c>
      <c r="K846" s="3" t="n">
        <v>0</v>
      </c>
      <c r="L846" s="3" t="n">
        <v>0</v>
      </c>
      <c r="M846" s="3" t="s">
        <v>1374</v>
      </c>
      <c r="N846" s="3" t="n">
        <v>33</v>
      </c>
      <c r="O846" s="3" t="n">
        <v>-4.646</v>
      </c>
      <c r="P846" s="3" t="n">
        <v>102.102</v>
      </c>
      <c r="Q846" s="3" t="s">
        <v>143</v>
      </c>
      <c r="R846" s="3"/>
      <c r="S846" s="3" t="s">
        <v>68</v>
      </c>
      <c r="T846" s="5" t="n">
        <f aca="false">IF(C846="","",DATE(VALUE(MID(C846,7,4)),VALUE(MID(C846,4,2)),VALUE(MID(C846,1,2)))+TIME(VALUE(MID(C846,12,2)),VALUE(MID(C846,15,2)),0))</f>
        <v>36681.69375</v>
      </c>
      <c r="U846" s="3" t="str">
        <f aca="false">IFERROR(IF(ISNUMBER(VALUE(TRIM(MID(A846,FIND("-",A846)+1,FIND("km",A846)-FIND("-",A846)-1)))),"Distance + direction + city","Named-region"),"Named-region")</f>
        <v>Distance + direction + city</v>
      </c>
      <c r="V846" s="3" t="str">
        <f aca="false">LOWER(M846)</f>
        <v>mb</v>
      </c>
      <c r="W846" s="3" t="n">
        <f aca="false">COUNTIFS($A$2:$A$1001,A846,$C$2:$C$1001,C846)</f>
        <v>1</v>
      </c>
      <c r="X846" s="3" t="str">
        <f aca="false">IF(W846&gt;1,"Duplicate","Unique")</f>
        <v>Unique</v>
      </c>
      <c r="Y846" s="3" t="str">
        <f aca="false">IF(B846&lt;6.5,"&lt;6.5",IF(B846&lt;7,"6.5–6.9",IF(B846&lt;7.5,"7.0–7.4",IF(B846&lt;8,"7.5–7.9","8.0+"))))</f>
        <v>6.5–6.9</v>
      </c>
      <c r="Z846" s="3" t="n">
        <f aca="false">IF(T846="","",YEAR(T846))</f>
        <v>2000</v>
      </c>
    </row>
    <row r="847" customFormat="false" ht="13.8" hidden="false" customHeight="false" outlineLevel="0" collapsed="false">
      <c r="A847" s="3" t="s">
        <v>2200</v>
      </c>
      <c r="B847" s="3" t="n">
        <v>7.9</v>
      </c>
      <c r="C847" s="6" t="s">
        <v>2201</v>
      </c>
      <c r="D847" s="3" t="n">
        <v>0</v>
      </c>
      <c r="E847" s="3" t="n">
        <v>8</v>
      </c>
      <c r="F847" s="3"/>
      <c r="G847" s="3" t="n">
        <v>0</v>
      </c>
      <c r="H847" s="3" t="n">
        <v>960</v>
      </c>
      <c r="I847" s="3" t="s">
        <v>22</v>
      </c>
      <c r="J847" s="3" t="n">
        <v>379</v>
      </c>
      <c r="K847" s="3" t="n">
        <v>0</v>
      </c>
      <c r="L847" s="3" t="n">
        <v>0</v>
      </c>
      <c r="M847" s="3" t="s">
        <v>127</v>
      </c>
      <c r="N847" s="3" t="n">
        <v>33</v>
      </c>
      <c r="O847" s="3" t="n">
        <v>-4.721</v>
      </c>
      <c r="P847" s="3" t="n">
        <v>102.087</v>
      </c>
      <c r="Q847" s="3" t="s">
        <v>143</v>
      </c>
      <c r="R847" s="3"/>
      <c r="S847" s="3" t="s">
        <v>68</v>
      </c>
      <c r="T847" s="5" t="n">
        <f aca="false">IF(C847="","",DATE(VALUE(MID(C847,7,4)),VALUE(MID(C847,4,2)),VALUE(MID(C847,1,2)))+TIME(VALUE(MID(C847,12,2)),VALUE(MID(C847,15,2)),0))</f>
        <v>36681.6861111111</v>
      </c>
      <c r="U847" s="3" t="str">
        <f aca="false">IFERROR(IF(ISNUMBER(VALUE(TRIM(MID(A847,FIND("-",A847)+1,FIND("km",A847)-FIND("-",A847)-1)))),"Distance + direction + city","Named-region"),"Named-region")</f>
        <v>Distance + direction + city</v>
      </c>
      <c r="V847" s="3" t="str">
        <f aca="false">LOWER(M847)</f>
        <v>mwc</v>
      </c>
      <c r="W847" s="3" t="n">
        <f aca="false">COUNTIFS($A$2:$A$1001,A847,$C$2:$C$1001,C847)</f>
        <v>1</v>
      </c>
      <c r="X847" s="3" t="str">
        <f aca="false">IF(W847&gt;1,"Duplicate","Unique")</f>
        <v>Unique</v>
      </c>
      <c r="Y847" s="3" t="str">
        <f aca="false">IF(B847&lt;6.5,"&lt;6.5",IF(B847&lt;7,"6.5–6.9",IF(B847&lt;7.5,"7.0–7.4",IF(B847&lt;8,"7.5–7.9","8.0+"))))</f>
        <v>7.5–7.9</v>
      </c>
      <c r="Z847" s="3" t="n">
        <f aca="false">IF(T847="","",YEAR(T847))</f>
        <v>2000</v>
      </c>
    </row>
    <row r="848" customFormat="false" ht="13.8" hidden="false" customHeight="false" outlineLevel="0" collapsed="false">
      <c r="A848" s="3" t="s">
        <v>2202</v>
      </c>
      <c r="B848" s="3" t="n">
        <v>7.2</v>
      </c>
      <c r="C848" s="6" t="s">
        <v>2203</v>
      </c>
      <c r="D848" s="3" t="n">
        <v>0</v>
      </c>
      <c r="E848" s="3" t="n">
        <v>5</v>
      </c>
      <c r="F848" s="3"/>
      <c r="G848" s="3" t="n">
        <v>0</v>
      </c>
      <c r="H848" s="3" t="n">
        <v>798</v>
      </c>
      <c r="I848" s="3" t="s">
        <v>22</v>
      </c>
      <c r="J848" s="3" t="n">
        <v>0</v>
      </c>
      <c r="K848" s="3" t="n">
        <v>0</v>
      </c>
      <c r="L848" s="3" t="n">
        <v>0</v>
      </c>
      <c r="M848" s="3" t="s">
        <v>127</v>
      </c>
      <c r="N848" s="3" t="n">
        <v>225</v>
      </c>
      <c r="O848" s="3" t="n">
        <v>-23.548</v>
      </c>
      <c r="P848" s="3" t="n">
        <v>-66.452</v>
      </c>
      <c r="Q848" s="3" t="s">
        <v>88</v>
      </c>
      <c r="R848" s="3" t="s">
        <v>33</v>
      </c>
      <c r="S848" s="3" t="s">
        <v>34</v>
      </c>
      <c r="T848" s="5" t="n">
        <f aca="false">IF(C848="","",DATE(VALUE(MID(C848,7,4)),VALUE(MID(C848,4,2)),VALUE(MID(C848,1,2)))+TIME(VALUE(MID(C848,12,2)),VALUE(MID(C848,15,2)),0))</f>
        <v>36658.7798611111</v>
      </c>
      <c r="U848" s="3" t="str">
        <f aca="false">IFERROR(IF(ISNUMBER(VALUE(TRIM(MID(A848,FIND("-",A848)+1,FIND("km",A848)-FIND("-",A848)-1)))),"Distance + direction + city","Named-region"),"Named-region")</f>
        <v>Distance + direction + city</v>
      </c>
      <c r="V848" s="3" t="str">
        <f aca="false">LOWER(M848)</f>
        <v>mwc</v>
      </c>
      <c r="W848" s="3" t="n">
        <f aca="false">COUNTIFS($A$2:$A$1001,A848,$C$2:$C$1001,C848)</f>
        <v>1</v>
      </c>
      <c r="X848" s="3" t="str">
        <f aca="false">IF(W848&gt;1,"Duplicate","Unique")</f>
        <v>Unique</v>
      </c>
      <c r="Y848" s="3" t="str">
        <f aca="false">IF(B848&lt;6.5,"&lt;6.5",IF(B848&lt;7,"6.5–6.9",IF(B848&lt;7.5,"7.0–7.4",IF(B848&lt;8,"7.5–7.9","8.0+"))))</f>
        <v>7.0–7.4</v>
      </c>
      <c r="Z848" s="3" t="n">
        <f aca="false">IF(T848="","",YEAR(T848))</f>
        <v>2000</v>
      </c>
    </row>
    <row r="849" customFormat="false" ht="13.8" hidden="false" customHeight="false" outlineLevel="0" collapsed="false">
      <c r="A849" s="3" t="s">
        <v>2204</v>
      </c>
      <c r="B849" s="3" t="n">
        <v>7.6</v>
      </c>
      <c r="C849" s="6" t="s">
        <v>2205</v>
      </c>
      <c r="D849" s="3" t="n">
        <v>0</v>
      </c>
      <c r="E849" s="3" t="n">
        <v>7</v>
      </c>
      <c r="F849" s="3"/>
      <c r="G849" s="3" t="n">
        <v>0</v>
      </c>
      <c r="H849" s="3" t="n">
        <v>889</v>
      </c>
      <c r="I849" s="3" t="s">
        <v>22</v>
      </c>
      <c r="J849" s="3" t="n">
        <v>0</v>
      </c>
      <c r="K849" s="3" t="n">
        <v>0</v>
      </c>
      <c r="L849" s="3" t="n">
        <v>0</v>
      </c>
      <c r="M849" s="3" t="s">
        <v>127</v>
      </c>
      <c r="N849" s="3" t="n">
        <v>26</v>
      </c>
      <c r="O849" s="3" t="n">
        <v>-1.105</v>
      </c>
      <c r="P849" s="3" t="n">
        <v>123.573</v>
      </c>
      <c r="Q849" s="3" t="s">
        <v>507</v>
      </c>
      <c r="R849" s="3"/>
      <c r="S849" s="3" t="s">
        <v>68</v>
      </c>
      <c r="T849" s="5" t="n">
        <f aca="false">IF(C849="","",DATE(VALUE(MID(C849,7,4)),VALUE(MID(C849,4,2)),VALUE(MID(C849,1,2)))+TIME(VALUE(MID(C849,12,2)),VALUE(MID(C849,15,2)),0))</f>
        <v>36650.18125</v>
      </c>
      <c r="U849" s="3" t="str">
        <f aca="false">IFERROR(IF(ISNUMBER(VALUE(TRIM(MID(A849,FIND("-",A849)+1,FIND("km",A849)-FIND("-",A849)-1)))),"Distance + direction + city","Named-region"),"Named-region")</f>
        <v>Distance + direction + city</v>
      </c>
      <c r="V849" s="3" t="str">
        <f aca="false">LOWER(M849)</f>
        <v>mwc</v>
      </c>
      <c r="W849" s="3" t="n">
        <f aca="false">COUNTIFS($A$2:$A$1001,A849,$C$2:$C$1001,C849)</f>
        <v>1</v>
      </c>
      <c r="X849" s="3" t="str">
        <f aca="false">IF(W849&gt;1,"Duplicate","Unique")</f>
        <v>Unique</v>
      </c>
      <c r="Y849" s="3" t="str">
        <f aca="false">IF(B849&lt;6.5,"&lt;6.5",IF(B849&lt;7,"6.5–6.9",IF(B849&lt;7.5,"7.0–7.4",IF(B849&lt;8,"7.5–7.9","8.0+"))))</f>
        <v>7.5–7.9</v>
      </c>
      <c r="Z849" s="3" t="n">
        <f aca="false">IF(T849="","",YEAR(T849))</f>
        <v>2000</v>
      </c>
    </row>
    <row r="850" customFormat="false" ht="13.8" hidden="false" customHeight="false" outlineLevel="0" collapsed="false">
      <c r="A850" s="3" t="s">
        <v>2206</v>
      </c>
      <c r="B850" s="3" t="n">
        <v>6.6</v>
      </c>
      <c r="C850" s="6" t="s">
        <v>2207</v>
      </c>
      <c r="D850" s="3" t="n">
        <v>0</v>
      </c>
      <c r="E850" s="3" t="n">
        <v>8</v>
      </c>
      <c r="F850" s="3"/>
      <c r="G850" s="3" t="n">
        <v>0</v>
      </c>
      <c r="H850" s="3" t="n">
        <v>670</v>
      </c>
      <c r="I850" s="3" t="s">
        <v>22</v>
      </c>
      <c r="J850" s="3" t="n">
        <v>0</v>
      </c>
      <c r="K850" s="3" t="n">
        <v>0</v>
      </c>
      <c r="L850" s="3" t="n">
        <v>0</v>
      </c>
      <c r="M850" s="3" t="s">
        <v>127</v>
      </c>
      <c r="N850" s="3" t="n">
        <v>10</v>
      </c>
      <c r="O850" s="3" t="n">
        <v>-6.817</v>
      </c>
      <c r="P850" s="3" t="n">
        <v>143.807</v>
      </c>
      <c r="Q850" s="3" t="s">
        <v>2208</v>
      </c>
      <c r="R850" s="3"/>
      <c r="S850" s="3" t="s">
        <v>85</v>
      </c>
      <c r="T850" s="5" t="n">
        <f aca="false">IF(C850="","",DATE(VALUE(MID(C850,7,4)),VALUE(MID(C850,4,2)),VALUE(MID(C850,1,2)))+TIME(VALUE(MID(C850,12,2)),VALUE(MID(C850,15,2)),0))</f>
        <v>36588.9319444444</v>
      </c>
      <c r="U850" s="3" t="str">
        <f aca="false">IFERROR(IF(ISNUMBER(VALUE(TRIM(MID(A850,FIND("-",A850)+1,FIND("km",A850)-FIND("-",A850)-1)))),"Distance + direction + city","Named-region"),"Named-region")</f>
        <v>Distance + direction + city</v>
      </c>
      <c r="V850" s="3" t="str">
        <f aca="false">LOWER(M850)</f>
        <v>mwc</v>
      </c>
      <c r="W850" s="3" t="n">
        <f aca="false">COUNTIFS($A$2:$A$1001,A850,$C$2:$C$1001,C850)</f>
        <v>1</v>
      </c>
      <c r="X850" s="3" t="str">
        <f aca="false">IF(W850&gt;1,"Duplicate","Unique")</f>
        <v>Unique</v>
      </c>
      <c r="Y850" s="3" t="str">
        <f aca="false">IF(B850&lt;6.5,"&lt;6.5",IF(B850&lt;7,"6.5–6.9",IF(B850&lt;7.5,"7.0–7.4",IF(B850&lt;8,"7.5–7.9","8.0+"))))</f>
        <v>6.5–6.9</v>
      </c>
      <c r="Z850" s="3" t="n">
        <f aca="false">IF(T850="","",YEAR(T850))</f>
        <v>2000</v>
      </c>
    </row>
    <row r="851" customFormat="false" ht="13.8" hidden="false" customHeight="false" outlineLevel="0" collapsed="false">
      <c r="A851" s="3" t="s">
        <v>2209</v>
      </c>
      <c r="B851" s="3" t="n">
        <v>6.6</v>
      </c>
      <c r="C851" s="6" t="s">
        <v>2210</v>
      </c>
      <c r="D851" s="3" t="n">
        <v>0</v>
      </c>
      <c r="E851" s="3" t="n">
        <v>6</v>
      </c>
      <c r="F851" s="3"/>
      <c r="G851" s="3" t="n">
        <v>0</v>
      </c>
      <c r="H851" s="3" t="n">
        <v>670</v>
      </c>
      <c r="I851" s="3" t="s">
        <v>22</v>
      </c>
      <c r="J851" s="3" t="n">
        <v>0</v>
      </c>
      <c r="K851" s="3" t="n">
        <v>0</v>
      </c>
      <c r="L851" s="3" t="n">
        <v>0</v>
      </c>
      <c r="M851" s="3" t="s">
        <v>127</v>
      </c>
      <c r="N851" s="3" t="n">
        <v>33</v>
      </c>
      <c r="O851" s="3" t="n">
        <v>-5.844</v>
      </c>
      <c r="P851" s="3" t="n">
        <v>150.876</v>
      </c>
      <c r="Q851" s="3" t="s">
        <v>107</v>
      </c>
      <c r="R851" s="3"/>
      <c r="S851" s="3" t="s">
        <v>85</v>
      </c>
      <c r="T851" s="5" t="n">
        <f aca="false">IF(C851="","",DATE(VALUE(MID(C851,7,4)),VALUE(MID(C851,4,2)),VALUE(MID(C851,1,2)))+TIME(VALUE(MID(C851,12,2)),VALUE(MID(C851,15,2)),0))</f>
        <v>36562.48125</v>
      </c>
      <c r="U851" s="3" t="str">
        <f aca="false">IFERROR(IF(ISNUMBER(VALUE(TRIM(MID(A851,FIND("-",A851)+1,FIND("km",A851)-FIND("-",A851)-1)))),"Distance + direction + city","Named-region"),"Named-region")</f>
        <v>Distance + direction + city</v>
      </c>
      <c r="V851" s="3" t="str">
        <f aca="false">LOWER(M851)</f>
        <v>mwc</v>
      </c>
      <c r="W851" s="3" t="n">
        <f aca="false">COUNTIFS($A$2:$A$1001,A851,$C$2:$C$1001,C851)</f>
        <v>1</v>
      </c>
      <c r="X851" s="3" t="str">
        <f aca="false">IF(W851&gt;1,"Duplicate","Unique")</f>
        <v>Unique</v>
      </c>
      <c r="Y851" s="3" t="str">
        <f aca="false">IF(B851&lt;6.5,"&lt;6.5",IF(B851&lt;7,"6.5–6.9",IF(B851&lt;7.5,"7.0–7.4",IF(B851&lt;8,"7.5–7.9","8.0+"))))</f>
        <v>6.5–6.9</v>
      </c>
      <c r="Z851" s="3" t="n">
        <f aca="false">IF(T851="","",YEAR(T851))</f>
        <v>2000</v>
      </c>
    </row>
    <row r="852" customFormat="false" ht="13.8" hidden="false" customHeight="false" outlineLevel="0" collapsed="false">
      <c r="A852" s="3" t="s">
        <v>2211</v>
      </c>
      <c r="B852" s="3" t="n">
        <v>6.8</v>
      </c>
      <c r="C852" s="3" t="s">
        <v>2212</v>
      </c>
      <c r="D852" s="3" t="n">
        <v>0</v>
      </c>
      <c r="E852" s="3" t="n">
        <v>6</v>
      </c>
      <c r="F852" s="3"/>
      <c r="G852" s="3" t="n">
        <v>0</v>
      </c>
      <c r="H852" s="3" t="n">
        <v>711</v>
      </c>
      <c r="I852" s="3" t="s">
        <v>22</v>
      </c>
      <c r="J852" s="3" t="n">
        <v>0</v>
      </c>
      <c r="K852" s="3" t="n">
        <v>0</v>
      </c>
      <c r="L852" s="3" t="n">
        <v>0</v>
      </c>
      <c r="M852" s="3" t="s">
        <v>127</v>
      </c>
      <c r="N852" s="3" t="n">
        <v>61.1</v>
      </c>
      <c r="O852" s="3" t="n">
        <v>43.046</v>
      </c>
      <c r="P852" s="3" t="n">
        <v>146.837</v>
      </c>
      <c r="Q852" s="3" t="s">
        <v>2213</v>
      </c>
      <c r="R852" s="3"/>
      <c r="S852" s="3"/>
      <c r="T852" s="5" t="n">
        <f aca="false">IF(C852="","",DATE(VALUE(MID(C852,7,4)),VALUE(MID(C852,4,2)),VALUE(MID(C852,1,2)))+TIME(VALUE(MID(C852,12,2)),VALUE(MID(C852,15,2)),0))</f>
        <v>36553.5979166667</v>
      </c>
      <c r="U852" s="3" t="str">
        <f aca="false">IFERROR(IF(ISNUMBER(VALUE(TRIM(MID(A852,FIND("-",A852)+1,FIND("km",A852)-FIND("-",A852)-1)))),"Distance + direction + city","Named-region"),"Named-region")</f>
        <v>Distance + direction + city</v>
      </c>
      <c r="V852" s="3" t="str">
        <f aca="false">LOWER(M852)</f>
        <v>mwc</v>
      </c>
      <c r="W852" s="3" t="n">
        <f aca="false">COUNTIFS($A$2:$A$1001,A852,$C$2:$C$1001,C852)</f>
        <v>1</v>
      </c>
      <c r="X852" s="3" t="str">
        <f aca="false">IF(W852&gt;1,"Duplicate","Unique")</f>
        <v>Unique</v>
      </c>
      <c r="Y852" s="3" t="str">
        <f aca="false">IF(B852&lt;6.5,"&lt;6.5",IF(B852&lt;7,"6.5–6.9",IF(B852&lt;7.5,"7.0–7.4",IF(B852&lt;8,"7.5–7.9","8.0+"))))</f>
        <v>6.5–6.9</v>
      </c>
      <c r="Z852" s="3" t="n">
        <f aca="false">IF(T852="","",YEAR(T852))</f>
        <v>2000</v>
      </c>
    </row>
    <row r="853" customFormat="false" ht="13.8" hidden="false" customHeight="false" outlineLevel="0" collapsed="false">
      <c r="A853" s="3" t="s">
        <v>2214</v>
      </c>
      <c r="B853" s="3" t="n">
        <v>7.2</v>
      </c>
      <c r="C853" s="6" t="s">
        <v>2215</v>
      </c>
      <c r="D853" s="3" t="n">
        <v>0</v>
      </c>
      <c r="E853" s="3" t="n">
        <v>6</v>
      </c>
      <c r="F853" s="3"/>
      <c r="G853" s="3" t="n">
        <v>0</v>
      </c>
      <c r="H853" s="3" t="n">
        <v>798</v>
      </c>
      <c r="I853" s="3" t="s">
        <v>22</v>
      </c>
      <c r="J853" s="3" t="n">
        <v>0</v>
      </c>
      <c r="K853" s="3" t="n">
        <v>0</v>
      </c>
      <c r="L853" s="3" t="n">
        <v>0</v>
      </c>
      <c r="M853" s="3" t="s">
        <v>127</v>
      </c>
      <c r="N853" s="3" t="n">
        <v>183.4</v>
      </c>
      <c r="O853" s="3" t="n">
        <v>-16.925</v>
      </c>
      <c r="P853" s="3" t="n">
        <v>-174.248</v>
      </c>
      <c r="Q853" s="3" t="s">
        <v>62</v>
      </c>
      <c r="R853" s="3"/>
      <c r="S853" s="3"/>
      <c r="T853" s="5" t="n">
        <f aca="false">IF(C853="","",DATE(VALUE(MID(C853,7,4)),VALUE(MID(C853,4,2)),VALUE(MID(C853,1,2)))+TIME(VALUE(MID(C853,12,2)),VALUE(MID(C853,15,2)),0))</f>
        <v>36533.6993055556</v>
      </c>
      <c r="U853" s="3" t="str">
        <f aca="false">IFERROR(IF(ISNUMBER(VALUE(TRIM(MID(A853,FIND("-",A853)+1,FIND("km",A853)-FIND("-",A853)-1)))),"Distance + direction + city","Named-region"),"Named-region")</f>
        <v>Distance + direction + city</v>
      </c>
      <c r="V853" s="3" t="str">
        <f aca="false">LOWER(M853)</f>
        <v>mwc</v>
      </c>
      <c r="W853" s="3" t="n">
        <f aca="false">COUNTIFS($A$2:$A$1001,A853,$C$2:$C$1001,C853)</f>
        <v>1</v>
      </c>
      <c r="X853" s="3" t="str">
        <f aca="false">IF(W853&gt;1,"Duplicate","Unique")</f>
        <v>Unique</v>
      </c>
      <c r="Y853" s="3" t="str">
        <f aca="false">IF(B853&lt;6.5,"&lt;6.5",IF(B853&lt;7,"6.5–6.9",IF(B853&lt;7.5,"7.0–7.4",IF(B853&lt;8,"7.5–7.9","8.0+"))))</f>
        <v>7.0–7.4</v>
      </c>
      <c r="Z853" s="3" t="n">
        <f aca="false">IF(T853="","",YEAR(T853))</f>
        <v>2000</v>
      </c>
    </row>
    <row r="854" customFormat="false" ht="13.8" hidden="false" customHeight="false" outlineLevel="0" collapsed="false">
      <c r="A854" s="3" t="s">
        <v>2216</v>
      </c>
      <c r="B854" s="3" t="n">
        <v>6.9</v>
      </c>
      <c r="C854" s="3" t="s">
        <v>2217</v>
      </c>
      <c r="D854" s="3" t="n">
        <v>0</v>
      </c>
      <c r="E854" s="3" t="n">
        <v>6</v>
      </c>
      <c r="F854" s="3"/>
      <c r="G854" s="3" t="n">
        <v>0</v>
      </c>
      <c r="H854" s="3" t="n">
        <v>732</v>
      </c>
      <c r="I854" s="3" t="s">
        <v>22</v>
      </c>
      <c r="J854" s="3" t="n">
        <v>0</v>
      </c>
      <c r="K854" s="3" t="n">
        <v>0</v>
      </c>
      <c r="L854" s="3" t="n">
        <v>0</v>
      </c>
      <c r="M854" s="3" t="s">
        <v>154</v>
      </c>
      <c r="N854" s="3" t="n">
        <v>33</v>
      </c>
      <c r="O854" s="3" t="n">
        <v>-10.86</v>
      </c>
      <c r="P854" s="3" t="n">
        <v>165.354</v>
      </c>
      <c r="Q854" s="3" t="s">
        <v>412</v>
      </c>
      <c r="R854" s="3"/>
      <c r="S854" s="3"/>
      <c r="T854" s="5" t="n">
        <f aca="false">IF(C854="","",DATE(VALUE(MID(C854,7,4)),VALUE(MID(C854,4,2)),VALUE(MID(C854,1,2)))+TIME(VALUE(MID(C854,12,2)),VALUE(MID(C854,15,2)),0))</f>
        <v>36523.5618055556</v>
      </c>
      <c r="U854" s="3" t="str">
        <f aca="false">IFERROR(IF(ISNUMBER(VALUE(TRIM(MID(A854,FIND("-",A854)+1,FIND("km",A854)-FIND("-",A854)-1)))),"Distance + direction + city","Named-region"),"Named-region")</f>
        <v>Distance + direction + city</v>
      </c>
      <c r="V854" s="3" t="str">
        <f aca="false">LOWER(M854)</f>
        <v>mwb</v>
      </c>
      <c r="W854" s="3" t="n">
        <f aca="false">COUNTIFS($A$2:$A$1001,A854,$C$2:$C$1001,C854)</f>
        <v>1</v>
      </c>
      <c r="X854" s="3" t="str">
        <f aca="false">IF(W854&gt;1,"Duplicate","Unique")</f>
        <v>Unique</v>
      </c>
      <c r="Y854" s="3" t="str">
        <f aca="false">IF(B854&lt;6.5,"&lt;6.5",IF(B854&lt;7,"6.5–6.9",IF(B854&lt;7.5,"7.0–7.4",IF(B854&lt;8,"7.5–7.9","8.0+"))))</f>
        <v>6.5–6.9</v>
      </c>
      <c r="Z854" s="3" t="n">
        <f aca="false">IF(T854="","",YEAR(T854))</f>
        <v>1999</v>
      </c>
    </row>
    <row r="855" customFormat="false" ht="13.8" hidden="false" customHeight="false" outlineLevel="0" collapsed="false">
      <c r="A855" s="3" t="s">
        <v>2218</v>
      </c>
      <c r="B855" s="3" t="n">
        <v>6.5</v>
      </c>
      <c r="C855" s="3" t="s">
        <v>2219</v>
      </c>
      <c r="D855" s="3" t="n">
        <v>0</v>
      </c>
      <c r="E855" s="3" t="n">
        <v>6</v>
      </c>
      <c r="F855" s="3"/>
      <c r="G855" s="3" t="n">
        <v>0</v>
      </c>
      <c r="H855" s="3" t="n">
        <v>650</v>
      </c>
      <c r="I855" s="3" t="s">
        <v>22</v>
      </c>
      <c r="J855" s="3" t="n">
        <v>0</v>
      </c>
      <c r="K855" s="3" t="n">
        <v>0</v>
      </c>
      <c r="L855" s="3" t="n">
        <v>0</v>
      </c>
      <c r="M855" s="3" t="s">
        <v>154</v>
      </c>
      <c r="N855" s="3" t="n">
        <v>56</v>
      </c>
      <c r="O855" s="3" t="n">
        <v>-6.845</v>
      </c>
      <c r="P855" s="3" t="n">
        <v>105.555</v>
      </c>
      <c r="Q855" s="3" t="s">
        <v>231</v>
      </c>
      <c r="R855" s="3"/>
      <c r="S855" s="3" t="s">
        <v>68</v>
      </c>
      <c r="T855" s="5" t="n">
        <f aca="false">IF(C855="","",DATE(VALUE(MID(C855,7,4)),VALUE(MID(C855,4,2)),VALUE(MID(C855,1,2)))+TIME(VALUE(MID(C855,12,2)),VALUE(MID(C855,15,2)),0))</f>
        <v>36515.5930555556</v>
      </c>
      <c r="U855" s="3" t="str">
        <f aca="false">IFERROR(IF(ISNUMBER(VALUE(TRIM(MID(A855,FIND("-",A855)+1,FIND("km",A855)-FIND("-",A855)-1)))),"Distance + direction + city","Named-region"),"Named-region")</f>
        <v>Distance + direction + city</v>
      </c>
      <c r="V855" s="3" t="str">
        <f aca="false">LOWER(M855)</f>
        <v>mwb</v>
      </c>
      <c r="W855" s="3" t="n">
        <f aca="false">COUNTIFS($A$2:$A$1001,A855,$C$2:$C$1001,C855)</f>
        <v>1</v>
      </c>
      <c r="X855" s="3" t="str">
        <f aca="false">IF(W855&gt;1,"Duplicate","Unique")</f>
        <v>Unique</v>
      </c>
      <c r="Y855" s="3" t="str">
        <f aca="false">IF(B855&lt;6.5,"&lt;6.5",IF(B855&lt;7,"6.5–6.9",IF(B855&lt;7.5,"7.0–7.4",IF(B855&lt;8,"7.5–7.9","8.0+"))))</f>
        <v>6.5–6.9</v>
      </c>
      <c r="Z855" s="3" t="n">
        <f aca="false">IF(T855="","",YEAR(T855))</f>
        <v>1999</v>
      </c>
    </row>
    <row r="856" customFormat="false" ht="13.8" hidden="false" customHeight="false" outlineLevel="0" collapsed="false">
      <c r="A856" s="3" t="s">
        <v>2220</v>
      </c>
      <c r="B856" s="3" t="n">
        <v>7.3</v>
      </c>
      <c r="C856" s="6" t="s">
        <v>2221</v>
      </c>
      <c r="D856" s="3" t="n">
        <v>0</v>
      </c>
      <c r="E856" s="3" t="n">
        <v>7</v>
      </c>
      <c r="F856" s="3"/>
      <c r="G856" s="3" t="n">
        <v>0</v>
      </c>
      <c r="H856" s="3" t="n">
        <v>820</v>
      </c>
      <c r="I856" s="3" t="s">
        <v>22</v>
      </c>
      <c r="J856" s="3" t="n">
        <v>0</v>
      </c>
      <c r="K856" s="3" t="n">
        <v>0</v>
      </c>
      <c r="L856" s="3" t="n">
        <v>0</v>
      </c>
      <c r="M856" s="3" t="s">
        <v>127</v>
      </c>
      <c r="N856" s="3" t="n">
        <v>33</v>
      </c>
      <c r="O856" s="3" t="n">
        <v>15.766</v>
      </c>
      <c r="P856" s="3" t="n">
        <v>119.74</v>
      </c>
      <c r="Q856" s="3" t="s">
        <v>2222</v>
      </c>
      <c r="R856" s="3"/>
      <c r="S856" s="3" t="s">
        <v>191</v>
      </c>
      <c r="T856" s="5" t="n">
        <f aca="false">IF(C856="","",DATE(VALUE(MID(C856,7,4)),VALUE(MID(C856,4,2)),VALUE(MID(C856,1,2)))+TIME(VALUE(MID(C856,12,2)),VALUE(MID(C856,15,2)),0))</f>
        <v>36505.7520833333</v>
      </c>
      <c r="U856" s="3" t="str">
        <f aca="false">IFERROR(IF(ISNUMBER(VALUE(TRIM(MID(A856,FIND("-",A856)+1,FIND("km",A856)-FIND("-",A856)-1)))),"Distance + direction + city","Named-region"),"Named-region")</f>
        <v>Distance + direction + city</v>
      </c>
      <c r="V856" s="3" t="str">
        <f aca="false">LOWER(M856)</f>
        <v>mwc</v>
      </c>
      <c r="W856" s="3" t="n">
        <f aca="false">COUNTIFS($A$2:$A$1001,A856,$C$2:$C$1001,C856)</f>
        <v>1</v>
      </c>
      <c r="X856" s="3" t="str">
        <f aca="false">IF(W856&gt;1,"Duplicate","Unique")</f>
        <v>Unique</v>
      </c>
      <c r="Y856" s="3" t="str">
        <f aca="false">IF(B856&lt;6.5,"&lt;6.5",IF(B856&lt;7,"6.5–6.9",IF(B856&lt;7.5,"7.0–7.4",IF(B856&lt;8,"7.5–7.9","8.0+"))))</f>
        <v>7.0–7.4</v>
      </c>
      <c r="Z856" s="3" t="n">
        <f aca="false">IF(T856="","",YEAR(T856))</f>
        <v>1999</v>
      </c>
    </row>
    <row r="857" customFormat="false" ht="13.8" hidden="false" customHeight="false" outlineLevel="0" collapsed="false">
      <c r="A857" s="3" t="s">
        <v>2223</v>
      </c>
      <c r="B857" s="3" t="n">
        <v>7</v>
      </c>
      <c r="C857" s="6" t="s">
        <v>2224</v>
      </c>
      <c r="D857" s="3" t="n">
        <v>0</v>
      </c>
      <c r="E857" s="3" t="n">
        <v>7</v>
      </c>
      <c r="F857" s="3"/>
      <c r="G857" s="3" t="n">
        <v>0</v>
      </c>
      <c r="H857" s="3" t="n">
        <v>754</v>
      </c>
      <c r="I857" s="3" t="s">
        <v>259</v>
      </c>
      <c r="J857" s="3" t="n">
        <v>0</v>
      </c>
      <c r="K857" s="3" t="n">
        <v>0</v>
      </c>
      <c r="L857" s="3" t="n">
        <v>0</v>
      </c>
      <c r="M857" s="3" t="s">
        <v>485</v>
      </c>
      <c r="N857" s="3" t="n">
        <v>43.6</v>
      </c>
      <c r="O857" s="3" t="n">
        <v>57.3424</v>
      </c>
      <c r="P857" s="3" t="n">
        <v>-154.347</v>
      </c>
      <c r="Q857" s="3" t="s">
        <v>2225</v>
      </c>
      <c r="R857" s="3" t="s">
        <v>164</v>
      </c>
      <c r="S857" s="3" t="s">
        <v>261</v>
      </c>
      <c r="T857" s="5" t="n">
        <f aca="false">IF(C857="","",DATE(VALUE(MID(C857,7,4)),VALUE(MID(C857,4,2)),VALUE(MID(C857,1,2)))+TIME(VALUE(MID(C857,12,2)),VALUE(MID(C857,15,2)),0))</f>
        <v>36500.9666666667</v>
      </c>
      <c r="U857" s="3" t="str">
        <f aca="false">IFERROR(IF(ISNUMBER(VALUE(TRIM(MID(A857,FIND("-",A857)+1,FIND("km",A857)-FIND("-",A857)-1)))),"Distance + direction + city","Named-region"),"Named-region")</f>
        <v>Distance + direction + city</v>
      </c>
      <c r="V857" s="3" t="str">
        <f aca="false">LOWER(M857)</f>
        <v>mw</v>
      </c>
      <c r="W857" s="3" t="n">
        <f aca="false">COUNTIFS($A$2:$A$1001,A857,$C$2:$C$1001,C857)</f>
        <v>1</v>
      </c>
      <c r="X857" s="3" t="str">
        <f aca="false">IF(W857&gt;1,"Duplicate","Unique")</f>
        <v>Unique</v>
      </c>
      <c r="Y857" s="3" t="str">
        <f aca="false">IF(B857&lt;6.5,"&lt;6.5",IF(B857&lt;7,"6.5–6.9",IF(B857&lt;7.5,"7.0–7.4",IF(B857&lt;8,"7.5–7.9","8.0+"))))</f>
        <v>7.0–7.4</v>
      </c>
      <c r="Z857" s="3" t="n">
        <f aca="false">IF(T857="","",YEAR(T857))</f>
        <v>1999</v>
      </c>
    </row>
    <row r="858" customFormat="false" ht="13.8" hidden="false" customHeight="false" outlineLevel="0" collapsed="false">
      <c r="A858" s="3" t="s">
        <v>2226</v>
      </c>
      <c r="B858" s="3" t="n">
        <v>6.6</v>
      </c>
      <c r="C858" s="3" t="s">
        <v>2227</v>
      </c>
      <c r="D858" s="3" t="n">
        <v>0</v>
      </c>
      <c r="E858" s="3" t="n">
        <v>5</v>
      </c>
      <c r="F858" s="3"/>
      <c r="G858" s="3" t="n">
        <v>0</v>
      </c>
      <c r="H858" s="3" t="n">
        <v>670</v>
      </c>
      <c r="I858" s="3" t="s">
        <v>22</v>
      </c>
      <c r="J858" s="3" t="n">
        <v>0</v>
      </c>
      <c r="K858" s="3" t="n">
        <v>0</v>
      </c>
      <c r="L858" s="3" t="n">
        <v>0</v>
      </c>
      <c r="M858" s="3" t="s">
        <v>154</v>
      </c>
      <c r="N858" s="3" t="n">
        <v>128.1</v>
      </c>
      <c r="O858" s="3" t="n">
        <v>-18.901</v>
      </c>
      <c r="P858" s="3" t="n">
        <v>-69.171</v>
      </c>
      <c r="Q858" s="3" t="s">
        <v>2228</v>
      </c>
      <c r="R858" s="3" t="s">
        <v>33</v>
      </c>
      <c r="S858" s="3" t="s">
        <v>373</v>
      </c>
      <c r="T858" s="5" t="n">
        <f aca="false">IF(C858="","",DATE(VALUE(MID(C858,7,4)),VALUE(MID(C858,4,2)),VALUE(MID(C858,1,2)))+TIME(VALUE(MID(C858,12,2)),VALUE(MID(C858,15,2)),0))</f>
        <v>36494.1673611111</v>
      </c>
      <c r="U858" s="3" t="str">
        <f aca="false">IFERROR(IF(ISNUMBER(VALUE(TRIM(MID(A858,FIND("-",A858)+1,FIND("km",A858)-FIND("-",A858)-1)))),"Distance + direction + city","Named-region"),"Named-region")</f>
        <v>Distance + direction + city</v>
      </c>
      <c r="V858" s="3" t="str">
        <f aca="false">LOWER(M858)</f>
        <v>mwb</v>
      </c>
      <c r="W858" s="3" t="n">
        <f aca="false">COUNTIFS($A$2:$A$1001,A858,$C$2:$C$1001,C858)</f>
        <v>1</v>
      </c>
      <c r="X858" s="3" t="str">
        <f aca="false">IF(W858&gt;1,"Duplicate","Unique")</f>
        <v>Unique</v>
      </c>
      <c r="Y858" s="3" t="str">
        <f aca="false">IF(B858&lt;6.5,"&lt;6.5",IF(B858&lt;7,"6.5–6.9",IF(B858&lt;7.5,"7.0–7.4",IF(B858&lt;8,"7.5–7.9","8.0+"))))</f>
        <v>6.5–6.9</v>
      </c>
      <c r="Z858" s="3" t="n">
        <f aca="false">IF(T858="","",YEAR(T858))</f>
        <v>1999</v>
      </c>
    </row>
    <row r="859" customFormat="false" ht="13.8" hidden="false" customHeight="false" outlineLevel="0" collapsed="false">
      <c r="A859" s="3" t="s">
        <v>2229</v>
      </c>
      <c r="B859" s="3" t="n">
        <v>7.5</v>
      </c>
      <c r="C859" s="3" t="s">
        <v>2230</v>
      </c>
      <c r="D859" s="3" t="n">
        <v>0</v>
      </c>
      <c r="E859" s="3" t="n">
        <v>7</v>
      </c>
      <c r="F859" s="3"/>
      <c r="G859" s="3" t="n">
        <v>0</v>
      </c>
      <c r="H859" s="3" t="n">
        <v>865</v>
      </c>
      <c r="I859" s="3" t="s">
        <v>22</v>
      </c>
      <c r="J859" s="3" t="n">
        <v>0</v>
      </c>
      <c r="K859" s="3" t="n">
        <v>0</v>
      </c>
      <c r="L859" s="3" t="n">
        <v>0</v>
      </c>
      <c r="M859" s="3" t="s">
        <v>127</v>
      </c>
      <c r="N859" s="3" t="n">
        <v>33</v>
      </c>
      <c r="O859" s="3" t="n">
        <v>-16.423</v>
      </c>
      <c r="P859" s="3" t="n">
        <v>168.214</v>
      </c>
      <c r="Q859" s="3" t="s">
        <v>472</v>
      </c>
      <c r="R859" s="3"/>
      <c r="S859" s="3" t="s">
        <v>25</v>
      </c>
      <c r="T859" s="5" t="n">
        <f aca="false">IF(C859="","",DATE(VALUE(MID(C859,7,4)),VALUE(MID(C859,4,2)),VALUE(MID(C859,1,2)))+TIME(VALUE(MID(C859,12,2)),VALUE(MID(C859,15,2)),0))</f>
        <v>36490.55625</v>
      </c>
      <c r="U859" s="3" t="str">
        <f aca="false">IFERROR(IF(ISNUMBER(VALUE(TRIM(MID(A859,FIND("-",A859)+1,FIND("km",A859)-FIND("-",A859)-1)))),"Distance + direction + city","Named-region"),"Named-region")</f>
        <v>Distance + direction + city</v>
      </c>
      <c r="V859" s="3" t="str">
        <f aca="false">LOWER(M859)</f>
        <v>mwc</v>
      </c>
      <c r="W859" s="3" t="n">
        <f aca="false">COUNTIFS($A$2:$A$1001,A859,$C$2:$C$1001,C859)</f>
        <v>1</v>
      </c>
      <c r="X859" s="3" t="str">
        <f aca="false">IF(W859&gt;1,"Duplicate","Unique")</f>
        <v>Unique</v>
      </c>
      <c r="Y859" s="3" t="str">
        <f aca="false">IF(B859&lt;6.5,"&lt;6.5",IF(B859&lt;7,"6.5–6.9",IF(B859&lt;7.5,"7.0–7.4",IF(B859&lt;8,"7.5–7.9","8.0+"))))</f>
        <v>7.5–7.9</v>
      </c>
      <c r="Z859" s="3" t="n">
        <f aca="false">IF(T859="","",YEAR(T859))</f>
        <v>1999</v>
      </c>
    </row>
    <row r="860" customFormat="false" ht="13.8" hidden="false" customHeight="false" outlineLevel="0" collapsed="false">
      <c r="A860" s="3" t="s">
        <v>2231</v>
      </c>
      <c r="B860" s="3" t="n">
        <v>7</v>
      </c>
      <c r="C860" s="3" t="s">
        <v>2232</v>
      </c>
      <c r="D860" s="3" t="n">
        <v>0</v>
      </c>
      <c r="E860" s="3" t="n">
        <v>6</v>
      </c>
      <c r="F860" s="3"/>
      <c r="G860" s="3" t="n">
        <v>0</v>
      </c>
      <c r="H860" s="3" t="n">
        <v>754</v>
      </c>
      <c r="I860" s="3" t="s">
        <v>22</v>
      </c>
      <c r="J860" s="3" t="n">
        <v>0</v>
      </c>
      <c r="K860" s="3" t="n">
        <v>0</v>
      </c>
      <c r="L860" s="3" t="n">
        <v>0</v>
      </c>
      <c r="M860" s="3" t="s">
        <v>127</v>
      </c>
      <c r="N860" s="3" t="n">
        <v>33</v>
      </c>
      <c r="O860" s="3" t="n">
        <v>-6.351</v>
      </c>
      <c r="P860" s="3" t="n">
        <v>148.763</v>
      </c>
      <c r="Q860" s="3" t="s">
        <v>789</v>
      </c>
      <c r="R860" s="3"/>
      <c r="S860" s="3" t="s">
        <v>85</v>
      </c>
      <c r="T860" s="5" t="n">
        <f aca="false">IF(C860="","",DATE(VALUE(MID(C860,7,4)),VALUE(MID(C860,4,2)),VALUE(MID(C860,1,2)))+TIME(VALUE(MID(C860,12,2)),VALUE(MID(C860,15,2)),0))</f>
        <v>36483.5805555556</v>
      </c>
      <c r="U860" s="3" t="str">
        <f aca="false">IFERROR(IF(ISNUMBER(VALUE(TRIM(MID(A860,FIND("-",A860)+1,FIND("km",A860)-FIND("-",A860)-1)))),"Distance + direction + city","Named-region"),"Named-region")</f>
        <v>Distance + direction + city</v>
      </c>
      <c r="V860" s="3" t="str">
        <f aca="false">LOWER(M860)</f>
        <v>mwc</v>
      </c>
      <c r="W860" s="3" t="n">
        <f aca="false">COUNTIFS($A$2:$A$1001,A860,$C$2:$C$1001,C860)</f>
        <v>1</v>
      </c>
      <c r="X860" s="3" t="str">
        <f aca="false">IF(W860&gt;1,"Duplicate","Unique")</f>
        <v>Unique</v>
      </c>
      <c r="Y860" s="3" t="str">
        <f aca="false">IF(B860&lt;6.5,"&lt;6.5",IF(B860&lt;7,"6.5–6.9",IF(B860&lt;7.5,"7.0–7.4",IF(B860&lt;8,"7.5–7.9","8.0+"))))</f>
        <v>7.0–7.4</v>
      </c>
      <c r="Z860" s="3" t="n">
        <f aca="false">IF(T860="","",YEAR(T860))</f>
        <v>1999</v>
      </c>
    </row>
    <row r="861" customFormat="false" ht="13.8" hidden="false" customHeight="false" outlineLevel="0" collapsed="false">
      <c r="A861" s="3" t="s">
        <v>2233</v>
      </c>
      <c r="B861" s="3" t="n">
        <v>6.9</v>
      </c>
      <c r="C861" s="3" t="s">
        <v>2234</v>
      </c>
      <c r="D861" s="3" t="n">
        <v>0</v>
      </c>
      <c r="E861" s="3" t="n">
        <v>6</v>
      </c>
      <c r="F861" s="3"/>
      <c r="G861" s="3" t="n">
        <v>0</v>
      </c>
      <c r="H861" s="3" t="n">
        <v>732</v>
      </c>
      <c r="I861" s="3" t="s">
        <v>22</v>
      </c>
      <c r="J861" s="3" t="n">
        <v>0</v>
      </c>
      <c r="K861" s="3" t="n">
        <v>0</v>
      </c>
      <c r="L861" s="3" t="n">
        <v>0</v>
      </c>
      <c r="M861" s="3" t="s">
        <v>127</v>
      </c>
      <c r="N861" s="3" t="n">
        <v>47.5</v>
      </c>
      <c r="O861" s="3" t="n">
        <v>-5.978</v>
      </c>
      <c r="P861" s="3" t="n">
        <v>148.82</v>
      </c>
      <c r="Q861" s="3" t="s">
        <v>789</v>
      </c>
      <c r="R861" s="3"/>
      <c r="S861" s="3" t="s">
        <v>85</v>
      </c>
      <c r="T861" s="5" t="n">
        <f aca="false">IF(C861="","",DATE(VALUE(MID(C861,7,4)),VALUE(MID(C861,4,2)),VALUE(MID(C861,1,2)))+TIME(VALUE(MID(C861,12,2)),VALUE(MID(C861,15,2)),0))</f>
        <v>36481.14375</v>
      </c>
      <c r="U861" s="3" t="str">
        <f aca="false">IFERROR(IF(ISNUMBER(VALUE(TRIM(MID(A861,FIND("-",A861)+1,FIND("km",A861)-FIND("-",A861)-1)))),"Distance + direction + city","Named-region"),"Named-region")</f>
        <v>Distance + direction + city</v>
      </c>
      <c r="V861" s="3" t="str">
        <f aca="false">LOWER(M861)</f>
        <v>mwc</v>
      </c>
      <c r="W861" s="3" t="n">
        <f aca="false">COUNTIFS($A$2:$A$1001,A861,$C$2:$C$1001,C861)</f>
        <v>1</v>
      </c>
      <c r="X861" s="3" t="str">
        <f aca="false">IF(W861&gt;1,"Duplicate","Unique")</f>
        <v>Unique</v>
      </c>
      <c r="Y861" s="3" t="str">
        <f aca="false">IF(B861&lt;6.5,"&lt;6.5",IF(B861&lt;7,"6.5–6.9",IF(B861&lt;7.5,"7.0–7.4",IF(B861&lt;8,"7.5–7.9","8.0+"))))</f>
        <v>6.5–6.9</v>
      </c>
      <c r="Z861" s="3" t="n">
        <f aca="false">IF(T861="","",YEAR(T861))</f>
        <v>1999</v>
      </c>
    </row>
    <row r="862" customFormat="false" ht="13.8" hidden="false" customHeight="false" outlineLevel="0" collapsed="false">
      <c r="A862" s="3" t="s">
        <v>2235</v>
      </c>
      <c r="B862" s="3" t="n">
        <v>7.2</v>
      </c>
      <c r="C862" s="6" t="s">
        <v>2236</v>
      </c>
      <c r="D862" s="3" t="n">
        <v>0</v>
      </c>
      <c r="E862" s="3" t="n">
        <v>9</v>
      </c>
      <c r="F862" s="3"/>
      <c r="G862" s="3" t="n">
        <v>0</v>
      </c>
      <c r="H862" s="3" t="n">
        <v>798</v>
      </c>
      <c r="I862" s="3" t="s">
        <v>22</v>
      </c>
      <c r="J862" s="3" t="n">
        <v>0</v>
      </c>
      <c r="K862" s="3" t="n">
        <v>0</v>
      </c>
      <c r="L862" s="3" t="n">
        <v>0</v>
      </c>
      <c r="M862" s="3" t="s">
        <v>127</v>
      </c>
      <c r="N862" s="3" t="n">
        <v>10</v>
      </c>
      <c r="O862" s="3" t="n">
        <v>40.758</v>
      </c>
      <c r="P862" s="3" t="n">
        <v>31.161</v>
      </c>
      <c r="Q862" s="3" t="s">
        <v>2237</v>
      </c>
      <c r="R862" s="3" t="s">
        <v>80</v>
      </c>
      <c r="S862" s="3" t="s">
        <v>435</v>
      </c>
      <c r="T862" s="5" t="n">
        <f aca="false">IF(C862="","",DATE(VALUE(MID(C862,7,4)),VALUE(MID(C862,4,2)),VALUE(MID(C862,1,2)))+TIME(VALUE(MID(C862,12,2)),VALUE(MID(C862,15,2)),0))</f>
        <v>36476.70625</v>
      </c>
      <c r="U862" s="3" t="str">
        <f aca="false">IFERROR(IF(ISNUMBER(VALUE(TRIM(MID(A862,FIND("-",A862)+1,FIND("km",A862)-FIND("-",A862)-1)))),"Distance + direction + city","Named-region"),"Named-region")</f>
        <v>Distance + direction + city</v>
      </c>
      <c r="V862" s="3" t="str">
        <f aca="false">LOWER(M862)</f>
        <v>mwc</v>
      </c>
      <c r="W862" s="3" t="n">
        <f aca="false">COUNTIFS($A$2:$A$1001,A862,$C$2:$C$1001,C862)</f>
        <v>1</v>
      </c>
      <c r="X862" s="3" t="str">
        <f aca="false">IF(W862&gt;1,"Duplicate","Unique")</f>
        <v>Unique</v>
      </c>
      <c r="Y862" s="3" t="str">
        <f aca="false">IF(B862&lt;6.5,"&lt;6.5",IF(B862&lt;7,"6.5–6.9",IF(B862&lt;7.5,"7.0–7.4",IF(B862&lt;8,"7.5–7.9","8.0+"))))</f>
        <v>7.0–7.4</v>
      </c>
      <c r="Z862" s="3" t="n">
        <f aca="false">IF(T862="","",YEAR(T862))</f>
        <v>1999</v>
      </c>
    </row>
    <row r="863" customFormat="false" ht="13.8" hidden="false" customHeight="false" outlineLevel="0" collapsed="false">
      <c r="A863" s="3" t="s">
        <v>2238</v>
      </c>
      <c r="B863" s="3" t="n">
        <v>6.5</v>
      </c>
      <c r="C863" s="6" t="s">
        <v>2239</v>
      </c>
      <c r="D863" s="3" t="n">
        <v>0</v>
      </c>
      <c r="E863" s="3" t="n">
        <v>4</v>
      </c>
      <c r="F863" s="3"/>
      <c r="G863" s="3" t="n">
        <v>0</v>
      </c>
      <c r="H863" s="3" t="n">
        <v>650</v>
      </c>
      <c r="I863" s="3" t="s">
        <v>22</v>
      </c>
      <c r="J863" s="3" t="n">
        <v>0</v>
      </c>
      <c r="K863" s="3" t="n">
        <v>0</v>
      </c>
      <c r="L863" s="3" t="n">
        <v>0</v>
      </c>
      <c r="M863" s="3" t="s">
        <v>127</v>
      </c>
      <c r="N863" s="3" t="n">
        <v>228.4</v>
      </c>
      <c r="O863" s="3" t="n">
        <v>36.522</v>
      </c>
      <c r="P863" s="3" t="n">
        <v>71.24</v>
      </c>
      <c r="Q863" s="3" t="s">
        <v>832</v>
      </c>
      <c r="R863" s="3" t="s">
        <v>80</v>
      </c>
      <c r="S863" s="3" t="s">
        <v>92</v>
      </c>
      <c r="T863" s="5" t="n">
        <f aca="false">IF(C863="","",DATE(VALUE(MID(C863,7,4)),VALUE(MID(C863,4,2)),VALUE(MID(C863,1,2)))+TIME(VALUE(MID(C863,12,2)),VALUE(MID(C863,15,2)),0))</f>
        <v>36472.6979166667</v>
      </c>
      <c r="U863" s="3" t="str">
        <f aca="false">IFERROR(IF(ISNUMBER(VALUE(TRIM(MID(A863,FIND("-",A863)+1,FIND("km",A863)-FIND("-",A863)-1)))),"Distance + direction + city","Named-region"),"Named-region")</f>
        <v>Distance + direction + city</v>
      </c>
      <c r="V863" s="3" t="str">
        <f aca="false">LOWER(M863)</f>
        <v>mwc</v>
      </c>
      <c r="W863" s="3" t="n">
        <f aca="false">COUNTIFS($A$2:$A$1001,A863,$C$2:$C$1001,C863)</f>
        <v>1</v>
      </c>
      <c r="X863" s="3" t="str">
        <f aca="false">IF(W863&gt;1,"Duplicate","Unique")</f>
        <v>Unique</v>
      </c>
      <c r="Y863" s="3" t="str">
        <f aca="false">IF(B863&lt;6.5,"&lt;6.5",IF(B863&lt;7,"6.5–6.9",IF(B863&lt;7.5,"7.0–7.4",IF(B863&lt;8,"7.5–7.9","8.0+"))))</f>
        <v>6.5–6.9</v>
      </c>
      <c r="Z863" s="3" t="n">
        <f aca="false">IF(T863="","",YEAR(T863))</f>
        <v>1999</v>
      </c>
    </row>
    <row r="864" customFormat="false" ht="13.8" hidden="false" customHeight="false" outlineLevel="0" collapsed="false">
      <c r="A864" s="3" t="s">
        <v>2240</v>
      </c>
      <c r="B864" s="3" t="n">
        <v>7.1</v>
      </c>
      <c r="C864" s="3" t="s">
        <v>2241</v>
      </c>
      <c r="D864" s="3" t="n">
        <v>8</v>
      </c>
      <c r="E864" s="3" t="n">
        <v>8</v>
      </c>
      <c r="F864" s="3"/>
      <c r="G864" s="3" t="n">
        <v>0</v>
      </c>
      <c r="H864" s="3" t="n">
        <v>1576</v>
      </c>
      <c r="I864" s="3" t="s">
        <v>484</v>
      </c>
      <c r="J864" s="3" t="n">
        <v>73</v>
      </c>
      <c r="K864" s="3" t="n">
        <v>0</v>
      </c>
      <c r="L864" s="3" t="n">
        <v>57</v>
      </c>
      <c r="M864" s="3" t="s">
        <v>485</v>
      </c>
      <c r="N864" s="3" t="n">
        <v>13.73</v>
      </c>
      <c r="O864" s="3" t="n">
        <v>34.6033</v>
      </c>
      <c r="P864" s="3" t="n">
        <v>-116.265</v>
      </c>
      <c r="Q864" s="3" t="s">
        <v>2242</v>
      </c>
      <c r="R864" s="3" t="s">
        <v>164</v>
      </c>
      <c r="S864" s="3" t="s">
        <v>261</v>
      </c>
      <c r="T864" s="5" t="n">
        <f aca="false">IF(C864="","",DATE(VALUE(MID(C864,7,4)),VALUE(MID(C864,4,2)),VALUE(MID(C864,1,2)))+TIME(VALUE(MID(C864,12,2)),VALUE(MID(C864,15,2)),0))</f>
        <v>36449.4069444445</v>
      </c>
      <c r="U864" s="3" t="str">
        <f aca="false">IFERROR(IF(ISNUMBER(VALUE(TRIM(MID(A864,FIND("-",A864)+1,FIND("km",A864)-FIND("-",A864)-1)))),"Distance + direction + city","Named-region"),"Named-region")</f>
        <v>Named-region</v>
      </c>
      <c r="V864" s="3" t="str">
        <f aca="false">LOWER(M864)</f>
        <v>mw</v>
      </c>
      <c r="W864" s="3" t="n">
        <f aca="false">COUNTIFS($A$2:$A$1001,A864,$C$2:$C$1001,C864)</f>
        <v>1</v>
      </c>
      <c r="X864" s="3" t="str">
        <f aca="false">IF(W864&gt;1,"Duplicate","Unique")</f>
        <v>Unique</v>
      </c>
      <c r="Y864" s="3" t="str">
        <f aca="false">IF(B864&lt;6.5,"&lt;6.5",IF(B864&lt;7,"6.5–6.9",IF(B864&lt;7.5,"7.0–7.4",IF(B864&lt;8,"7.5–7.9","8.0+"))))</f>
        <v>7.0–7.4</v>
      </c>
      <c r="Z864" s="3" t="n">
        <f aca="false">IF(T864="","",YEAR(T864))</f>
        <v>1999</v>
      </c>
    </row>
    <row r="865" customFormat="false" ht="13.8" hidden="false" customHeight="false" outlineLevel="0" collapsed="false">
      <c r="A865" s="3" t="s">
        <v>2243</v>
      </c>
      <c r="B865" s="3" t="n">
        <v>7.5</v>
      </c>
      <c r="C865" s="3" t="s">
        <v>2244</v>
      </c>
      <c r="D865" s="3" t="n">
        <v>0</v>
      </c>
      <c r="E865" s="3" t="n">
        <v>8</v>
      </c>
      <c r="F865" s="3"/>
      <c r="G865" s="3" t="n">
        <v>0</v>
      </c>
      <c r="H865" s="3" t="n">
        <v>865</v>
      </c>
      <c r="I865" s="3" t="s">
        <v>22</v>
      </c>
      <c r="J865" s="3" t="n">
        <v>0</v>
      </c>
      <c r="K865" s="3" t="n">
        <v>0</v>
      </c>
      <c r="L865" s="3" t="n">
        <v>0</v>
      </c>
      <c r="M865" s="3" t="s">
        <v>127</v>
      </c>
      <c r="N865" s="3" t="n">
        <v>60.6</v>
      </c>
      <c r="O865" s="3" t="n">
        <v>16.059</v>
      </c>
      <c r="P865" s="3" t="n">
        <v>-96.931</v>
      </c>
      <c r="Q865" s="3" t="s">
        <v>2245</v>
      </c>
      <c r="R865" s="3" t="s">
        <v>164</v>
      </c>
      <c r="S865" s="3" t="s">
        <v>165</v>
      </c>
      <c r="T865" s="5" t="n">
        <f aca="false">IF(C865="","",DATE(VALUE(MID(C865,7,4)),VALUE(MID(C865,4,2)),VALUE(MID(C865,1,2)))+TIME(VALUE(MID(C865,12,2)),VALUE(MID(C865,15,2)),0))</f>
        <v>36433.6881944445</v>
      </c>
      <c r="U865" s="3" t="str">
        <f aca="false">IFERROR(IF(ISNUMBER(VALUE(TRIM(MID(A865,FIND("-",A865)+1,FIND("km",A865)-FIND("-",A865)-1)))),"Distance + direction + city","Named-region"),"Named-region")</f>
        <v>Distance + direction + city</v>
      </c>
      <c r="V865" s="3" t="str">
        <f aca="false">LOWER(M865)</f>
        <v>mwc</v>
      </c>
      <c r="W865" s="3" t="n">
        <f aca="false">COUNTIFS($A$2:$A$1001,A865,$C$2:$C$1001,C865)</f>
        <v>1</v>
      </c>
      <c r="X865" s="3" t="str">
        <f aca="false">IF(W865&gt;1,"Duplicate","Unique")</f>
        <v>Unique</v>
      </c>
      <c r="Y865" s="3" t="str">
        <f aca="false">IF(B865&lt;6.5,"&lt;6.5",IF(B865&lt;7,"6.5–6.9",IF(B865&lt;7.5,"7.0–7.4",IF(B865&lt;8,"7.5–7.9","8.0+"))))</f>
        <v>7.5–7.9</v>
      </c>
      <c r="Z865" s="3" t="n">
        <f aca="false">IF(T865="","",YEAR(T865))</f>
        <v>1999</v>
      </c>
    </row>
    <row r="866" customFormat="false" ht="13.8" hidden="false" customHeight="false" outlineLevel="0" collapsed="false">
      <c r="A866" s="3" t="s">
        <v>2246</v>
      </c>
      <c r="B866" s="3" t="n">
        <v>6.5</v>
      </c>
      <c r="C866" s="3" t="s">
        <v>2247</v>
      </c>
      <c r="D866" s="3" t="n">
        <v>0</v>
      </c>
      <c r="E866" s="3" t="n">
        <v>7</v>
      </c>
      <c r="F866" s="3"/>
      <c r="G866" s="3" t="n">
        <v>0</v>
      </c>
      <c r="H866" s="3" t="n">
        <v>650</v>
      </c>
      <c r="I866" s="3" t="s">
        <v>22</v>
      </c>
      <c r="J866" s="3" t="n">
        <v>0</v>
      </c>
      <c r="K866" s="3" t="n">
        <v>0</v>
      </c>
      <c r="L866" s="3" t="n">
        <v>0</v>
      </c>
      <c r="M866" s="3" t="s">
        <v>127</v>
      </c>
      <c r="N866" s="3" t="n">
        <v>17</v>
      </c>
      <c r="O866" s="3" t="n">
        <v>23.738</v>
      </c>
      <c r="P866" s="3" t="n">
        <v>121.158</v>
      </c>
      <c r="Q866" s="3" t="s">
        <v>2248</v>
      </c>
      <c r="R866" s="3" t="s">
        <v>80</v>
      </c>
      <c r="S866" s="3" t="s">
        <v>171</v>
      </c>
      <c r="T866" s="5" t="n">
        <f aca="false">IF(C866="","",DATE(VALUE(MID(C866,7,4)),VALUE(MID(C866,4,2)),VALUE(MID(C866,1,2)))+TIME(VALUE(MID(C866,12,2)),VALUE(MID(C866,15,2)),0))</f>
        <v>36428.9944444444</v>
      </c>
      <c r="U866" s="3" t="str">
        <f aca="false">IFERROR(IF(ISNUMBER(VALUE(TRIM(MID(A866,FIND("-",A866)+1,FIND("km",A866)-FIND("-",A866)-1)))),"Distance + direction + city","Named-region"),"Named-region")</f>
        <v>Distance + direction + city</v>
      </c>
      <c r="V866" s="3" t="str">
        <f aca="false">LOWER(M866)</f>
        <v>mwc</v>
      </c>
      <c r="W866" s="3" t="n">
        <f aca="false">COUNTIFS($A$2:$A$1001,A866,$C$2:$C$1001,C866)</f>
        <v>1</v>
      </c>
      <c r="X866" s="3" t="str">
        <f aca="false">IF(W866&gt;1,"Duplicate","Unique")</f>
        <v>Unique</v>
      </c>
      <c r="Y866" s="3" t="str">
        <f aca="false">IF(B866&lt;6.5,"&lt;6.5",IF(B866&lt;7,"6.5–6.9",IF(B866&lt;7.5,"7.0–7.4",IF(B866&lt;8,"7.5–7.9","8.0+"))))</f>
        <v>6.5–6.9</v>
      </c>
      <c r="Z866" s="3" t="n">
        <f aca="false">IF(T866="","",YEAR(T866))</f>
        <v>1999</v>
      </c>
    </row>
    <row r="867" customFormat="false" ht="13.8" hidden="false" customHeight="false" outlineLevel="0" collapsed="false">
      <c r="A867" s="3" t="s">
        <v>2249</v>
      </c>
      <c r="B867" s="3" t="n">
        <v>7.7</v>
      </c>
      <c r="C867" s="3" t="s">
        <v>2250</v>
      </c>
      <c r="D867" s="3" t="n">
        <v>0</v>
      </c>
      <c r="E867" s="3" t="n">
        <v>9</v>
      </c>
      <c r="F867" s="3"/>
      <c r="G867" s="3" t="n">
        <v>0</v>
      </c>
      <c r="H867" s="3" t="n">
        <v>912</v>
      </c>
      <c r="I867" s="3" t="s">
        <v>22</v>
      </c>
      <c r="J867" s="3" t="n">
        <v>0</v>
      </c>
      <c r="K867" s="3" t="n">
        <v>0</v>
      </c>
      <c r="L867" s="3" t="n">
        <v>0</v>
      </c>
      <c r="M867" s="3" t="s">
        <v>127</v>
      </c>
      <c r="N867" s="3" t="n">
        <v>33</v>
      </c>
      <c r="O867" s="3" t="n">
        <v>23.772</v>
      </c>
      <c r="P867" s="3" t="n">
        <v>120.982</v>
      </c>
      <c r="Q867" s="3" t="s">
        <v>2248</v>
      </c>
      <c r="R867" s="3" t="s">
        <v>80</v>
      </c>
      <c r="S867" s="3" t="s">
        <v>171</v>
      </c>
      <c r="T867" s="5" t="n">
        <f aca="false">IF(C867="","",DATE(VALUE(MID(C867,7,4)),VALUE(MID(C867,4,2)),VALUE(MID(C867,1,2)))+TIME(VALUE(MID(C867,12,2)),VALUE(MID(C867,15,2)),0))</f>
        <v>36423.7409722222</v>
      </c>
      <c r="U867" s="3" t="str">
        <f aca="false">IFERROR(IF(ISNUMBER(VALUE(TRIM(MID(A867,FIND("-",A867)+1,FIND("km",A867)-FIND("-",A867)-1)))),"Distance + direction + city","Named-region"),"Named-region")</f>
        <v>Distance + direction + city</v>
      </c>
      <c r="V867" s="3" t="str">
        <f aca="false">LOWER(M867)</f>
        <v>mwc</v>
      </c>
      <c r="W867" s="3" t="n">
        <f aca="false">COUNTIFS($A$2:$A$1001,A867,$C$2:$C$1001,C867)</f>
        <v>1</v>
      </c>
      <c r="X867" s="3" t="str">
        <f aca="false">IF(W867&gt;1,"Duplicate","Unique")</f>
        <v>Unique</v>
      </c>
      <c r="Y867" s="3" t="str">
        <f aca="false">IF(B867&lt;6.5,"&lt;6.5",IF(B867&lt;7,"6.5–6.9",IF(B867&lt;7.5,"7.0–7.4",IF(B867&lt;8,"7.5–7.9","8.0+"))))</f>
        <v>7.5–7.9</v>
      </c>
      <c r="Z867" s="3" t="n">
        <f aca="false">IF(T867="","",YEAR(T867))</f>
        <v>1999</v>
      </c>
    </row>
    <row r="868" customFormat="false" ht="13.8" hidden="false" customHeight="false" outlineLevel="0" collapsed="false">
      <c r="A868" s="3" t="s">
        <v>2251</v>
      </c>
      <c r="B868" s="3" t="n">
        <v>6.6</v>
      </c>
      <c r="C868" s="3" t="s">
        <v>2252</v>
      </c>
      <c r="D868" s="3" t="n">
        <v>0</v>
      </c>
      <c r="E868" s="3" t="n">
        <v>6</v>
      </c>
      <c r="F868" s="3"/>
      <c r="G868" s="3" t="n">
        <v>0</v>
      </c>
      <c r="H868" s="3" t="n">
        <v>670</v>
      </c>
      <c r="I868" s="3" t="s">
        <v>22</v>
      </c>
      <c r="J868" s="3" t="n">
        <v>0</v>
      </c>
      <c r="K868" s="3" t="n">
        <v>0</v>
      </c>
      <c r="L868" s="3" t="n">
        <v>0</v>
      </c>
      <c r="M868" s="3" t="s">
        <v>127</v>
      </c>
      <c r="N868" s="3" t="n">
        <v>33</v>
      </c>
      <c r="O868" s="3" t="n">
        <v>-16.117</v>
      </c>
      <c r="P868" s="3" t="n">
        <v>168.039</v>
      </c>
      <c r="Q868" s="3" t="s">
        <v>472</v>
      </c>
      <c r="R868" s="3"/>
      <c r="S868" s="3" t="s">
        <v>25</v>
      </c>
      <c r="T868" s="5" t="n">
        <f aca="false">IF(C868="","",DATE(VALUE(MID(C868,7,4)),VALUE(MID(C868,4,2)),VALUE(MID(C868,1,2)))+TIME(VALUE(MID(C868,12,2)),VALUE(MID(C868,15,2)),0))</f>
        <v>36394.5277777778</v>
      </c>
      <c r="U868" s="3" t="str">
        <f aca="false">IFERROR(IF(ISNUMBER(VALUE(TRIM(MID(A868,FIND("-",A868)+1,FIND("km",A868)-FIND("-",A868)-1)))),"Distance + direction + city","Named-region"),"Named-region")</f>
        <v>Distance + direction + city</v>
      </c>
      <c r="V868" s="3" t="str">
        <f aca="false">LOWER(M868)</f>
        <v>mwc</v>
      </c>
      <c r="W868" s="3" t="n">
        <f aca="false">COUNTIFS($A$2:$A$1001,A868,$C$2:$C$1001,C868)</f>
        <v>1</v>
      </c>
      <c r="X868" s="3" t="str">
        <f aca="false">IF(W868&gt;1,"Duplicate","Unique")</f>
        <v>Unique</v>
      </c>
      <c r="Y868" s="3" t="str">
        <f aca="false">IF(B868&lt;6.5,"&lt;6.5",IF(B868&lt;7,"6.5–6.9",IF(B868&lt;7.5,"7.0–7.4",IF(B868&lt;8,"7.5–7.9","8.0+"))))</f>
        <v>6.5–6.9</v>
      </c>
      <c r="Z868" s="3" t="n">
        <f aca="false">IF(T868="","",YEAR(T868))</f>
        <v>1999</v>
      </c>
    </row>
    <row r="869" customFormat="false" ht="13.8" hidden="false" customHeight="false" outlineLevel="0" collapsed="false">
      <c r="A869" s="3" t="s">
        <v>2253</v>
      </c>
      <c r="B869" s="3" t="n">
        <v>6.9</v>
      </c>
      <c r="C869" s="3" t="s">
        <v>2254</v>
      </c>
      <c r="D869" s="3" t="n">
        <v>0</v>
      </c>
      <c r="E869" s="3" t="n">
        <v>6</v>
      </c>
      <c r="F869" s="3"/>
      <c r="G869" s="3" t="n">
        <v>0</v>
      </c>
      <c r="H869" s="3" t="n">
        <v>732</v>
      </c>
      <c r="I869" s="3" t="s">
        <v>22</v>
      </c>
      <c r="J869" s="3" t="n">
        <v>0</v>
      </c>
      <c r="K869" s="3" t="n">
        <v>0</v>
      </c>
      <c r="L869" s="3" t="n">
        <v>0</v>
      </c>
      <c r="M869" s="3" t="s">
        <v>127</v>
      </c>
      <c r="N869" s="3" t="n">
        <v>20</v>
      </c>
      <c r="O869" s="3" t="n">
        <v>9.044</v>
      </c>
      <c r="P869" s="3" t="n">
        <v>-84.159</v>
      </c>
      <c r="Q869" s="3" t="s">
        <v>2255</v>
      </c>
      <c r="R869" s="3"/>
      <c r="S869" s="3"/>
      <c r="T869" s="5" t="n">
        <f aca="false">IF(C869="","",DATE(VALUE(MID(C869,7,4)),VALUE(MID(C869,4,2)),VALUE(MID(C869,1,2)))+TIME(VALUE(MID(C869,12,2)),VALUE(MID(C869,15,2)),0))</f>
        <v>36392.4180555556</v>
      </c>
      <c r="U869" s="3" t="str">
        <f aca="false">IFERROR(IF(ISNUMBER(VALUE(TRIM(MID(A869,FIND("-",A869)+1,FIND("km",A869)-FIND("-",A869)-1)))),"Distance + direction + city","Named-region"),"Named-region")</f>
        <v>Distance + direction + city</v>
      </c>
      <c r="V869" s="3" t="str">
        <f aca="false">LOWER(M869)</f>
        <v>mwc</v>
      </c>
      <c r="W869" s="3" t="n">
        <f aca="false">COUNTIFS($A$2:$A$1001,A869,$C$2:$C$1001,C869)</f>
        <v>1</v>
      </c>
      <c r="X869" s="3" t="str">
        <f aca="false">IF(W869&gt;1,"Duplicate","Unique")</f>
        <v>Unique</v>
      </c>
      <c r="Y869" s="3" t="str">
        <f aca="false">IF(B869&lt;6.5,"&lt;6.5",IF(B869&lt;7,"6.5–6.9",IF(B869&lt;7.5,"7.0–7.4",IF(B869&lt;8,"7.5–7.9","8.0+"))))</f>
        <v>6.5–6.9</v>
      </c>
      <c r="Z869" s="3" t="n">
        <f aca="false">IF(T869="","",YEAR(T869))</f>
        <v>1999</v>
      </c>
    </row>
    <row r="870" customFormat="false" ht="13.8" hidden="false" customHeight="false" outlineLevel="0" collapsed="false">
      <c r="A870" s="3" t="s">
        <v>2256</v>
      </c>
      <c r="B870" s="3" t="n">
        <v>7.6</v>
      </c>
      <c r="C870" s="3" t="s">
        <v>2257</v>
      </c>
      <c r="D870" s="3" t="n">
        <v>0</v>
      </c>
      <c r="E870" s="3" t="n">
        <v>9</v>
      </c>
      <c r="F870" s="3"/>
      <c r="G870" s="3" t="n">
        <v>0</v>
      </c>
      <c r="H870" s="3" t="n">
        <v>889</v>
      </c>
      <c r="I870" s="3" t="s">
        <v>22</v>
      </c>
      <c r="J870" s="3" t="n">
        <v>0</v>
      </c>
      <c r="K870" s="3" t="n">
        <v>0</v>
      </c>
      <c r="L870" s="3" t="n">
        <v>0</v>
      </c>
      <c r="M870" s="3" t="s">
        <v>127</v>
      </c>
      <c r="N870" s="3" t="n">
        <v>17</v>
      </c>
      <c r="O870" s="3" t="n">
        <v>40.748</v>
      </c>
      <c r="P870" s="3" t="n">
        <v>29.864</v>
      </c>
      <c r="Q870" s="3" t="s">
        <v>2258</v>
      </c>
      <c r="R870" s="3" t="s">
        <v>80</v>
      </c>
      <c r="S870" s="3" t="s">
        <v>435</v>
      </c>
      <c r="T870" s="5" t="n">
        <f aca="false">IF(C870="","",DATE(VALUE(MID(C870,7,4)),VALUE(MID(C870,4,2)),VALUE(MID(C870,1,2)))+TIME(VALUE(MID(C870,12,2)),VALUE(MID(C870,15,2)),0))</f>
        <v>36389.0006944445</v>
      </c>
      <c r="U870" s="3" t="str">
        <f aca="false">IFERROR(IF(ISNUMBER(VALUE(TRIM(MID(A870,FIND("-",A870)+1,FIND("km",A870)-FIND("-",A870)-1)))),"Distance + direction + city","Named-region"),"Named-region")</f>
        <v>Distance + direction + city</v>
      </c>
      <c r="V870" s="3" t="str">
        <f aca="false">LOWER(M870)</f>
        <v>mwc</v>
      </c>
      <c r="W870" s="3" t="n">
        <f aca="false">COUNTIFS($A$2:$A$1001,A870,$C$2:$C$1001,C870)</f>
        <v>1</v>
      </c>
      <c r="X870" s="3" t="str">
        <f aca="false">IF(W870&gt;1,"Duplicate","Unique")</f>
        <v>Unique</v>
      </c>
      <c r="Y870" s="3" t="str">
        <f aca="false">IF(B870&lt;6.5,"&lt;6.5",IF(B870&lt;7,"6.5–6.9",IF(B870&lt;7.5,"7.0–7.4",IF(B870&lt;8,"7.5–7.9","8.0+"))))</f>
        <v>7.5–7.9</v>
      </c>
      <c r="Z870" s="3" t="n">
        <f aca="false">IF(T870="","",YEAR(T870))</f>
        <v>1999</v>
      </c>
    </row>
    <row r="871" customFormat="false" ht="13.8" hidden="false" customHeight="false" outlineLevel="0" collapsed="false">
      <c r="A871" s="3" t="s">
        <v>2259</v>
      </c>
      <c r="B871" s="3" t="n">
        <v>6.7</v>
      </c>
      <c r="C871" s="6" t="s">
        <v>2260</v>
      </c>
      <c r="D871" s="3" t="n">
        <v>0</v>
      </c>
      <c r="E871" s="3" t="n">
        <v>8</v>
      </c>
      <c r="F871" s="3"/>
      <c r="G871" s="3" t="n">
        <v>0</v>
      </c>
      <c r="H871" s="3" t="n">
        <v>691</v>
      </c>
      <c r="I871" s="3" t="s">
        <v>22</v>
      </c>
      <c r="J871" s="3" t="n">
        <v>0</v>
      </c>
      <c r="K871" s="3" t="n">
        <v>0</v>
      </c>
      <c r="L871" s="3" t="n">
        <v>0</v>
      </c>
      <c r="M871" s="3" t="s">
        <v>127</v>
      </c>
      <c r="N871" s="3" t="n">
        <v>10</v>
      </c>
      <c r="O871" s="3" t="n">
        <v>15.782</v>
      </c>
      <c r="P871" s="3" t="n">
        <v>-88.33</v>
      </c>
      <c r="Q871" s="3" t="s">
        <v>2261</v>
      </c>
      <c r="R871" s="3"/>
      <c r="S871" s="3" t="s">
        <v>703</v>
      </c>
      <c r="T871" s="5" t="n">
        <f aca="false">IF(C871="","",DATE(VALUE(MID(C871,7,4)),VALUE(MID(C871,4,2)),VALUE(MID(C871,1,2)))+TIME(VALUE(MID(C871,12,2)),VALUE(MID(C871,15,2)),0))</f>
        <v>36352.5930555556</v>
      </c>
      <c r="U871" s="3" t="str">
        <f aca="false">IFERROR(IF(ISNUMBER(VALUE(TRIM(MID(A871,FIND("-",A871)+1,FIND("km",A871)-FIND("-",A871)-1)))),"Distance + direction + city","Named-region"),"Named-region")</f>
        <v>Distance + direction + city</v>
      </c>
      <c r="V871" s="3" t="str">
        <f aca="false">LOWER(M871)</f>
        <v>mwc</v>
      </c>
      <c r="W871" s="3" t="n">
        <f aca="false">COUNTIFS($A$2:$A$1001,A871,$C$2:$C$1001,C871)</f>
        <v>1</v>
      </c>
      <c r="X871" s="3" t="str">
        <f aca="false">IF(W871&gt;1,"Duplicate","Unique")</f>
        <v>Unique</v>
      </c>
      <c r="Y871" s="3" t="str">
        <f aca="false">IF(B871&lt;6.5,"&lt;6.5",IF(B871&lt;7,"6.5–6.9",IF(B871&lt;7.5,"7.0–7.4",IF(B871&lt;8,"7.5–7.9","8.0+"))))</f>
        <v>6.5–6.9</v>
      </c>
      <c r="Z871" s="3" t="n">
        <f aca="false">IF(T871="","",YEAR(T871))</f>
        <v>1999</v>
      </c>
    </row>
    <row r="872" customFormat="false" ht="13.8" hidden="false" customHeight="false" outlineLevel="0" collapsed="false">
      <c r="A872" s="3" t="s">
        <v>2262</v>
      </c>
      <c r="B872" s="3" t="n">
        <v>7</v>
      </c>
      <c r="C872" s="3" t="s">
        <v>2263</v>
      </c>
      <c r="D872" s="3" t="n">
        <v>0</v>
      </c>
      <c r="E872" s="3" t="n">
        <v>7</v>
      </c>
      <c r="F872" s="3"/>
      <c r="G872" s="3" t="n">
        <v>0</v>
      </c>
      <c r="H872" s="3" t="n">
        <v>754</v>
      </c>
      <c r="I872" s="3" t="s">
        <v>22</v>
      </c>
      <c r="J872" s="3" t="n">
        <v>0</v>
      </c>
      <c r="K872" s="3" t="n">
        <v>0</v>
      </c>
      <c r="L872" s="3" t="n">
        <v>0</v>
      </c>
      <c r="M872" s="3" t="s">
        <v>127</v>
      </c>
      <c r="N872" s="3" t="n">
        <v>70</v>
      </c>
      <c r="O872" s="3" t="n">
        <v>18.386</v>
      </c>
      <c r="P872" s="3" t="n">
        <v>-97.436</v>
      </c>
      <c r="Q872" s="3" t="s">
        <v>2264</v>
      </c>
      <c r="R872" s="3" t="s">
        <v>164</v>
      </c>
      <c r="S872" s="3" t="s">
        <v>165</v>
      </c>
      <c r="T872" s="5" t="n">
        <f aca="false">IF(C872="","",DATE(VALUE(MID(C872,7,4)),VALUE(MID(C872,4,2)),VALUE(MID(C872,1,2)))+TIME(VALUE(MID(C872,12,2)),VALUE(MID(C872,15,2)),0))</f>
        <v>36326.8625</v>
      </c>
      <c r="U872" s="3" t="str">
        <f aca="false">IFERROR(IF(ISNUMBER(VALUE(TRIM(MID(A872,FIND("-",A872)+1,FIND("km",A872)-FIND("-",A872)-1)))),"Distance + direction + city","Named-region"),"Named-region")</f>
        <v>Distance + direction + city</v>
      </c>
      <c r="V872" s="3" t="str">
        <f aca="false">LOWER(M872)</f>
        <v>mwc</v>
      </c>
      <c r="W872" s="3" t="n">
        <f aca="false">COUNTIFS($A$2:$A$1001,A872,$C$2:$C$1001,C872)</f>
        <v>1</v>
      </c>
      <c r="X872" s="3" t="str">
        <f aca="false">IF(W872&gt;1,"Duplicate","Unique")</f>
        <v>Unique</v>
      </c>
      <c r="Y872" s="3" t="str">
        <f aca="false">IF(B872&lt;6.5,"&lt;6.5",IF(B872&lt;7,"6.5–6.9",IF(B872&lt;7.5,"7.0–7.4",IF(B872&lt;8,"7.5–7.9","8.0+"))))</f>
        <v>7.0–7.4</v>
      </c>
      <c r="Z872" s="3" t="n">
        <f aca="false">IF(T872="","",YEAR(T872))</f>
        <v>1999</v>
      </c>
    </row>
    <row r="873" customFormat="false" ht="13.8" hidden="false" customHeight="false" outlineLevel="0" collapsed="false">
      <c r="A873" s="3" t="s">
        <v>2265</v>
      </c>
      <c r="B873" s="3" t="n">
        <v>6.6</v>
      </c>
      <c r="C873" s="3" t="s">
        <v>2266</v>
      </c>
      <c r="D873" s="3" t="n">
        <v>0</v>
      </c>
      <c r="E873" s="3" t="n">
        <v>5</v>
      </c>
      <c r="F873" s="3"/>
      <c r="G873" s="3" t="n">
        <v>0</v>
      </c>
      <c r="H873" s="3" t="n">
        <v>670</v>
      </c>
      <c r="I873" s="3" t="s">
        <v>22</v>
      </c>
      <c r="J873" s="3" t="n">
        <v>0</v>
      </c>
      <c r="K873" s="3" t="n">
        <v>0</v>
      </c>
      <c r="L873" s="3" t="n">
        <v>0</v>
      </c>
      <c r="M873" s="3" t="s">
        <v>127</v>
      </c>
      <c r="N873" s="3" t="n">
        <v>27</v>
      </c>
      <c r="O873" s="3" t="n">
        <v>-5.165</v>
      </c>
      <c r="P873" s="3" t="n">
        <v>152.877</v>
      </c>
      <c r="Q873" s="3" t="s">
        <v>625</v>
      </c>
      <c r="R873" s="3"/>
      <c r="S873" s="3" t="s">
        <v>85</v>
      </c>
      <c r="T873" s="5" t="n">
        <f aca="false">IF(C873="","",DATE(VALUE(MID(C873,7,4)),VALUE(MID(C873,4,2)),VALUE(MID(C873,1,2)))+TIME(VALUE(MID(C873,12,2)),VALUE(MID(C873,15,2)),0))</f>
        <v>36297.4215277778</v>
      </c>
      <c r="U873" s="3" t="str">
        <f aca="false">IFERROR(IF(ISNUMBER(VALUE(TRIM(MID(A873,FIND("-",A873)+1,FIND("km",A873)-FIND("-",A873)-1)))),"Distance + direction + city","Named-region"),"Named-region")</f>
        <v>Distance + direction + city</v>
      </c>
      <c r="V873" s="3" t="str">
        <f aca="false">LOWER(M873)</f>
        <v>mwc</v>
      </c>
      <c r="W873" s="3" t="n">
        <f aca="false">COUNTIFS($A$2:$A$1001,A873,$C$2:$C$1001,C873)</f>
        <v>1</v>
      </c>
      <c r="X873" s="3" t="str">
        <f aca="false">IF(W873&gt;1,"Duplicate","Unique")</f>
        <v>Unique</v>
      </c>
      <c r="Y873" s="3" t="str">
        <f aca="false">IF(B873&lt;6.5,"&lt;6.5",IF(B873&lt;7,"6.5–6.9",IF(B873&lt;7.5,"7.0–7.4",IF(B873&lt;8,"7.5–7.9","8.0+"))))</f>
        <v>6.5–6.9</v>
      </c>
      <c r="Z873" s="3" t="n">
        <f aca="false">IF(T873="","",YEAR(T873))</f>
        <v>1999</v>
      </c>
    </row>
    <row r="874" customFormat="false" ht="13.8" hidden="false" customHeight="false" outlineLevel="0" collapsed="false">
      <c r="A874" s="3" t="s">
        <v>2267</v>
      </c>
      <c r="B874" s="3" t="n">
        <v>7.1</v>
      </c>
      <c r="C874" s="3" t="s">
        <v>2268</v>
      </c>
      <c r="D874" s="3" t="n">
        <v>0</v>
      </c>
      <c r="E874" s="3" t="n">
        <v>7</v>
      </c>
      <c r="F874" s="3"/>
      <c r="G874" s="3" t="n">
        <v>0</v>
      </c>
      <c r="H874" s="3" t="n">
        <v>776</v>
      </c>
      <c r="I874" s="3" t="s">
        <v>22</v>
      </c>
      <c r="J874" s="3" t="n">
        <v>0</v>
      </c>
      <c r="K874" s="3" t="n">
        <v>0</v>
      </c>
      <c r="L874" s="3" t="n">
        <v>0</v>
      </c>
      <c r="M874" s="3" t="s">
        <v>127</v>
      </c>
      <c r="N874" s="3" t="n">
        <v>73.7</v>
      </c>
      <c r="O874" s="3" t="n">
        <v>-4.751</v>
      </c>
      <c r="P874" s="3" t="n">
        <v>152.486</v>
      </c>
      <c r="Q874" s="3" t="s">
        <v>625</v>
      </c>
      <c r="R874" s="3"/>
      <c r="S874" s="3" t="s">
        <v>85</v>
      </c>
      <c r="T874" s="5" t="n">
        <f aca="false">IF(C874="","",DATE(VALUE(MID(C874,7,4)),VALUE(MID(C874,4,2)),VALUE(MID(C874,1,2)))+TIME(VALUE(MID(C874,12,2)),VALUE(MID(C874,15,2)),0))</f>
        <v>36296.0354166667</v>
      </c>
      <c r="U874" s="3" t="str">
        <f aca="false">IFERROR(IF(ISNUMBER(VALUE(TRIM(MID(A874,FIND("-",A874)+1,FIND("km",A874)-FIND("-",A874)-1)))),"Distance + direction + city","Named-region"),"Named-region")</f>
        <v>Distance + direction + city</v>
      </c>
      <c r="V874" s="3" t="str">
        <f aca="false">LOWER(M874)</f>
        <v>mwc</v>
      </c>
      <c r="W874" s="3" t="n">
        <f aca="false">COUNTIFS($A$2:$A$1001,A874,$C$2:$C$1001,C874)</f>
        <v>1</v>
      </c>
      <c r="X874" s="3" t="str">
        <f aca="false">IF(W874&gt;1,"Duplicate","Unique")</f>
        <v>Unique</v>
      </c>
      <c r="Y874" s="3" t="str">
        <f aca="false">IF(B874&lt;6.5,"&lt;6.5",IF(B874&lt;7,"6.5–6.9",IF(B874&lt;7.5,"7.0–7.4",IF(B874&lt;8,"7.5–7.9","8.0+"))))</f>
        <v>7.0–7.4</v>
      </c>
      <c r="Z874" s="3" t="n">
        <f aca="false">IF(T874="","",YEAR(T874))</f>
        <v>1999</v>
      </c>
    </row>
    <row r="875" customFormat="false" ht="13.8" hidden="false" customHeight="false" outlineLevel="0" collapsed="false">
      <c r="A875" s="3" t="s">
        <v>2269</v>
      </c>
      <c r="B875" s="3" t="n">
        <v>7.1</v>
      </c>
      <c r="C875" s="6" t="s">
        <v>2270</v>
      </c>
      <c r="D875" s="3" t="n">
        <v>0</v>
      </c>
      <c r="E875" s="3" t="n">
        <v>7</v>
      </c>
      <c r="F875" s="3"/>
      <c r="G875" s="3" t="n">
        <v>0</v>
      </c>
      <c r="H875" s="3" t="n">
        <v>776</v>
      </c>
      <c r="I875" s="3" t="s">
        <v>22</v>
      </c>
      <c r="J875" s="3" t="n">
        <v>0</v>
      </c>
      <c r="K875" s="3" t="n">
        <v>0</v>
      </c>
      <c r="L875" s="3" t="n">
        <v>0</v>
      </c>
      <c r="M875" s="3" t="s">
        <v>154</v>
      </c>
      <c r="N875" s="3" t="n">
        <v>138</v>
      </c>
      <c r="O875" s="3" t="n">
        <v>-5.159</v>
      </c>
      <c r="P875" s="3" t="n">
        <v>150.88</v>
      </c>
      <c r="Q875" s="3" t="s">
        <v>107</v>
      </c>
      <c r="R875" s="3"/>
      <c r="S875" s="3" t="s">
        <v>85</v>
      </c>
      <c r="T875" s="5" t="n">
        <f aca="false">IF(C875="","",DATE(VALUE(MID(C875,7,4)),VALUE(MID(C875,4,2)),VALUE(MID(C875,1,2)))+TIME(VALUE(MID(C875,12,2)),VALUE(MID(C875,15,2)),0))</f>
        <v>36290.85625</v>
      </c>
      <c r="U875" s="3" t="str">
        <f aca="false">IFERROR(IF(ISNUMBER(VALUE(TRIM(MID(A875,FIND("-",A875)+1,FIND("km",A875)-FIND("-",A875)-1)))),"Distance + direction + city","Named-region"),"Named-region")</f>
        <v>Distance + direction + city</v>
      </c>
      <c r="V875" s="3" t="str">
        <f aca="false">LOWER(M875)</f>
        <v>mwb</v>
      </c>
      <c r="W875" s="3" t="n">
        <f aca="false">COUNTIFS($A$2:$A$1001,A875,$C$2:$C$1001,C875)</f>
        <v>1</v>
      </c>
      <c r="X875" s="3" t="str">
        <f aca="false">IF(W875&gt;1,"Duplicate","Unique")</f>
        <v>Unique</v>
      </c>
      <c r="Y875" s="3" t="str">
        <f aca="false">IF(B875&lt;6.5,"&lt;6.5",IF(B875&lt;7,"6.5–6.9",IF(B875&lt;7.5,"7.0–7.4",IF(B875&lt;8,"7.5–7.9","8.0+"))))</f>
        <v>7.0–7.4</v>
      </c>
      <c r="Z875" s="3" t="n">
        <f aca="false">IF(T875="","",YEAR(T875))</f>
        <v>1999</v>
      </c>
    </row>
    <row r="876" customFormat="false" ht="13.8" hidden="false" customHeight="false" outlineLevel="0" collapsed="false">
      <c r="A876" s="3" t="s">
        <v>2271</v>
      </c>
      <c r="B876" s="3" t="n">
        <v>6.8</v>
      </c>
      <c r="C876" s="3" t="s">
        <v>2272</v>
      </c>
      <c r="D876" s="3" t="n">
        <v>0</v>
      </c>
      <c r="E876" s="3" t="n">
        <v>5</v>
      </c>
      <c r="F876" s="3"/>
      <c r="G876" s="3" t="n">
        <v>0</v>
      </c>
      <c r="H876" s="3" t="n">
        <v>711</v>
      </c>
      <c r="I876" s="3" t="s">
        <v>22</v>
      </c>
      <c r="J876" s="3" t="n">
        <v>0</v>
      </c>
      <c r="K876" s="3" t="n">
        <v>0</v>
      </c>
      <c r="L876" s="3" t="n">
        <v>0</v>
      </c>
      <c r="M876" s="3" t="s">
        <v>127</v>
      </c>
      <c r="N876" s="3" t="n">
        <v>164.2</v>
      </c>
      <c r="O876" s="3" t="n">
        <v>-21.422</v>
      </c>
      <c r="P876" s="3" t="n">
        <v>-176.46</v>
      </c>
      <c r="Q876" s="3" t="s">
        <v>325</v>
      </c>
      <c r="R876" s="3"/>
      <c r="S876" s="3"/>
      <c r="T876" s="5" t="n">
        <f aca="false">IF(C876="","",DATE(VALUE(MID(C876,7,4)),VALUE(MID(C876,4,2)),VALUE(MID(C876,1,2)))+TIME(VALUE(MID(C876,12,2)),VALUE(MID(C876,15,2)),0))</f>
        <v>36263.4430555556</v>
      </c>
      <c r="U876" s="3" t="str">
        <f aca="false">IFERROR(IF(ISNUMBER(VALUE(TRIM(MID(A876,FIND("-",A876)+1,FIND("km",A876)-FIND("-",A876)-1)))),"Distance + direction + city","Named-region"),"Named-region")</f>
        <v>Distance + direction + city</v>
      </c>
      <c r="V876" s="3" t="str">
        <f aca="false">LOWER(M876)</f>
        <v>mwc</v>
      </c>
      <c r="W876" s="3" t="n">
        <f aca="false">COUNTIFS($A$2:$A$1001,A876,$C$2:$C$1001,C876)</f>
        <v>1</v>
      </c>
      <c r="X876" s="3" t="str">
        <f aca="false">IF(W876&gt;1,"Duplicate","Unique")</f>
        <v>Unique</v>
      </c>
      <c r="Y876" s="3" t="str">
        <f aca="false">IF(B876&lt;6.5,"&lt;6.5",IF(B876&lt;7,"6.5–6.9",IF(B876&lt;7.5,"7.0–7.4",IF(B876&lt;8,"7.5–7.9","8.0+"))))</f>
        <v>6.5–6.9</v>
      </c>
      <c r="Z876" s="3" t="n">
        <f aca="false">IF(T876="","",YEAR(T876))</f>
        <v>1999</v>
      </c>
    </row>
    <row r="877" customFormat="false" ht="13.8" hidden="false" customHeight="false" outlineLevel="0" collapsed="false">
      <c r="A877" s="3" t="s">
        <v>2273</v>
      </c>
      <c r="B877" s="3" t="n">
        <v>7.4</v>
      </c>
      <c r="C877" s="6" t="s">
        <v>2274</v>
      </c>
      <c r="D877" s="3" t="n">
        <v>0</v>
      </c>
      <c r="E877" s="3" t="n">
        <v>7</v>
      </c>
      <c r="F877" s="3"/>
      <c r="G877" s="3" t="n">
        <v>0</v>
      </c>
      <c r="H877" s="3" t="n">
        <v>842</v>
      </c>
      <c r="I877" s="3" t="s">
        <v>22</v>
      </c>
      <c r="J877" s="3" t="n">
        <v>0</v>
      </c>
      <c r="K877" s="3" t="n">
        <v>0</v>
      </c>
      <c r="L877" s="3" t="n">
        <v>0</v>
      </c>
      <c r="M877" s="3" t="s">
        <v>127</v>
      </c>
      <c r="N877" s="3" t="n">
        <v>150</v>
      </c>
      <c r="O877" s="3" t="n">
        <v>-5.591</v>
      </c>
      <c r="P877" s="3" t="n">
        <v>149.568</v>
      </c>
      <c r="Q877" s="3" t="s">
        <v>107</v>
      </c>
      <c r="R877" s="3"/>
      <c r="S877" s="3" t="s">
        <v>85</v>
      </c>
      <c r="T877" s="5" t="n">
        <f aca="false">IF(C877="","",DATE(VALUE(MID(C877,7,4)),VALUE(MID(C877,4,2)),VALUE(MID(C877,1,2)))+TIME(VALUE(MID(C877,12,2)),VALUE(MID(C877,15,2)),0))</f>
        <v>36255.4638888889</v>
      </c>
      <c r="U877" s="3" t="str">
        <f aca="false">IFERROR(IF(ISNUMBER(VALUE(TRIM(MID(A877,FIND("-",A877)+1,FIND("km",A877)-FIND("-",A877)-1)))),"Distance + direction + city","Named-region"),"Named-region")</f>
        <v>Distance + direction + city</v>
      </c>
      <c r="V877" s="3" t="str">
        <f aca="false">LOWER(M877)</f>
        <v>mwc</v>
      </c>
      <c r="W877" s="3" t="n">
        <f aca="false">COUNTIFS($A$2:$A$1001,A877,$C$2:$C$1001,C877)</f>
        <v>1</v>
      </c>
      <c r="X877" s="3" t="str">
        <f aca="false">IF(W877&gt;1,"Duplicate","Unique")</f>
        <v>Unique</v>
      </c>
      <c r="Y877" s="3" t="str">
        <f aca="false">IF(B877&lt;6.5,"&lt;6.5",IF(B877&lt;7,"6.5–6.9",IF(B877&lt;7.5,"7.0–7.4",IF(B877&lt;8,"7.5–7.9","8.0+"))))</f>
        <v>7.0–7.4</v>
      </c>
      <c r="Z877" s="3" t="n">
        <f aca="false">IF(T877="","",YEAR(T877))</f>
        <v>1999</v>
      </c>
    </row>
    <row r="878" customFormat="false" ht="13.8" hidden="false" customHeight="false" outlineLevel="0" collapsed="false">
      <c r="A878" s="3" t="s">
        <v>2275</v>
      </c>
      <c r="B878" s="3" t="n">
        <v>6.8</v>
      </c>
      <c r="C878" s="6" t="s">
        <v>2276</v>
      </c>
      <c r="D878" s="3" t="n">
        <v>0</v>
      </c>
      <c r="E878" s="3" t="n">
        <v>7</v>
      </c>
      <c r="F878" s="3"/>
      <c r="G878" s="3" t="n">
        <v>0</v>
      </c>
      <c r="H878" s="3" t="n">
        <v>711</v>
      </c>
      <c r="I878" s="3" t="s">
        <v>22</v>
      </c>
      <c r="J878" s="3" t="n">
        <v>0</v>
      </c>
      <c r="K878" s="3" t="n">
        <v>0</v>
      </c>
      <c r="L878" s="3" t="n">
        <v>0</v>
      </c>
      <c r="M878" s="3" t="s">
        <v>127</v>
      </c>
      <c r="N878" s="3" t="n">
        <v>87.2</v>
      </c>
      <c r="O878" s="3" t="n">
        <v>-16.66</v>
      </c>
      <c r="P878" s="3" t="n">
        <v>-72.662</v>
      </c>
      <c r="Q878" s="3" t="s">
        <v>2277</v>
      </c>
      <c r="R878" s="3" t="s">
        <v>33</v>
      </c>
      <c r="S878" s="3" t="s">
        <v>199</v>
      </c>
      <c r="T878" s="5" t="n">
        <f aca="false">IF(C878="","",DATE(VALUE(MID(C878,7,4)),VALUE(MID(C878,4,2)),VALUE(MID(C878,1,2)))+TIME(VALUE(MID(C878,12,2)),VALUE(MID(C878,15,2)),0))</f>
        <v>36253.2618055556</v>
      </c>
      <c r="U878" s="3" t="str">
        <f aca="false">IFERROR(IF(ISNUMBER(VALUE(TRIM(MID(A878,FIND("-",A878)+1,FIND("km",A878)-FIND("-",A878)-1)))),"Distance + direction + city","Named-region"),"Named-region")</f>
        <v>Distance + direction + city</v>
      </c>
      <c r="V878" s="3" t="str">
        <f aca="false">LOWER(M878)</f>
        <v>mwc</v>
      </c>
      <c r="W878" s="3" t="n">
        <f aca="false">COUNTIFS($A$2:$A$1001,A878,$C$2:$C$1001,C878)</f>
        <v>1</v>
      </c>
      <c r="X878" s="3" t="str">
        <f aca="false">IF(W878&gt;1,"Duplicate","Unique")</f>
        <v>Unique</v>
      </c>
      <c r="Y878" s="3" t="str">
        <f aca="false">IF(B878&lt;6.5,"&lt;6.5",IF(B878&lt;7,"6.5–6.9",IF(B878&lt;7.5,"7.0–7.4",IF(B878&lt;8,"7.5–7.9","8.0+"))))</f>
        <v>6.5–6.9</v>
      </c>
      <c r="Z878" s="3" t="n">
        <f aca="false">IF(T878="","",YEAR(T878))</f>
        <v>1999</v>
      </c>
    </row>
    <row r="879" customFormat="false" ht="13.8" hidden="false" customHeight="false" outlineLevel="0" collapsed="false">
      <c r="A879" s="3" t="s">
        <v>2278</v>
      </c>
      <c r="B879" s="3" t="n">
        <v>6.6</v>
      </c>
      <c r="C879" s="3" t="s">
        <v>2279</v>
      </c>
      <c r="D879" s="3" t="n">
        <v>0</v>
      </c>
      <c r="E879" s="3" t="n">
        <v>7</v>
      </c>
      <c r="F879" s="3"/>
      <c r="G879" s="3" t="n">
        <v>0</v>
      </c>
      <c r="H879" s="3" t="n">
        <v>670</v>
      </c>
      <c r="I879" s="3" t="s">
        <v>22</v>
      </c>
      <c r="J879" s="3" t="n">
        <v>0</v>
      </c>
      <c r="K879" s="3" t="n">
        <v>0</v>
      </c>
      <c r="L879" s="3" t="n">
        <v>0</v>
      </c>
      <c r="M879" s="3" t="s">
        <v>154</v>
      </c>
      <c r="N879" s="3" t="n">
        <v>15</v>
      </c>
      <c r="O879" s="3" t="n">
        <v>30.512</v>
      </c>
      <c r="P879" s="3" t="n">
        <v>79.403</v>
      </c>
      <c r="Q879" s="3" t="s">
        <v>2280</v>
      </c>
      <c r="R879" s="3" t="s">
        <v>80</v>
      </c>
      <c r="S879" s="3" t="s">
        <v>860</v>
      </c>
      <c r="T879" s="5" t="n">
        <f aca="false">IF(C879="","",DATE(VALUE(MID(C879,7,4)),VALUE(MID(C879,4,2)),VALUE(MID(C879,1,2)))+TIME(VALUE(MID(C879,12,2)),VALUE(MID(C879,15,2)),0))</f>
        <v>36247.7951388889</v>
      </c>
      <c r="U879" s="3" t="str">
        <f aca="false">IFERROR(IF(ISNUMBER(VALUE(TRIM(MID(A879,FIND("-",A879)+1,FIND("km",A879)-FIND("-",A879)-1)))),"Distance + direction + city","Named-region"),"Named-region")</f>
        <v>Distance + direction + city</v>
      </c>
      <c r="V879" s="3" t="str">
        <f aca="false">LOWER(M879)</f>
        <v>mwb</v>
      </c>
      <c r="W879" s="3" t="n">
        <f aca="false">COUNTIFS($A$2:$A$1001,A879,$C$2:$C$1001,C879)</f>
        <v>1</v>
      </c>
      <c r="X879" s="3" t="str">
        <f aca="false">IF(W879&gt;1,"Duplicate","Unique")</f>
        <v>Unique</v>
      </c>
      <c r="Y879" s="3" t="str">
        <f aca="false">IF(B879&lt;6.5,"&lt;6.5",IF(B879&lt;7,"6.5–6.9",IF(B879&lt;7.5,"7.0–7.4",IF(B879&lt;8,"7.5–7.9","8.0+"))))</f>
        <v>6.5–6.9</v>
      </c>
      <c r="Z879" s="3" t="n">
        <f aca="false">IF(T879="","",YEAR(T879))</f>
        <v>1999</v>
      </c>
    </row>
    <row r="880" customFormat="false" ht="13.8" hidden="false" customHeight="false" outlineLevel="0" collapsed="false">
      <c r="A880" s="3" t="s">
        <v>2281</v>
      </c>
      <c r="B880" s="3" t="n">
        <v>6.9</v>
      </c>
      <c r="C880" s="3" t="s">
        <v>2282</v>
      </c>
      <c r="D880" s="3" t="n">
        <v>0</v>
      </c>
      <c r="E880" s="3" t="n">
        <v>6</v>
      </c>
      <c r="F880" s="3"/>
      <c r="G880" s="3" t="n">
        <v>0</v>
      </c>
      <c r="H880" s="3" t="n">
        <v>732</v>
      </c>
      <c r="I880" s="3" t="s">
        <v>22</v>
      </c>
      <c r="J880" s="3" t="n">
        <v>0</v>
      </c>
      <c r="K880" s="3" t="n">
        <v>0</v>
      </c>
      <c r="L880" s="3" t="n">
        <v>0</v>
      </c>
      <c r="M880" s="3" t="s">
        <v>127</v>
      </c>
      <c r="N880" s="3" t="n">
        <v>33</v>
      </c>
      <c r="O880" s="3" t="n">
        <v>51.587</v>
      </c>
      <c r="P880" s="3" t="n">
        <v>-177.668</v>
      </c>
      <c r="Q880" s="3" t="s">
        <v>608</v>
      </c>
      <c r="R880" s="3" t="s">
        <v>164</v>
      </c>
      <c r="S880" s="3" t="s">
        <v>261</v>
      </c>
      <c r="T880" s="5" t="n">
        <f aca="false">IF(C880="","",DATE(VALUE(MID(C880,7,4)),VALUE(MID(C880,4,2)),VALUE(MID(C880,1,2)))+TIME(VALUE(MID(C880,12,2)),VALUE(MID(C880,15,2)),0))</f>
        <v>36239.4493055556</v>
      </c>
      <c r="U880" s="3" t="str">
        <f aca="false">IFERROR(IF(ISNUMBER(VALUE(TRIM(MID(A880,FIND("-",A880)+1,FIND("km",A880)-FIND("-",A880)-1)))),"Distance + direction + city","Named-region"),"Named-region")</f>
        <v>Distance + direction + city</v>
      </c>
      <c r="V880" s="3" t="str">
        <f aca="false">LOWER(M880)</f>
        <v>mwc</v>
      </c>
      <c r="W880" s="3" t="n">
        <f aca="false">COUNTIFS($A$2:$A$1001,A880,$C$2:$C$1001,C880)</f>
        <v>1</v>
      </c>
      <c r="X880" s="3" t="str">
        <f aca="false">IF(W880&gt;1,"Duplicate","Unique")</f>
        <v>Unique</v>
      </c>
      <c r="Y880" s="3" t="str">
        <f aca="false">IF(B880&lt;6.5,"&lt;6.5",IF(B880&lt;7,"6.5–6.9",IF(B880&lt;7.5,"7.0–7.4",IF(B880&lt;8,"7.5–7.9","8.0+"))))</f>
        <v>6.5–6.9</v>
      </c>
      <c r="Z880" s="3" t="n">
        <f aca="false">IF(T880="","",YEAR(T880))</f>
        <v>1999</v>
      </c>
    </row>
    <row r="881" customFormat="false" ht="13.8" hidden="false" customHeight="false" outlineLevel="0" collapsed="false">
      <c r="A881" s="3" t="s">
        <v>2283</v>
      </c>
      <c r="B881" s="3" t="n">
        <v>6.9</v>
      </c>
      <c r="C881" s="6" t="s">
        <v>2284</v>
      </c>
      <c r="D881" s="3" t="n">
        <v>0</v>
      </c>
      <c r="E881" s="3" t="n">
        <v>5</v>
      </c>
      <c r="F881" s="3"/>
      <c r="G881" s="3" t="n">
        <v>0</v>
      </c>
      <c r="H881" s="3" t="n">
        <v>732</v>
      </c>
      <c r="I881" s="3" t="s">
        <v>22</v>
      </c>
      <c r="J881" s="3" t="n">
        <v>0</v>
      </c>
      <c r="K881" s="3" t="n">
        <v>0</v>
      </c>
      <c r="L881" s="3" t="n">
        <v>0</v>
      </c>
      <c r="M881" s="3" t="s">
        <v>127</v>
      </c>
      <c r="N881" s="3" t="n">
        <v>56.6</v>
      </c>
      <c r="O881" s="3" t="n">
        <v>52.056</v>
      </c>
      <c r="P881" s="3" t="n">
        <v>159.52</v>
      </c>
      <c r="Q881" s="3" t="s">
        <v>2285</v>
      </c>
      <c r="R881" s="3"/>
      <c r="S881" s="3"/>
      <c r="T881" s="5" t="n">
        <f aca="false">IF(C881="","",DATE(VALUE(MID(C881,7,4)),VALUE(MID(C881,4,2)),VALUE(MID(C881,1,2)))+TIME(VALUE(MID(C881,12,2)),VALUE(MID(C881,15,2)),0))</f>
        <v>36227.5173611111</v>
      </c>
      <c r="U881" s="3" t="str">
        <f aca="false">IFERROR(IF(ISNUMBER(VALUE(TRIM(MID(A881,FIND("-",A881)+1,FIND("km",A881)-FIND("-",A881)-1)))),"Distance + direction + city","Named-region"),"Named-region")</f>
        <v>Distance + direction + city</v>
      </c>
      <c r="V881" s="3" t="str">
        <f aca="false">LOWER(M881)</f>
        <v>mwc</v>
      </c>
      <c r="W881" s="3" t="n">
        <f aca="false">COUNTIFS($A$2:$A$1001,A881,$C$2:$C$1001,C881)</f>
        <v>1</v>
      </c>
      <c r="X881" s="3" t="str">
        <f aca="false">IF(W881&gt;1,"Duplicate","Unique")</f>
        <v>Unique</v>
      </c>
      <c r="Y881" s="3" t="str">
        <f aca="false">IF(B881&lt;6.5,"&lt;6.5",IF(B881&lt;7,"6.5–6.9",IF(B881&lt;7.5,"7.0–7.4",IF(B881&lt;8,"7.5–7.9","8.0+"))))</f>
        <v>6.5–6.9</v>
      </c>
      <c r="Z881" s="3" t="n">
        <f aca="false">IF(T881="","",YEAR(T881))</f>
        <v>1999</v>
      </c>
    </row>
    <row r="882" customFormat="false" ht="13.8" hidden="false" customHeight="false" outlineLevel="0" collapsed="false">
      <c r="A882" s="3" t="s">
        <v>2286</v>
      </c>
      <c r="B882" s="3" t="n">
        <v>7.1</v>
      </c>
      <c r="C882" s="6" t="s">
        <v>2287</v>
      </c>
      <c r="D882" s="3" t="n">
        <v>0</v>
      </c>
      <c r="E882" s="3" t="n">
        <v>6</v>
      </c>
      <c r="F882" s="3"/>
      <c r="G882" s="3" t="n">
        <v>0</v>
      </c>
      <c r="H882" s="3" t="n">
        <v>776</v>
      </c>
      <c r="I882" s="3" t="s">
        <v>22</v>
      </c>
      <c r="J882" s="3" t="n">
        <v>0</v>
      </c>
      <c r="K882" s="3" t="n">
        <v>0</v>
      </c>
      <c r="L882" s="3" t="n">
        <v>0</v>
      </c>
      <c r="M882" s="3" t="s">
        <v>127</v>
      </c>
      <c r="N882" s="3" t="n">
        <v>33</v>
      </c>
      <c r="O882" s="3" t="n">
        <v>5.397</v>
      </c>
      <c r="P882" s="3" t="n">
        <v>121.937</v>
      </c>
      <c r="Q882" s="3" t="s">
        <v>741</v>
      </c>
      <c r="R882" s="3"/>
      <c r="S882" s="3"/>
      <c r="T882" s="5" t="n">
        <f aca="false">IF(C882="","",DATE(VALUE(MID(C882,7,4)),VALUE(MID(C882,4,2)),VALUE(MID(C882,1,2)))+TIME(VALUE(MID(C882,12,2)),VALUE(MID(C882,15,2)),0))</f>
        <v>36223.3694444444</v>
      </c>
      <c r="U882" s="3" t="str">
        <f aca="false">IFERROR(IF(ISNUMBER(VALUE(TRIM(MID(A882,FIND("-",A882)+1,FIND("km",A882)-FIND("-",A882)-1)))),"Distance + direction + city","Named-region"),"Named-region")</f>
        <v>Distance + direction + city</v>
      </c>
      <c r="V882" s="3" t="str">
        <f aca="false">LOWER(M882)</f>
        <v>mwc</v>
      </c>
      <c r="W882" s="3" t="n">
        <f aca="false">COUNTIFS($A$2:$A$1001,A882,$C$2:$C$1001,C882)</f>
        <v>1</v>
      </c>
      <c r="X882" s="3" t="str">
        <f aca="false">IF(W882&gt;1,"Duplicate","Unique")</f>
        <v>Unique</v>
      </c>
      <c r="Y882" s="3" t="str">
        <f aca="false">IF(B882&lt;6.5,"&lt;6.5",IF(B882&lt;7,"6.5–6.9",IF(B882&lt;7.5,"7.0–7.4",IF(B882&lt;8,"7.5–7.9","8.0+"))))</f>
        <v>7.0–7.4</v>
      </c>
      <c r="Z882" s="3" t="n">
        <f aca="false">IF(T882="","",YEAR(T882))</f>
        <v>1999</v>
      </c>
    </row>
    <row r="883" customFormat="false" ht="13.8" hidden="false" customHeight="false" outlineLevel="0" collapsed="false">
      <c r="A883" s="3" t="s">
        <v>2288</v>
      </c>
      <c r="B883" s="3" t="n">
        <v>6.6</v>
      </c>
      <c r="C883" s="6" t="s">
        <v>2289</v>
      </c>
      <c r="D883" s="3" t="n">
        <v>0</v>
      </c>
      <c r="E883" s="3" t="n">
        <v>7</v>
      </c>
      <c r="F883" s="3"/>
      <c r="G883" s="3" t="n">
        <v>0</v>
      </c>
      <c r="H883" s="3" t="n">
        <v>670</v>
      </c>
      <c r="I883" s="3" t="s">
        <v>22</v>
      </c>
      <c r="J883" s="3" t="n">
        <v>0</v>
      </c>
      <c r="K883" s="3" t="n">
        <v>0</v>
      </c>
      <c r="L883" s="3" t="n">
        <v>0</v>
      </c>
      <c r="M883" s="3" t="s">
        <v>127</v>
      </c>
      <c r="N883" s="3" t="n">
        <v>33</v>
      </c>
      <c r="O883" s="3" t="n">
        <v>28.343</v>
      </c>
      <c r="P883" s="3" t="n">
        <v>57.193</v>
      </c>
      <c r="Q883" s="3" t="s">
        <v>2290</v>
      </c>
      <c r="R883" s="3" t="s">
        <v>80</v>
      </c>
      <c r="S883" s="3" t="s">
        <v>660</v>
      </c>
      <c r="T883" s="5" t="n">
        <f aca="false">IF(C883="","",DATE(VALUE(MID(C883,7,4)),VALUE(MID(C883,4,2)),VALUE(MID(C883,1,2)))+TIME(VALUE(MID(C883,12,2)),VALUE(MID(C883,15,2)),0))</f>
        <v>36223.2347222222</v>
      </c>
      <c r="U883" s="3" t="str">
        <f aca="false">IFERROR(IF(ISNUMBER(VALUE(TRIM(MID(A883,FIND("-",A883)+1,FIND("km",A883)-FIND("-",A883)-1)))),"Distance + direction + city","Named-region"),"Named-region")</f>
        <v>Distance + direction + city</v>
      </c>
      <c r="V883" s="3" t="str">
        <f aca="false">LOWER(M883)</f>
        <v>mwc</v>
      </c>
      <c r="W883" s="3" t="n">
        <f aca="false">COUNTIFS($A$2:$A$1001,A883,$C$2:$C$1001,C883)</f>
        <v>1</v>
      </c>
      <c r="X883" s="3" t="str">
        <f aca="false">IF(W883&gt;1,"Duplicate","Unique")</f>
        <v>Unique</v>
      </c>
      <c r="Y883" s="3" t="str">
        <f aca="false">IF(B883&lt;6.5,"&lt;6.5",IF(B883&lt;7,"6.5–6.9",IF(B883&lt;7.5,"7.0–7.4",IF(B883&lt;8,"7.5–7.9","8.0+"))))</f>
        <v>6.5–6.9</v>
      </c>
      <c r="Z883" s="3" t="n">
        <f aca="false">IF(T883="","",YEAR(T883))</f>
        <v>1999</v>
      </c>
    </row>
    <row r="884" customFormat="false" ht="13.8" hidden="false" customHeight="false" outlineLevel="0" collapsed="false">
      <c r="A884" s="3" t="s">
        <v>2291</v>
      </c>
      <c r="B884" s="3" t="n">
        <v>7.3</v>
      </c>
      <c r="C884" s="6" t="s">
        <v>2292</v>
      </c>
      <c r="D884" s="3" t="n">
        <v>0</v>
      </c>
      <c r="E884" s="3" t="n">
        <v>7</v>
      </c>
      <c r="F884" s="3"/>
      <c r="G884" s="3" t="n">
        <v>0</v>
      </c>
      <c r="H884" s="3" t="n">
        <v>820</v>
      </c>
      <c r="I884" s="3" t="s">
        <v>22</v>
      </c>
      <c r="J884" s="3" t="n">
        <v>0</v>
      </c>
      <c r="K884" s="3" t="n">
        <v>0</v>
      </c>
      <c r="L884" s="3" t="n">
        <v>0</v>
      </c>
      <c r="M884" s="3" t="s">
        <v>127</v>
      </c>
      <c r="N884" s="3" t="n">
        <v>90.1</v>
      </c>
      <c r="O884" s="3" t="n">
        <v>-12.853</v>
      </c>
      <c r="P884" s="3" t="n">
        <v>166.697</v>
      </c>
      <c r="Q884" s="3" t="s">
        <v>24</v>
      </c>
      <c r="R884" s="3"/>
      <c r="S884" s="3"/>
      <c r="T884" s="5" t="n">
        <f aca="false">IF(C884="","",DATE(VALUE(MID(C884,7,4)),VALUE(MID(C884,4,2)),VALUE(MID(C884,1,2)))+TIME(VALUE(MID(C884,12,2)),VALUE(MID(C884,15,2)),0))</f>
        <v>36197.9076388889</v>
      </c>
      <c r="U884" s="3" t="str">
        <f aca="false">IFERROR(IF(ISNUMBER(VALUE(TRIM(MID(A884,FIND("-",A884)+1,FIND("km",A884)-FIND("-",A884)-1)))),"Distance + direction + city","Named-region"),"Named-region")</f>
        <v>Distance + direction + city</v>
      </c>
      <c r="V884" s="3" t="str">
        <f aca="false">LOWER(M884)</f>
        <v>mwc</v>
      </c>
      <c r="W884" s="3" t="n">
        <f aca="false">COUNTIFS($A$2:$A$1001,A884,$C$2:$C$1001,C884)</f>
        <v>1</v>
      </c>
      <c r="X884" s="3" t="str">
        <f aca="false">IF(W884&gt;1,"Duplicate","Unique")</f>
        <v>Unique</v>
      </c>
      <c r="Y884" s="3" t="str">
        <f aca="false">IF(B884&lt;6.5,"&lt;6.5",IF(B884&lt;7,"6.5–6.9",IF(B884&lt;7.5,"7.0–7.4",IF(B884&lt;8,"7.5–7.9","8.0+"))))</f>
        <v>7.0–7.4</v>
      </c>
      <c r="Z884" s="3" t="n">
        <f aca="false">IF(T884="","",YEAR(T884))</f>
        <v>1999</v>
      </c>
    </row>
    <row r="885" customFormat="false" ht="13.8" hidden="false" customHeight="false" outlineLevel="0" collapsed="false">
      <c r="A885" s="3" t="s">
        <v>2293</v>
      </c>
      <c r="B885" s="3" t="n">
        <v>6.6</v>
      </c>
      <c r="C885" s="3" t="s">
        <v>2294</v>
      </c>
      <c r="D885" s="3" t="n">
        <v>0</v>
      </c>
      <c r="E885" s="3" t="n">
        <v>6</v>
      </c>
      <c r="F885" s="3"/>
      <c r="G885" s="3" t="n">
        <v>0</v>
      </c>
      <c r="H885" s="3" t="n">
        <v>670</v>
      </c>
      <c r="I885" s="3" t="s">
        <v>22</v>
      </c>
      <c r="J885" s="3" t="n">
        <v>0</v>
      </c>
      <c r="K885" s="3" t="n">
        <v>0</v>
      </c>
      <c r="L885" s="3" t="n">
        <v>0</v>
      </c>
      <c r="M885" s="3" t="s">
        <v>127</v>
      </c>
      <c r="N885" s="3" t="n">
        <v>67.2</v>
      </c>
      <c r="O885" s="3" t="n">
        <v>52.886</v>
      </c>
      <c r="P885" s="3" t="n">
        <v>-169.123</v>
      </c>
      <c r="Q885" s="3" t="s">
        <v>234</v>
      </c>
      <c r="R885" s="3" t="s">
        <v>164</v>
      </c>
      <c r="S885" s="3" t="s">
        <v>261</v>
      </c>
      <c r="T885" s="5" t="n">
        <f aca="false">IF(C885="","",DATE(VALUE(MID(C885,7,4)),VALUE(MID(C885,4,2)),VALUE(MID(C885,1,2)))+TIME(VALUE(MID(C885,12,2)),VALUE(MID(C885,15,2)),0))</f>
        <v>36188.3402777778</v>
      </c>
      <c r="U885" s="3" t="str">
        <f aca="false">IFERROR(IF(ISNUMBER(VALUE(TRIM(MID(A885,FIND("-",A885)+1,FIND("km",A885)-FIND("-",A885)-1)))),"Distance + direction + city","Named-region"),"Named-region")</f>
        <v>Distance + direction + city</v>
      </c>
      <c r="V885" s="3" t="str">
        <f aca="false">LOWER(M885)</f>
        <v>mwc</v>
      </c>
      <c r="W885" s="3" t="n">
        <f aca="false">COUNTIFS($A$2:$A$1001,A885,$C$2:$C$1001,C885)</f>
        <v>1</v>
      </c>
      <c r="X885" s="3" t="str">
        <f aca="false">IF(W885&gt;1,"Duplicate","Unique")</f>
        <v>Unique</v>
      </c>
      <c r="Y885" s="3" t="str">
        <f aca="false">IF(B885&lt;6.5,"&lt;6.5",IF(B885&lt;7,"6.5–6.9",IF(B885&lt;7.5,"7.0–7.4",IF(B885&lt;8,"7.5–7.9","8.0+"))))</f>
        <v>6.5–6.9</v>
      </c>
      <c r="Z885" s="3" t="n">
        <f aca="false">IF(T885="","",YEAR(T885))</f>
        <v>1999</v>
      </c>
    </row>
    <row r="886" customFormat="false" ht="13.8" hidden="false" customHeight="false" outlineLevel="0" collapsed="false">
      <c r="A886" s="3" t="s">
        <v>2295</v>
      </c>
      <c r="B886" s="3" t="n">
        <v>7</v>
      </c>
      <c r="C886" s="3" t="s">
        <v>2296</v>
      </c>
      <c r="D886" s="3" t="n">
        <v>0</v>
      </c>
      <c r="E886" s="3" t="n">
        <v>7</v>
      </c>
      <c r="F886" s="3"/>
      <c r="G886" s="3" t="n">
        <v>0</v>
      </c>
      <c r="H886" s="3" t="n">
        <v>754</v>
      </c>
      <c r="I886" s="3" t="s">
        <v>22</v>
      </c>
      <c r="J886" s="3" t="n">
        <v>0</v>
      </c>
      <c r="K886" s="3" t="n">
        <v>0</v>
      </c>
      <c r="L886" s="3" t="n">
        <v>0</v>
      </c>
      <c r="M886" s="3" t="s">
        <v>127</v>
      </c>
      <c r="N886" s="3" t="n">
        <v>114.1</v>
      </c>
      <c r="O886" s="3" t="n">
        <v>-4.596</v>
      </c>
      <c r="P886" s="3" t="n">
        <v>153.235</v>
      </c>
      <c r="Q886" s="3" t="s">
        <v>625</v>
      </c>
      <c r="R886" s="3"/>
      <c r="S886" s="3" t="s">
        <v>85</v>
      </c>
      <c r="T886" s="5" t="n">
        <f aca="false">IF(C886="","",DATE(VALUE(MID(C886,7,4)),VALUE(MID(C886,4,2)),VALUE(MID(C886,1,2)))+TIME(VALUE(MID(C886,12,2)),VALUE(MID(C886,15,2)),0))</f>
        <v>36179.1493055556</v>
      </c>
      <c r="U886" s="3" t="str">
        <f aca="false">IFERROR(IF(ISNUMBER(VALUE(TRIM(MID(A886,FIND("-",A886)+1,FIND("km",A886)-FIND("-",A886)-1)))),"Distance + direction + city","Named-region"),"Named-region")</f>
        <v>Distance + direction + city</v>
      </c>
      <c r="V886" s="3" t="str">
        <f aca="false">LOWER(M886)</f>
        <v>mwc</v>
      </c>
      <c r="W886" s="3" t="n">
        <f aca="false">COUNTIFS($A$2:$A$1001,A886,$C$2:$C$1001,C886)</f>
        <v>1</v>
      </c>
      <c r="X886" s="3" t="str">
        <f aca="false">IF(W886&gt;1,"Duplicate","Unique")</f>
        <v>Unique</v>
      </c>
      <c r="Y886" s="3" t="str">
        <f aca="false">IF(B886&lt;6.5,"&lt;6.5",IF(B886&lt;7,"6.5–6.9",IF(B886&lt;7.5,"7.0–7.4",IF(B886&lt;8,"7.5–7.9","8.0+"))))</f>
        <v>7.0–7.4</v>
      </c>
      <c r="Z886" s="3" t="n">
        <f aca="false">IF(T886="","",YEAR(T886))</f>
        <v>1999</v>
      </c>
    </row>
    <row r="887" customFormat="false" ht="13.8" hidden="false" customHeight="false" outlineLevel="0" collapsed="false">
      <c r="A887" s="3" t="s">
        <v>2297</v>
      </c>
      <c r="B887" s="3" t="n">
        <v>6.8</v>
      </c>
      <c r="C887" s="3" t="s">
        <v>2298</v>
      </c>
      <c r="D887" s="3" t="n">
        <v>0</v>
      </c>
      <c r="E887" s="3" t="n">
        <v>5</v>
      </c>
      <c r="F887" s="3"/>
      <c r="G887" s="3" t="n">
        <v>0</v>
      </c>
      <c r="H887" s="3" t="n">
        <v>711</v>
      </c>
      <c r="I887" s="3" t="s">
        <v>22</v>
      </c>
      <c r="J887" s="3" t="n">
        <v>0</v>
      </c>
      <c r="K887" s="3" t="n">
        <v>0</v>
      </c>
      <c r="L887" s="3" t="n">
        <v>0</v>
      </c>
      <c r="M887" s="3" t="s">
        <v>127</v>
      </c>
      <c r="N887" s="3" t="n">
        <v>144.3</v>
      </c>
      <c r="O887" s="3" t="n">
        <v>-21.632</v>
      </c>
      <c r="P887" s="3" t="n">
        <v>-176.376</v>
      </c>
      <c r="Q887" s="3" t="s">
        <v>325</v>
      </c>
      <c r="R887" s="3"/>
      <c r="S887" s="3"/>
      <c r="T887" s="5" t="n">
        <f aca="false">IF(C887="","",DATE(VALUE(MID(C887,7,4)),VALUE(MID(C887,4,2)),VALUE(MID(C887,1,2)))+TIME(VALUE(MID(C887,12,2)),VALUE(MID(C887,15,2)),0))</f>
        <v>36156.0263888889</v>
      </c>
      <c r="U887" s="3" t="str">
        <f aca="false">IFERROR(IF(ISNUMBER(VALUE(TRIM(MID(A887,FIND("-",A887)+1,FIND("km",A887)-FIND("-",A887)-1)))),"Distance + direction + city","Named-region"),"Named-region")</f>
        <v>Distance + direction + city</v>
      </c>
      <c r="V887" s="3" t="str">
        <f aca="false">LOWER(M887)</f>
        <v>mwc</v>
      </c>
      <c r="W887" s="3" t="n">
        <f aca="false">COUNTIFS($A$2:$A$1001,A887,$C$2:$C$1001,C887)</f>
        <v>1</v>
      </c>
      <c r="X887" s="3" t="str">
        <f aca="false">IF(W887&gt;1,"Duplicate","Unique")</f>
        <v>Unique</v>
      </c>
      <c r="Y887" s="3" t="str">
        <f aca="false">IF(B887&lt;6.5,"&lt;6.5",IF(B887&lt;7,"6.5–6.9",IF(B887&lt;7.5,"7.0–7.4",IF(B887&lt;8,"7.5–7.9","8.0+"))))</f>
        <v>6.5–6.9</v>
      </c>
      <c r="Z887" s="3" t="n">
        <f aca="false">IF(T887="","",YEAR(T887))</f>
        <v>1998</v>
      </c>
    </row>
    <row r="888" customFormat="false" ht="13.8" hidden="false" customHeight="false" outlineLevel="0" collapsed="false">
      <c r="A888" s="3" t="s">
        <v>2299</v>
      </c>
      <c r="B888" s="3" t="n">
        <v>7.7</v>
      </c>
      <c r="C888" s="3" t="s">
        <v>2300</v>
      </c>
      <c r="D888" s="3" t="n">
        <v>0</v>
      </c>
      <c r="E888" s="3" t="n">
        <v>7</v>
      </c>
      <c r="F888" s="3"/>
      <c r="G888" s="3" t="n">
        <v>0</v>
      </c>
      <c r="H888" s="3" t="n">
        <v>912</v>
      </c>
      <c r="I888" s="3" t="s">
        <v>22</v>
      </c>
      <c r="J888" s="3" t="n">
        <v>0</v>
      </c>
      <c r="K888" s="3" t="n">
        <v>0</v>
      </c>
      <c r="L888" s="3" t="n">
        <v>0</v>
      </c>
      <c r="M888" s="3" t="s">
        <v>127</v>
      </c>
      <c r="N888" s="3" t="n">
        <v>33</v>
      </c>
      <c r="O888" s="3" t="n">
        <v>-2.071</v>
      </c>
      <c r="P888" s="3" t="n">
        <v>124.891</v>
      </c>
      <c r="Q888" s="3" t="s">
        <v>507</v>
      </c>
      <c r="R888" s="3"/>
      <c r="S888" s="3" t="s">
        <v>68</v>
      </c>
      <c r="T888" s="5" t="n">
        <f aca="false">IF(C888="","",DATE(VALUE(MID(C888,7,4)),VALUE(MID(C888,4,2)),VALUE(MID(C888,1,2)))+TIME(VALUE(MID(C888,12,2)),VALUE(MID(C888,15,2)),0))</f>
        <v>36128.5902777778</v>
      </c>
      <c r="U888" s="3" t="str">
        <f aca="false">IFERROR(IF(ISNUMBER(VALUE(TRIM(MID(A888,FIND("-",A888)+1,FIND("km",A888)-FIND("-",A888)-1)))),"Distance + direction + city","Named-region"),"Named-region")</f>
        <v>Distance + direction + city</v>
      </c>
      <c r="V888" s="3" t="str">
        <f aca="false">LOWER(M888)</f>
        <v>mwc</v>
      </c>
      <c r="W888" s="3" t="n">
        <f aca="false">COUNTIFS($A$2:$A$1001,A888,$C$2:$C$1001,C888)</f>
        <v>1</v>
      </c>
      <c r="X888" s="3" t="str">
        <f aca="false">IF(W888&gt;1,"Duplicate","Unique")</f>
        <v>Unique</v>
      </c>
      <c r="Y888" s="3" t="str">
        <f aca="false">IF(B888&lt;6.5,"&lt;6.5",IF(B888&lt;7,"6.5–6.9",IF(B888&lt;7.5,"7.0–7.4",IF(B888&lt;8,"7.5–7.9","8.0+"))))</f>
        <v>7.5–7.9</v>
      </c>
      <c r="Z888" s="3" t="n">
        <f aca="false">IF(T888="","",YEAR(T888))</f>
        <v>1998</v>
      </c>
    </row>
    <row r="889" customFormat="false" ht="13.8" hidden="false" customHeight="false" outlineLevel="0" collapsed="false">
      <c r="A889" s="3" t="s">
        <v>2301</v>
      </c>
      <c r="B889" s="3" t="n">
        <v>7</v>
      </c>
      <c r="C889" s="6" t="s">
        <v>2302</v>
      </c>
      <c r="D889" s="3" t="n">
        <v>0</v>
      </c>
      <c r="E889" s="3" t="n">
        <v>7</v>
      </c>
      <c r="F889" s="3"/>
      <c r="G889" s="3" t="n">
        <v>0</v>
      </c>
      <c r="H889" s="3" t="n">
        <v>754</v>
      </c>
      <c r="I889" s="3" t="s">
        <v>22</v>
      </c>
      <c r="J889" s="3" t="n">
        <v>0</v>
      </c>
      <c r="K889" s="3" t="n">
        <v>0</v>
      </c>
      <c r="L889" s="3" t="n">
        <v>0</v>
      </c>
      <c r="M889" s="3" t="s">
        <v>127</v>
      </c>
      <c r="N889" s="3" t="n">
        <v>33</v>
      </c>
      <c r="O889" s="3" t="n">
        <v>-6.92</v>
      </c>
      <c r="P889" s="3" t="n">
        <v>128.946</v>
      </c>
      <c r="Q889" s="3" t="s">
        <v>248</v>
      </c>
      <c r="R889" s="3"/>
      <c r="S889" s="3" t="s">
        <v>68</v>
      </c>
      <c r="T889" s="5" t="n">
        <f aca="false">IF(C889="","",DATE(VALUE(MID(C889,7,4)),VALUE(MID(C889,4,2)),VALUE(MID(C889,1,2)))+TIME(VALUE(MID(C889,12,2)),VALUE(MID(C889,15,2)),0))</f>
        <v>36108.2347222222</v>
      </c>
      <c r="U889" s="3" t="str">
        <f aca="false">IFERROR(IF(ISNUMBER(VALUE(TRIM(MID(A889,FIND("-",A889)+1,FIND("km",A889)-FIND("-",A889)-1)))),"Distance + direction + city","Named-region"),"Named-region")</f>
        <v>Distance + direction + city</v>
      </c>
      <c r="V889" s="3" t="str">
        <f aca="false">LOWER(M889)</f>
        <v>mwc</v>
      </c>
      <c r="W889" s="3" t="n">
        <f aca="false">COUNTIFS($A$2:$A$1001,A889,$C$2:$C$1001,C889)</f>
        <v>1</v>
      </c>
      <c r="X889" s="3" t="str">
        <f aca="false">IF(W889&gt;1,"Duplicate","Unique")</f>
        <v>Unique</v>
      </c>
      <c r="Y889" s="3" t="str">
        <f aca="false">IF(B889&lt;6.5,"&lt;6.5",IF(B889&lt;7,"6.5–6.9",IF(B889&lt;7.5,"7.0–7.4",IF(B889&lt;8,"7.5–7.9","8.0+"))))</f>
        <v>7.0–7.4</v>
      </c>
      <c r="Z889" s="3" t="n">
        <f aca="false">IF(T889="","",YEAR(T889))</f>
        <v>1998</v>
      </c>
    </row>
    <row r="890" customFormat="false" ht="13.8" hidden="false" customHeight="false" outlineLevel="0" collapsed="false">
      <c r="A890" s="3" t="s">
        <v>2303</v>
      </c>
      <c r="B890" s="3" t="n">
        <v>6.7</v>
      </c>
      <c r="C890" s="6" t="s">
        <v>2304</v>
      </c>
      <c r="D890" s="3" t="n">
        <v>0</v>
      </c>
      <c r="E890" s="3" t="n">
        <v>6</v>
      </c>
      <c r="F890" s="3"/>
      <c r="G890" s="3" t="n">
        <v>0</v>
      </c>
      <c r="H890" s="3" t="n">
        <v>691</v>
      </c>
      <c r="I890" s="3" t="s">
        <v>22</v>
      </c>
      <c r="J890" s="3" t="n">
        <v>0</v>
      </c>
      <c r="K890" s="3" t="n">
        <v>0</v>
      </c>
      <c r="L890" s="3" t="n">
        <v>0</v>
      </c>
      <c r="M890" s="3" t="s">
        <v>127</v>
      </c>
      <c r="N890" s="3" t="n">
        <v>33</v>
      </c>
      <c r="O890" s="3" t="n">
        <v>-6.954</v>
      </c>
      <c r="P890" s="3" t="n">
        <v>129.022</v>
      </c>
      <c r="Q890" s="3" t="s">
        <v>248</v>
      </c>
      <c r="R890" s="3"/>
      <c r="S890" s="3" t="s">
        <v>68</v>
      </c>
      <c r="T890" s="5" t="n">
        <f aca="false">IF(C890="","",DATE(VALUE(MID(C890,7,4)),VALUE(MID(C890,4,2)),VALUE(MID(C890,1,2)))+TIME(VALUE(MID(C890,12,2)),VALUE(MID(C890,15,2)),0))</f>
        <v>36108.2291666667</v>
      </c>
      <c r="U890" s="3" t="str">
        <f aca="false">IFERROR(IF(ISNUMBER(VALUE(TRIM(MID(A890,FIND("-",A890)+1,FIND("km",A890)-FIND("-",A890)-1)))),"Distance + direction + city","Named-region"),"Named-region")</f>
        <v>Distance + direction + city</v>
      </c>
      <c r="V890" s="3" t="str">
        <f aca="false">LOWER(M890)</f>
        <v>mwc</v>
      </c>
      <c r="W890" s="3" t="n">
        <f aca="false">COUNTIFS($A$2:$A$1001,A890,$C$2:$C$1001,C890)</f>
        <v>1</v>
      </c>
      <c r="X890" s="3" t="str">
        <f aca="false">IF(W890&gt;1,"Duplicate","Unique")</f>
        <v>Unique</v>
      </c>
      <c r="Y890" s="3" t="str">
        <f aca="false">IF(B890&lt;6.5,"&lt;6.5",IF(B890&lt;7,"6.5–6.9",IF(B890&lt;7.5,"7.0–7.4",IF(B890&lt;8,"7.5–7.9","8.0+"))))</f>
        <v>6.5–6.9</v>
      </c>
      <c r="Z890" s="3" t="n">
        <f aca="false">IF(T890="","",YEAR(T890))</f>
        <v>1998</v>
      </c>
    </row>
    <row r="891" customFormat="false" ht="13.8" hidden="false" customHeight="false" outlineLevel="0" collapsed="false">
      <c r="A891" s="3" t="s">
        <v>2305</v>
      </c>
      <c r="B891" s="3" t="n">
        <v>6.6</v>
      </c>
      <c r="C891" s="3" t="s">
        <v>2306</v>
      </c>
      <c r="D891" s="3" t="n">
        <v>0</v>
      </c>
      <c r="E891" s="3" t="n">
        <v>5</v>
      </c>
      <c r="F891" s="3"/>
      <c r="G891" s="3" t="n">
        <v>0</v>
      </c>
      <c r="H891" s="3" t="n">
        <v>670</v>
      </c>
      <c r="I891" s="3" t="s">
        <v>22</v>
      </c>
      <c r="J891" s="3" t="n">
        <v>0</v>
      </c>
      <c r="K891" s="3" t="n">
        <v>0</v>
      </c>
      <c r="L891" s="3" t="n">
        <v>0</v>
      </c>
      <c r="M891" s="3" t="s">
        <v>154</v>
      </c>
      <c r="N891" s="3" t="n">
        <v>151.6</v>
      </c>
      <c r="O891" s="3" t="n">
        <v>-8.194</v>
      </c>
      <c r="P891" s="3" t="n">
        <v>112.413</v>
      </c>
      <c r="Q891" s="3" t="s">
        <v>2307</v>
      </c>
      <c r="R891" s="3"/>
      <c r="S891" s="3" t="s">
        <v>68</v>
      </c>
      <c r="T891" s="5" t="n">
        <f aca="false">IF(C891="","",DATE(VALUE(MID(C891,7,4)),VALUE(MID(C891,4,2)),VALUE(MID(C891,1,2)))+TIME(VALUE(MID(C891,12,2)),VALUE(MID(C891,15,2)),0))</f>
        <v>36066.5652777778</v>
      </c>
      <c r="U891" s="3" t="str">
        <f aca="false">IFERROR(IF(ISNUMBER(VALUE(TRIM(MID(A891,FIND("-",A891)+1,FIND("km",A891)-FIND("-",A891)-1)))),"Distance + direction + city","Named-region"),"Named-region")</f>
        <v>Distance + direction + city</v>
      </c>
      <c r="V891" s="3" t="str">
        <f aca="false">LOWER(M891)</f>
        <v>mwb</v>
      </c>
      <c r="W891" s="3" t="n">
        <f aca="false">COUNTIFS($A$2:$A$1001,A891,$C$2:$C$1001,C891)</f>
        <v>1</v>
      </c>
      <c r="X891" s="3" t="str">
        <f aca="false">IF(W891&gt;1,"Duplicate","Unique")</f>
        <v>Unique</v>
      </c>
      <c r="Y891" s="3" t="str">
        <f aca="false">IF(B891&lt;6.5,"&lt;6.5",IF(B891&lt;7,"6.5–6.9",IF(B891&lt;7.5,"7.0–7.4",IF(B891&lt;8,"7.5–7.9","8.0+"))))</f>
        <v>6.5–6.9</v>
      </c>
      <c r="Z891" s="3" t="n">
        <f aca="false">IF(T891="","",YEAR(T891))</f>
        <v>1998</v>
      </c>
    </row>
    <row r="892" customFormat="false" ht="13.8" hidden="false" customHeight="false" outlineLevel="0" collapsed="false">
      <c r="A892" s="3" t="s">
        <v>2308</v>
      </c>
      <c r="B892" s="3" t="n">
        <v>6.6</v>
      </c>
      <c r="C892" s="6" t="s">
        <v>2309</v>
      </c>
      <c r="D892" s="3" t="n">
        <v>0</v>
      </c>
      <c r="E892" s="3" t="n">
        <v>6</v>
      </c>
      <c r="F892" s="3"/>
      <c r="G892" s="3" t="n">
        <v>0</v>
      </c>
      <c r="H892" s="3" t="n">
        <v>670</v>
      </c>
      <c r="I892" s="3" t="s">
        <v>22</v>
      </c>
      <c r="J892" s="3" t="n">
        <v>0</v>
      </c>
      <c r="K892" s="3" t="n">
        <v>0</v>
      </c>
      <c r="L892" s="3" t="n">
        <v>0</v>
      </c>
      <c r="M892" s="3" t="s">
        <v>127</v>
      </c>
      <c r="N892" s="3" t="n">
        <v>27</v>
      </c>
      <c r="O892" s="3" t="n">
        <v>-29.45</v>
      </c>
      <c r="P892" s="3" t="n">
        <v>-71.715</v>
      </c>
      <c r="Q892" s="3" t="s">
        <v>523</v>
      </c>
      <c r="R892" s="3"/>
      <c r="S892" s="3" t="s">
        <v>373</v>
      </c>
      <c r="T892" s="5" t="n">
        <f aca="false">IF(C892="","",DATE(VALUE(MID(C892,7,4)),VALUE(MID(C892,4,2)),VALUE(MID(C892,1,2)))+TIME(VALUE(MID(C892,12,2)),VALUE(MID(C892,15,2)),0))</f>
        <v>36041.7340277778</v>
      </c>
      <c r="U892" s="3" t="str">
        <f aca="false">IFERROR(IF(ISNUMBER(VALUE(TRIM(MID(A892,FIND("-",A892)+1,FIND("km",A892)-FIND("-",A892)-1)))),"Distance + direction + city","Named-region"),"Named-region")</f>
        <v>Distance + direction + city</v>
      </c>
      <c r="V892" s="3" t="str">
        <f aca="false">LOWER(M892)</f>
        <v>mwc</v>
      </c>
      <c r="W892" s="3" t="n">
        <f aca="false">COUNTIFS($A$2:$A$1001,A892,$C$2:$C$1001,C892)</f>
        <v>1</v>
      </c>
      <c r="X892" s="3" t="str">
        <f aca="false">IF(W892&gt;1,"Duplicate","Unique")</f>
        <v>Unique</v>
      </c>
      <c r="Y892" s="3" t="str">
        <f aca="false">IF(B892&lt;6.5,"&lt;6.5",IF(B892&lt;7,"6.5–6.9",IF(B892&lt;7.5,"7.0–7.4",IF(B892&lt;8,"7.5–7.9","8.0+"))))</f>
        <v>6.5–6.9</v>
      </c>
      <c r="Z892" s="3" t="n">
        <f aca="false">IF(T892="","",YEAR(T892))</f>
        <v>1998</v>
      </c>
    </row>
    <row r="893" customFormat="false" ht="13.8" hidden="false" customHeight="false" outlineLevel="0" collapsed="false">
      <c r="A893" s="3" t="s">
        <v>2310</v>
      </c>
      <c r="B893" s="3" t="n">
        <v>6.8</v>
      </c>
      <c r="C893" s="6" t="s">
        <v>2311</v>
      </c>
      <c r="D893" s="3" t="n">
        <v>0</v>
      </c>
      <c r="E893" s="3" t="n">
        <v>5</v>
      </c>
      <c r="F893" s="3"/>
      <c r="G893" s="3" t="n">
        <v>0</v>
      </c>
      <c r="H893" s="3" t="n">
        <v>711</v>
      </c>
      <c r="I893" s="3" t="s">
        <v>22</v>
      </c>
      <c r="J893" s="3" t="n">
        <v>0</v>
      </c>
      <c r="K893" s="3" t="n">
        <v>0</v>
      </c>
      <c r="L893" s="3" t="n">
        <v>0</v>
      </c>
      <c r="M893" s="3" t="s">
        <v>127</v>
      </c>
      <c r="N893" s="3" t="n">
        <v>50</v>
      </c>
      <c r="O893" s="3" t="n">
        <v>5.41</v>
      </c>
      <c r="P893" s="3" t="n">
        <v>126.764</v>
      </c>
      <c r="Q893" s="3" t="s">
        <v>297</v>
      </c>
      <c r="R893" s="3"/>
      <c r="S893" s="3" t="s">
        <v>68</v>
      </c>
      <c r="T893" s="5" t="n">
        <f aca="false">IF(C893="","",DATE(VALUE(MID(C893,7,4)),VALUE(MID(C893,4,2)),VALUE(MID(C893,1,2)))+TIME(VALUE(MID(C893,12,2)),VALUE(MID(C893,15,2)),0))</f>
        <v>36040.3590277778</v>
      </c>
      <c r="U893" s="3" t="str">
        <f aca="false">IFERROR(IF(ISNUMBER(VALUE(TRIM(MID(A893,FIND("-",A893)+1,FIND("km",A893)-FIND("-",A893)-1)))),"Distance + direction + city","Named-region"),"Named-region")</f>
        <v>Distance + direction + city</v>
      </c>
      <c r="V893" s="3" t="str">
        <f aca="false">LOWER(M893)</f>
        <v>mwc</v>
      </c>
      <c r="W893" s="3" t="n">
        <f aca="false">COUNTIFS($A$2:$A$1001,A893,$C$2:$C$1001,C893)</f>
        <v>1</v>
      </c>
      <c r="X893" s="3" t="str">
        <f aca="false">IF(W893&gt;1,"Duplicate","Unique")</f>
        <v>Unique</v>
      </c>
      <c r="Y893" s="3" t="str">
        <f aca="false">IF(B893&lt;6.5,"&lt;6.5",IF(B893&lt;7,"6.5–6.9",IF(B893&lt;7.5,"7.0–7.4",IF(B893&lt;8,"7.5–7.9","8.0+"))))</f>
        <v>6.5–6.9</v>
      </c>
      <c r="Z893" s="3" t="n">
        <f aca="false">IF(T893="","",YEAR(T893))</f>
        <v>1998</v>
      </c>
    </row>
    <row r="894" customFormat="false" ht="13.8" hidden="false" customHeight="false" outlineLevel="0" collapsed="false">
      <c r="A894" s="3" t="s">
        <v>2312</v>
      </c>
      <c r="B894" s="3" t="n">
        <v>7.2</v>
      </c>
      <c r="C894" s="6" t="s">
        <v>2313</v>
      </c>
      <c r="D894" s="3" t="n">
        <v>0</v>
      </c>
      <c r="E894" s="3" t="n">
        <v>7</v>
      </c>
      <c r="F894" s="3"/>
      <c r="G894" s="3" t="n">
        <v>0</v>
      </c>
      <c r="H894" s="3" t="n">
        <v>798</v>
      </c>
      <c r="I894" s="3" t="s">
        <v>22</v>
      </c>
      <c r="J894" s="3" t="n">
        <v>0</v>
      </c>
      <c r="K894" s="3" t="n">
        <v>0</v>
      </c>
      <c r="L894" s="3" t="n">
        <v>0</v>
      </c>
      <c r="M894" s="3" t="s">
        <v>127</v>
      </c>
      <c r="N894" s="3" t="n">
        <v>33</v>
      </c>
      <c r="O894" s="3" t="n">
        <v>-0.593</v>
      </c>
      <c r="P894" s="3" t="n">
        <v>-80.393</v>
      </c>
      <c r="Q894" s="3" t="s">
        <v>2314</v>
      </c>
      <c r="R894" s="3" t="s">
        <v>33</v>
      </c>
      <c r="S894" s="3" t="s">
        <v>96</v>
      </c>
      <c r="T894" s="5" t="n">
        <f aca="false">IF(C894="","",DATE(VALUE(MID(C894,7,4)),VALUE(MID(C894,4,2)),VALUE(MID(C894,1,2)))+TIME(VALUE(MID(C894,12,2)),VALUE(MID(C894,15,2)),0))</f>
        <v>36011.7909722222</v>
      </c>
      <c r="U894" s="3" t="str">
        <f aca="false">IFERROR(IF(ISNUMBER(VALUE(TRIM(MID(A894,FIND("-",A894)+1,FIND("km",A894)-FIND("-",A894)-1)))),"Distance + direction + city","Named-region"),"Named-region")</f>
        <v>Distance + direction + city</v>
      </c>
      <c r="V894" s="3" t="str">
        <f aca="false">LOWER(M894)</f>
        <v>mwc</v>
      </c>
      <c r="W894" s="3" t="n">
        <f aca="false">COUNTIFS($A$2:$A$1001,A894,$C$2:$C$1001,C894)</f>
        <v>1</v>
      </c>
      <c r="X894" s="3" t="str">
        <f aca="false">IF(W894&gt;1,"Duplicate","Unique")</f>
        <v>Unique</v>
      </c>
      <c r="Y894" s="3" t="str">
        <f aca="false">IF(B894&lt;6.5,"&lt;6.5",IF(B894&lt;7,"6.5–6.9",IF(B894&lt;7.5,"7.0–7.4",IF(B894&lt;8,"7.5–7.9","8.0+"))))</f>
        <v>7.0–7.4</v>
      </c>
      <c r="Z894" s="3" t="n">
        <f aca="false">IF(T894="","",YEAR(T894))</f>
        <v>1998</v>
      </c>
    </row>
    <row r="895" customFormat="false" ht="13.8" hidden="false" customHeight="false" outlineLevel="0" collapsed="false">
      <c r="A895" s="3" t="s">
        <v>2315</v>
      </c>
      <c r="B895" s="3" t="n">
        <v>6.7</v>
      </c>
      <c r="C895" s="3" t="s">
        <v>2316</v>
      </c>
      <c r="D895" s="3" t="n">
        <v>0</v>
      </c>
      <c r="E895" s="3" t="n">
        <v>6</v>
      </c>
      <c r="F895" s="3"/>
      <c r="G895" s="3" t="n">
        <v>0</v>
      </c>
      <c r="H895" s="3" t="n">
        <v>691</v>
      </c>
      <c r="I895" s="3" t="s">
        <v>22</v>
      </c>
      <c r="J895" s="3" t="n">
        <v>0</v>
      </c>
      <c r="K895" s="3" t="n">
        <v>0</v>
      </c>
      <c r="L895" s="3" t="n">
        <v>0</v>
      </c>
      <c r="M895" s="3" t="s">
        <v>127</v>
      </c>
      <c r="N895" s="3" t="n">
        <v>33</v>
      </c>
      <c r="O895" s="3" t="n">
        <v>-2.693</v>
      </c>
      <c r="P895" s="3" t="n">
        <v>138.901</v>
      </c>
      <c r="Q895" s="3" t="s">
        <v>926</v>
      </c>
      <c r="R895" s="3"/>
      <c r="S895" s="3" t="s">
        <v>68</v>
      </c>
      <c r="T895" s="5" t="n">
        <f aca="false">IF(C895="","",DATE(VALUE(MID(C895,7,4)),VALUE(MID(C895,4,2)),VALUE(MID(C895,1,2)))+TIME(VALUE(MID(C895,12,2)),VALUE(MID(C895,15,2)),0))</f>
        <v>36005.75</v>
      </c>
      <c r="U895" s="3" t="str">
        <f aca="false">IFERROR(IF(ISNUMBER(VALUE(TRIM(MID(A895,FIND("-",A895)+1,FIND("km",A895)-FIND("-",A895)-1)))),"Distance + direction + city","Named-region"),"Named-region")</f>
        <v>Distance + direction + city</v>
      </c>
      <c r="V895" s="3" t="str">
        <f aca="false">LOWER(M895)</f>
        <v>mwc</v>
      </c>
      <c r="W895" s="3" t="n">
        <f aca="false">COUNTIFS($A$2:$A$1001,A895,$C$2:$C$1001,C895)</f>
        <v>1</v>
      </c>
      <c r="X895" s="3" t="str">
        <f aca="false">IF(W895&gt;1,"Duplicate","Unique")</f>
        <v>Unique</v>
      </c>
      <c r="Y895" s="3" t="str">
        <f aca="false">IF(B895&lt;6.5,"&lt;6.5",IF(B895&lt;7,"6.5–6.9",IF(B895&lt;7.5,"7.0–7.4",IF(B895&lt;8,"7.5–7.9","8.0+"))))</f>
        <v>6.5–6.9</v>
      </c>
      <c r="Z895" s="3" t="n">
        <f aca="false">IF(T895="","",YEAR(T895))</f>
        <v>1998</v>
      </c>
    </row>
    <row r="896" customFormat="false" ht="13.8" hidden="false" customHeight="false" outlineLevel="0" collapsed="false">
      <c r="A896" s="3" t="s">
        <v>2317</v>
      </c>
      <c r="B896" s="3" t="n">
        <v>7</v>
      </c>
      <c r="C896" s="3" t="s">
        <v>2318</v>
      </c>
      <c r="D896" s="3" t="n">
        <v>0</v>
      </c>
      <c r="E896" s="3" t="n">
        <v>7</v>
      </c>
      <c r="F896" s="3"/>
      <c r="G896" s="3" t="n">
        <v>0</v>
      </c>
      <c r="H896" s="3" t="n">
        <v>754</v>
      </c>
      <c r="I896" s="3" t="s">
        <v>22</v>
      </c>
      <c r="J896" s="3" t="n">
        <v>0</v>
      </c>
      <c r="K896" s="3" t="n">
        <v>0</v>
      </c>
      <c r="L896" s="3" t="n">
        <v>0</v>
      </c>
      <c r="M896" s="3" t="s">
        <v>127</v>
      </c>
      <c r="N896" s="3" t="n">
        <v>10</v>
      </c>
      <c r="O896" s="3" t="n">
        <v>-2.961</v>
      </c>
      <c r="P896" s="3" t="n">
        <v>141.926</v>
      </c>
      <c r="Q896" s="3" t="s">
        <v>1188</v>
      </c>
      <c r="R896" s="3"/>
      <c r="S896" s="3" t="s">
        <v>85</v>
      </c>
      <c r="T896" s="5" t="n">
        <f aca="false">IF(C896="","",DATE(VALUE(MID(C896,7,4)),VALUE(MID(C896,4,2)),VALUE(MID(C896,1,2)))+TIME(VALUE(MID(C896,12,2)),VALUE(MID(C896,15,2)),0))</f>
        <v>35993.3673611111</v>
      </c>
      <c r="U896" s="3" t="str">
        <f aca="false">IFERROR(IF(ISNUMBER(VALUE(TRIM(MID(A896,FIND("-",A896)+1,FIND("km",A896)-FIND("-",A896)-1)))),"Distance + direction + city","Named-region"),"Named-region")</f>
        <v>Distance + direction + city</v>
      </c>
      <c r="V896" s="3" t="str">
        <f aca="false">LOWER(M896)</f>
        <v>mwc</v>
      </c>
      <c r="W896" s="3" t="n">
        <f aca="false">COUNTIFS($A$2:$A$1001,A896,$C$2:$C$1001,C896)</f>
        <v>1</v>
      </c>
      <c r="X896" s="3" t="str">
        <f aca="false">IF(W896&gt;1,"Duplicate","Unique")</f>
        <v>Unique</v>
      </c>
      <c r="Y896" s="3" t="str">
        <f aca="false">IF(B896&lt;6.5,"&lt;6.5",IF(B896&lt;7,"6.5–6.9",IF(B896&lt;7.5,"7.0–7.4",IF(B896&lt;8,"7.5–7.9","8.0+"))))</f>
        <v>7.0–7.4</v>
      </c>
      <c r="Z896" s="3" t="n">
        <f aca="false">IF(T896="","",YEAR(T896))</f>
        <v>1998</v>
      </c>
    </row>
    <row r="897" customFormat="false" ht="13.8" hidden="false" customHeight="false" outlineLevel="0" collapsed="false">
      <c r="A897" s="3" t="s">
        <v>2319</v>
      </c>
      <c r="B897" s="3" t="n">
        <v>7</v>
      </c>
      <c r="C897" s="3" t="s">
        <v>2320</v>
      </c>
      <c r="D897" s="3" t="n">
        <v>0</v>
      </c>
      <c r="E897" s="3" t="n">
        <v>7</v>
      </c>
      <c r="F897" s="3"/>
      <c r="G897" s="3" t="n">
        <v>0</v>
      </c>
      <c r="H897" s="3" t="n">
        <v>754</v>
      </c>
      <c r="I897" s="3" t="s">
        <v>22</v>
      </c>
      <c r="J897" s="3" t="n">
        <v>0</v>
      </c>
      <c r="K897" s="3" t="n">
        <v>0</v>
      </c>
      <c r="L897" s="3" t="n">
        <v>0</v>
      </c>
      <c r="M897" s="3" t="s">
        <v>127</v>
      </c>
      <c r="N897" s="3" t="n">
        <v>110.2</v>
      </c>
      <c r="O897" s="3" t="n">
        <v>-11.04</v>
      </c>
      <c r="P897" s="3" t="n">
        <v>166.16</v>
      </c>
      <c r="Q897" s="3" t="s">
        <v>412</v>
      </c>
      <c r="R897" s="3"/>
      <c r="S897" s="3" t="s">
        <v>140</v>
      </c>
      <c r="T897" s="5" t="n">
        <f aca="false">IF(C897="","",DATE(VALUE(MID(C897,7,4)),VALUE(MID(C897,4,2)),VALUE(MID(C897,1,2)))+TIME(VALUE(MID(C897,12,2)),VALUE(MID(C897,15,2)),0))</f>
        <v>35992.4972222222</v>
      </c>
      <c r="U897" s="3" t="str">
        <f aca="false">IFERROR(IF(ISNUMBER(VALUE(TRIM(MID(A897,FIND("-",A897)+1,FIND("km",A897)-FIND("-",A897)-1)))),"Distance + direction + city","Named-region"),"Named-region")</f>
        <v>Distance + direction + city</v>
      </c>
      <c r="V897" s="3" t="str">
        <f aca="false">LOWER(M897)</f>
        <v>mwc</v>
      </c>
      <c r="W897" s="3" t="n">
        <f aca="false">COUNTIFS($A$2:$A$1001,A897,$C$2:$C$1001,C897)</f>
        <v>1</v>
      </c>
      <c r="X897" s="3" t="str">
        <f aca="false">IF(W897&gt;1,"Duplicate","Unique")</f>
        <v>Unique</v>
      </c>
      <c r="Y897" s="3" t="str">
        <f aca="false">IF(B897&lt;6.5,"&lt;6.5",IF(B897&lt;7,"6.5–6.9",IF(B897&lt;7.5,"7.0–7.4",IF(B897&lt;8,"7.5–7.9","8.0+"))))</f>
        <v>7.0–7.4</v>
      </c>
      <c r="Z897" s="3" t="n">
        <f aca="false">IF(T897="","",YEAR(T897))</f>
        <v>1998</v>
      </c>
    </row>
    <row r="898" customFormat="false" ht="13.8" hidden="false" customHeight="false" outlineLevel="0" collapsed="false">
      <c r="A898" s="3" t="s">
        <v>2321</v>
      </c>
      <c r="B898" s="3" t="n">
        <v>6.6</v>
      </c>
      <c r="C898" s="3" t="s">
        <v>2322</v>
      </c>
      <c r="D898" s="3" t="n">
        <v>0</v>
      </c>
      <c r="E898" s="3" t="n">
        <v>6</v>
      </c>
      <c r="F898" s="3"/>
      <c r="G898" s="3" t="n">
        <v>0</v>
      </c>
      <c r="H898" s="3" t="n">
        <v>670</v>
      </c>
      <c r="I898" s="3" t="s">
        <v>22</v>
      </c>
      <c r="J898" s="3" t="n">
        <v>0</v>
      </c>
      <c r="K898" s="3" t="n">
        <v>0</v>
      </c>
      <c r="L898" s="3" t="n">
        <v>0</v>
      </c>
      <c r="M898" s="3" t="s">
        <v>154</v>
      </c>
      <c r="N898" s="3" t="n">
        <v>33</v>
      </c>
      <c r="O898" s="3" t="n">
        <v>37.106</v>
      </c>
      <c r="P898" s="3" t="n">
        <v>70.11</v>
      </c>
      <c r="Q898" s="3" t="s">
        <v>2323</v>
      </c>
      <c r="R898" s="3" t="s">
        <v>80</v>
      </c>
      <c r="S898" s="3" t="s">
        <v>92</v>
      </c>
      <c r="T898" s="5" t="n">
        <f aca="false">IF(C898="","",DATE(VALUE(MID(C898,7,4)),VALUE(MID(C898,4,2)),VALUE(MID(C898,1,2)))+TIME(VALUE(MID(C898,12,2)),VALUE(MID(C898,15,2)),0))</f>
        <v>35945.2652777778</v>
      </c>
      <c r="U898" s="3" t="str">
        <f aca="false">IFERROR(IF(ISNUMBER(VALUE(TRIM(MID(A898,FIND("-",A898)+1,FIND("km",A898)-FIND("-",A898)-1)))),"Distance + direction + city","Named-region"),"Named-region")</f>
        <v>Distance + direction + city</v>
      </c>
      <c r="V898" s="3" t="str">
        <f aca="false">LOWER(M898)</f>
        <v>mwb</v>
      </c>
      <c r="W898" s="3" t="n">
        <f aca="false">COUNTIFS($A$2:$A$1001,A898,$C$2:$C$1001,C898)</f>
        <v>1</v>
      </c>
      <c r="X898" s="3" t="str">
        <f aca="false">IF(W898&gt;1,"Duplicate","Unique")</f>
        <v>Unique</v>
      </c>
      <c r="Y898" s="3" t="str">
        <f aca="false">IF(B898&lt;6.5,"&lt;6.5",IF(B898&lt;7,"6.5–6.9",IF(B898&lt;7.5,"7.0–7.4",IF(B898&lt;8,"7.5–7.9","8.0+"))))</f>
        <v>6.5–6.9</v>
      </c>
      <c r="Z898" s="3" t="n">
        <f aca="false">IF(T898="","",YEAR(T898))</f>
        <v>1998</v>
      </c>
    </row>
    <row r="899" customFormat="false" ht="13.8" hidden="false" customHeight="false" outlineLevel="0" collapsed="false">
      <c r="A899" s="3" t="s">
        <v>2324</v>
      </c>
      <c r="B899" s="3" t="n">
        <v>6.6</v>
      </c>
      <c r="C899" s="3" t="s">
        <v>2325</v>
      </c>
      <c r="D899" s="3" t="n">
        <v>0</v>
      </c>
      <c r="E899" s="3" t="n">
        <v>8</v>
      </c>
      <c r="F899" s="3"/>
      <c r="G899" s="3" t="n">
        <v>0</v>
      </c>
      <c r="H899" s="3" t="n">
        <v>670</v>
      </c>
      <c r="I899" s="3" t="s">
        <v>22</v>
      </c>
      <c r="J899" s="3" t="n">
        <v>0</v>
      </c>
      <c r="K899" s="3" t="n">
        <v>0</v>
      </c>
      <c r="L899" s="3" t="n">
        <v>0</v>
      </c>
      <c r="M899" s="3" t="s">
        <v>154</v>
      </c>
      <c r="N899" s="3" t="n">
        <v>24</v>
      </c>
      <c r="O899" s="3" t="n">
        <v>-17.731</v>
      </c>
      <c r="P899" s="3" t="n">
        <v>-65.431</v>
      </c>
      <c r="Q899" s="3" t="s">
        <v>2326</v>
      </c>
      <c r="R899" s="3" t="s">
        <v>33</v>
      </c>
      <c r="S899" s="3" t="s">
        <v>618</v>
      </c>
      <c r="T899" s="5" t="n">
        <f aca="false">IF(C899="","",DATE(VALUE(MID(C899,7,4)),VALUE(MID(C899,4,2)),VALUE(MID(C899,1,2)))+TIME(VALUE(MID(C899,12,2)),VALUE(MID(C899,15,2)),0))</f>
        <v>35937.2</v>
      </c>
      <c r="U899" s="3" t="str">
        <f aca="false">IFERROR(IF(ISNUMBER(VALUE(TRIM(MID(A899,FIND("-",A899)+1,FIND("km",A899)-FIND("-",A899)-1)))),"Distance + direction + city","Named-region"),"Named-region")</f>
        <v>Distance + direction + city</v>
      </c>
      <c r="V899" s="3" t="str">
        <f aca="false">LOWER(M899)</f>
        <v>mwb</v>
      </c>
      <c r="W899" s="3" t="n">
        <f aca="false">COUNTIFS($A$2:$A$1001,A899,$C$2:$C$1001,C899)</f>
        <v>1</v>
      </c>
      <c r="X899" s="3" t="str">
        <f aca="false">IF(W899&gt;1,"Duplicate","Unique")</f>
        <v>Unique</v>
      </c>
      <c r="Y899" s="3" t="str">
        <f aca="false">IF(B899&lt;6.5,"&lt;6.5",IF(B899&lt;7,"6.5–6.9",IF(B899&lt;7.5,"7.0–7.4",IF(B899&lt;8,"7.5–7.9","8.0+"))))</f>
        <v>6.5–6.9</v>
      </c>
      <c r="Z899" s="3" t="n">
        <f aca="false">IF(T899="","",YEAR(T899))</f>
        <v>1998</v>
      </c>
    </row>
    <row r="900" customFormat="false" ht="13.8" hidden="false" customHeight="false" outlineLevel="0" collapsed="false">
      <c r="A900" s="3" t="s">
        <v>2327</v>
      </c>
      <c r="B900" s="3" t="n">
        <v>6.7</v>
      </c>
      <c r="C900" s="3" t="s">
        <v>2328</v>
      </c>
      <c r="D900" s="3" t="n">
        <v>0</v>
      </c>
      <c r="E900" s="3" t="n">
        <v>6</v>
      </c>
      <c r="F900" s="3"/>
      <c r="G900" s="3" t="n">
        <v>0</v>
      </c>
      <c r="H900" s="3" t="n">
        <v>691</v>
      </c>
      <c r="I900" s="3" t="s">
        <v>22</v>
      </c>
      <c r="J900" s="3" t="n">
        <v>0</v>
      </c>
      <c r="K900" s="3" t="n">
        <v>0</v>
      </c>
      <c r="L900" s="3" t="n">
        <v>0</v>
      </c>
      <c r="M900" s="3" t="s">
        <v>154</v>
      </c>
      <c r="N900" s="3" t="n">
        <v>33</v>
      </c>
      <c r="O900" s="3" t="n">
        <v>0.207</v>
      </c>
      <c r="P900" s="3" t="n">
        <v>119.584</v>
      </c>
      <c r="Q900" s="3" t="s">
        <v>574</v>
      </c>
      <c r="R900" s="3"/>
      <c r="S900" s="3" t="s">
        <v>68</v>
      </c>
      <c r="T900" s="5" t="n">
        <f aca="false">IF(C900="","",DATE(VALUE(MID(C900,7,4)),VALUE(MID(C900,4,2)),VALUE(MID(C900,1,2)))+TIME(VALUE(MID(C900,12,2)),VALUE(MID(C900,15,2)),0))</f>
        <v>35936.2319444444</v>
      </c>
      <c r="U900" s="3" t="str">
        <f aca="false">IFERROR(IF(ISNUMBER(VALUE(TRIM(MID(A900,FIND("-",A900)+1,FIND("km",A900)-FIND("-",A900)-1)))),"Distance + direction + city","Named-region"),"Named-region")</f>
        <v>Distance + direction + city</v>
      </c>
      <c r="V900" s="3" t="str">
        <f aca="false">LOWER(M900)</f>
        <v>mwb</v>
      </c>
      <c r="W900" s="3" t="n">
        <f aca="false">COUNTIFS($A$2:$A$1001,A900,$C$2:$C$1001,C900)</f>
        <v>1</v>
      </c>
      <c r="X900" s="3" t="str">
        <f aca="false">IF(W900&gt;1,"Duplicate","Unique")</f>
        <v>Unique</v>
      </c>
      <c r="Y900" s="3" t="str">
        <f aca="false">IF(B900&lt;6.5,"&lt;6.5",IF(B900&lt;7,"6.5–6.9",IF(B900&lt;7.5,"7.0–7.4",IF(B900&lt;8,"7.5–7.9","8.0+"))))</f>
        <v>6.5–6.9</v>
      </c>
      <c r="Z900" s="3" t="n">
        <f aca="false">IF(T900="","",YEAR(T900))</f>
        <v>1998</v>
      </c>
    </row>
    <row r="901" customFormat="false" ht="13.8" hidden="false" customHeight="false" outlineLevel="0" collapsed="false">
      <c r="A901" s="3" t="s">
        <v>2329</v>
      </c>
      <c r="B901" s="3" t="n">
        <v>6.6</v>
      </c>
      <c r="C901" s="3" t="s">
        <v>2330</v>
      </c>
      <c r="D901" s="3" t="n">
        <v>0</v>
      </c>
      <c r="E901" s="3" t="n">
        <v>6</v>
      </c>
      <c r="F901" s="3"/>
      <c r="G901" s="3" t="n">
        <v>0</v>
      </c>
      <c r="H901" s="3" t="n">
        <v>670</v>
      </c>
      <c r="I901" s="3" t="s">
        <v>22</v>
      </c>
      <c r="J901" s="3" t="n">
        <v>0</v>
      </c>
      <c r="K901" s="3" t="n">
        <v>0</v>
      </c>
      <c r="L901" s="3" t="n">
        <v>0</v>
      </c>
      <c r="M901" s="3" t="s">
        <v>127</v>
      </c>
      <c r="N901" s="3" t="n">
        <v>61.4</v>
      </c>
      <c r="O901" s="3" t="n">
        <v>-5.147</v>
      </c>
      <c r="P901" s="3" t="n">
        <v>151.714</v>
      </c>
      <c r="Q901" s="3" t="s">
        <v>625</v>
      </c>
      <c r="R901" s="3"/>
      <c r="S901" s="3" t="s">
        <v>85</v>
      </c>
      <c r="T901" s="5" t="n">
        <f aca="false">IF(C901="","",DATE(VALUE(MID(C901,7,4)),VALUE(MID(C901,4,2)),VALUE(MID(C901,1,2)))+TIME(VALUE(MID(C901,12,2)),VALUE(MID(C901,15,2)),0))</f>
        <v>35928.9597222222</v>
      </c>
      <c r="U901" s="3" t="str">
        <f aca="false">IFERROR(IF(ISNUMBER(VALUE(TRIM(MID(A901,FIND("-",A901)+1,FIND("km",A901)-FIND("-",A901)-1)))),"Distance + direction + city","Named-region"),"Named-region")</f>
        <v>Distance + direction + city</v>
      </c>
      <c r="V901" s="3" t="str">
        <f aca="false">LOWER(M901)</f>
        <v>mwc</v>
      </c>
      <c r="W901" s="3" t="n">
        <f aca="false">COUNTIFS($A$2:$A$1001,A901,$C$2:$C$1001,C901)</f>
        <v>1</v>
      </c>
      <c r="X901" s="3" t="str">
        <f aca="false">IF(W901&gt;1,"Duplicate","Unique")</f>
        <v>Unique</v>
      </c>
      <c r="Y901" s="3" t="str">
        <f aca="false">IF(B901&lt;6.5,"&lt;6.5",IF(B901&lt;7,"6.5–6.9",IF(B901&lt;7.5,"7.0–7.4",IF(B901&lt;8,"7.5–7.9","8.0+"))))</f>
        <v>6.5–6.9</v>
      </c>
      <c r="Z901" s="3" t="n">
        <f aca="false">IF(T901="","",YEAR(T901))</f>
        <v>1998</v>
      </c>
    </row>
    <row r="902" customFormat="false" ht="13.8" hidden="false" customHeight="false" outlineLevel="0" collapsed="false">
      <c r="A902" s="3" t="s">
        <v>2331</v>
      </c>
      <c r="B902" s="3" t="n">
        <v>7.5</v>
      </c>
      <c r="C902" s="6" t="s">
        <v>2332</v>
      </c>
      <c r="D902" s="3" t="n">
        <v>0</v>
      </c>
      <c r="E902" s="3" t="n">
        <v>5</v>
      </c>
      <c r="F902" s="3"/>
      <c r="G902" s="3" t="n">
        <v>0</v>
      </c>
      <c r="H902" s="3" t="n">
        <v>865</v>
      </c>
      <c r="I902" s="3" t="s">
        <v>22</v>
      </c>
      <c r="J902" s="3" t="n">
        <v>0</v>
      </c>
      <c r="K902" s="3" t="n">
        <v>0</v>
      </c>
      <c r="L902" s="3" t="n">
        <v>0</v>
      </c>
      <c r="M902" s="3" t="s">
        <v>154</v>
      </c>
      <c r="N902" s="3" t="n">
        <v>33</v>
      </c>
      <c r="O902" s="3" t="n">
        <v>22.306</v>
      </c>
      <c r="P902" s="3" t="n">
        <v>125.308</v>
      </c>
      <c r="Q902" s="3" t="s">
        <v>2333</v>
      </c>
      <c r="R902" s="3"/>
      <c r="S902" s="3"/>
      <c r="T902" s="5" t="n">
        <f aca="false">IF(C902="","",DATE(VALUE(MID(C902,7,4)),VALUE(MID(C902,4,2)),VALUE(MID(C902,1,2)))+TIME(VALUE(MID(C902,12,2)),VALUE(MID(C902,15,2)),0))</f>
        <v>35918.9791666667</v>
      </c>
      <c r="U902" s="3" t="str">
        <f aca="false">IFERROR(IF(ISNUMBER(VALUE(TRIM(MID(A902,FIND("-",A902)+1,FIND("km",A902)-FIND("-",A902)-1)))),"Distance + direction + city","Named-region"),"Named-region")</f>
        <v>Distance + direction + city</v>
      </c>
      <c r="V902" s="3" t="str">
        <f aca="false">LOWER(M902)</f>
        <v>mwb</v>
      </c>
      <c r="W902" s="3" t="n">
        <f aca="false">COUNTIFS($A$2:$A$1001,A902,$C$2:$C$1001,C902)</f>
        <v>1</v>
      </c>
      <c r="X902" s="3" t="str">
        <f aca="false">IF(W902&gt;1,"Duplicate","Unique")</f>
        <v>Unique</v>
      </c>
      <c r="Y902" s="3" t="str">
        <f aca="false">IF(B902&lt;6.5,"&lt;6.5",IF(B902&lt;7,"6.5–6.9",IF(B902&lt;7.5,"7.0–7.4",IF(B902&lt;8,"7.5–7.9","8.0+"))))</f>
        <v>7.5–7.9</v>
      </c>
      <c r="Z902" s="3" t="n">
        <f aca="false">IF(T902="","",YEAR(T902))</f>
        <v>1998</v>
      </c>
    </row>
    <row r="903" customFormat="false" ht="13.8" hidden="false" customHeight="false" outlineLevel="0" collapsed="false">
      <c r="A903" s="3" t="s">
        <v>2334</v>
      </c>
      <c r="B903" s="3" t="n">
        <v>6.6</v>
      </c>
      <c r="C903" s="6" t="s">
        <v>2335</v>
      </c>
      <c r="D903" s="3" t="n">
        <v>0</v>
      </c>
      <c r="E903" s="3" t="n">
        <v>5</v>
      </c>
      <c r="F903" s="3"/>
      <c r="G903" s="3" t="n">
        <v>0</v>
      </c>
      <c r="H903" s="3" t="n">
        <v>670</v>
      </c>
      <c r="I903" s="3" t="s">
        <v>22</v>
      </c>
      <c r="J903" s="3" t="n">
        <v>0</v>
      </c>
      <c r="K903" s="3" t="n">
        <v>0</v>
      </c>
      <c r="L903" s="3" t="n">
        <v>0</v>
      </c>
      <c r="M903" s="3" t="s">
        <v>127</v>
      </c>
      <c r="N903" s="3" t="n">
        <v>164.6</v>
      </c>
      <c r="O903" s="3" t="n">
        <v>-8.148</v>
      </c>
      <c r="P903" s="3" t="n">
        <v>-74.238</v>
      </c>
      <c r="Q903" s="3" t="s">
        <v>2336</v>
      </c>
      <c r="R903" s="3" t="s">
        <v>33</v>
      </c>
      <c r="S903" s="3" t="s">
        <v>199</v>
      </c>
      <c r="T903" s="5" t="n">
        <f aca="false">IF(C903="","",DATE(VALUE(MID(C903,7,4)),VALUE(MID(C903,4,2)),VALUE(MID(C903,1,2)))+TIME(VALUE(MID(C903,12,2)),VALUE(MID(C903,15,2)),0))</f>
        <v>35888.9173611111</v>
      </c>
      <c r="U903" s="3" t="str">
        <f aca="false">IFERROR(IF(ISNUMBER(VALUE(TRIM(MID(A903,FIND("-",A903)+1,FIND("km",A903)-FIND("-",A903)-1)))),"Distance + direction + city","Named-region"),"Named-region")</f>
        <v>Distance + direction + city</v>
      </c>
      <c r="V903" s="3" t="str">
        <f aca="false">LOWER(M903)</f>
        <v>mwc</v>
      </c>
      <c r="W903" s="3" t="n">
        <f aca="false">COUNTIFS($A$2:$A$1001,A903,$C$2:$C$1001,C903)</f>
        <v>1</v>
      </c>
      <c r="X903" s="3" t="str">
        <f aca="false">IF(W903&gt;1,"Duplicate","Unique")</f>
        <v>Unique</v>
      </c>
      <c r="Y903" s="3" t="str">
        <f aca="false">IF(B903&lt;6.5,"&lt;6.5",IF(B903&lt;7,"6.5–6.9",IF(B903&lt;7.5,"7.0–7.4",IF(B903&lt;8,"7.5–7.9","8.0+"))))</f>
        <v>6.5–6.9</v>
      </c>
      <c r="Z903" s="3" t="n">
        <f aca="false">IF(T903="","",YEAR(T903))</f>
        <v>1998</v>
      </c>
    </row>
    <row r="904" customFormat="false" ht="13.8" hidden="false" customHeight="false" outlineLevel="0" collapsed="false">
      <c r="A904" s="3" t="s">
        <v>2337</v>
      </c>
      <c r="B904" s="3" t="n">
        <v>7</v>
      </c>
      <c r="C904" s="6" t="s">
        <v>2338</v>
      </c>
      <c r="D904" s="3" t="n">
        <v>0</v>
      </c>
      <c r="E904" s="3" t="n">
        <v>6</v>
      </c>
      <c r="F904" s="3"/>
      <c r="G904" s="3" t="n">
        <v>0</v>
      </c>
      <c r="H904" s="3" t="n">
        <v>754</v>
      </c>
      <c r="I904" s="3" t="s">
        <v>22</v>
      </c>
      <c r="J904" s="3" t="n">
        <v>0</v>
      </c>
      <c r="K904" s="3" t="n">
        <v>0</v>
      </c>
      <c r="L904" s="3" t="n">
        <v>0</v>
      </c>
      <c r="M904" s="3" t="s">
        <v>127</v>
      </c>
      <c r="N904" s="3" t="n">
        <v>55.7</v>
      </c>
      <c r="O904" s="3" t="n">
        <v>-0.544</v>
      </c>
      <c r="P904" s="3" t="n">
        <v>99.261</v>
      </c>
      <c r="Q904" s="3" t="s">
        <v>220</v>
      </c>
      <c r="R904" s="3"/>
      <c r="S904" s="3" t="s">
        <v>68</v>
      </c>
      <c r="T904" s="5" t="n">
        <f aca="false">IF(C904="","",DATE(VALUE(MID(C904,7,4)),VALUE(MID(C904,4,2)),VALUE(MID(C904,1,2)))+TIME(VALUE(MID(C904,12,2)),VALUE(MID(C904,15,2)),0))</f>
        <v>35886.7472222222</v>
      </c>
      <c r="U904" s="3" t="str">
        <f aca="false">IFERROR(IF(ISNUMBER(VALUE(TRIM(MID(A904,FIND("-",A904)+1,FIND("km",A904)-FIND("-",A904)-1)))),"Distance + direction + city","Named-region"),"Named-region")</f>
        <v>Distance + direction + city</v>
      </c>
      <c r="V904" s="3" t="str">
        <f aca="false">LOWER(M904)</f>
        <v>mwc</v>
      </c>
      <c r="W904" s="3" t="n">
        <f aca="false">COUNTIFS($A$2:$A$1001,A904,$C$2:$C$1001,C904)</f>
        <v>1</v>
      </c>
      <c r="X904" s="3" t="str">
        <f aca="false">IF(W904&gt;1,"Duplicate","Unique")</f>
        <v>Unique</v>
      </c>
      <c r="Y904" s="3" t="str">
        <f aca="false">IF(B904&lt;6.5,"&lt;6.5",IF(B904&lt;7,"6.5–6.9",IF(B904&lt;7.5,"7.0–7.4",IF(B904&lt;8,"7.5–7.9","8.0+"))))</f>
        <v>7.0–7.4</v>
      </c>
      <c r="Z904" s="3" t="n">
        <f aca="false">IF(T904="","",YEAR(T904))</f>
        <v>1998</v>
      </c>
    </row>
    <row r="905" customFormat="false" ht="13.8" hidden="false" customHeight="false" outlineLevel="0" collapsed="false">
      <c r="A905" s="3" t="s">
        <v>2339</v>
      </c>
      <c r="B905" s="3" t="n">
        <v>6.6</v>
      </c>
      <c r="C905" s="3" t="s">
        <v>2340</v>
      </c>
      <c r="D905" s="3" t="n">
        <v>0</v>
      </c>
      <c r="E905" s="3" t="n">
        <v>8</v>
      </c>
      <c r="F905" s="3"/>
      <c r="G905" s="3" t="n">
        <v>0</v>
      </c>
      <c r="H905" s="3" t="n">
        <v>670</v>
      </c>
      <c r="I905" s="3" t="s">
        <v>22</v>
      </c>
      <c r="J905" s="3" t="n">
        <v>0</v>
      </c>
      <c r="K905" s="3" t="n">
        <v>0</v>
      </c>
      <c r="L905" s="3" t="n">
        <v>0</v>
      </c>
      <c r="M905" s="3" t="s">
        <v>127</v>
      </c>
      <c r="N905" s="3" t="n">
        <v>9</v>
      </c>
      <c r="O905" s="3" t="n">
        <v>30.154</v>
      </c>
      <c r="P905" s="3" t="n">
        <v>57.605</v>
      </c>
      <c r="Q905" s="3" t="s">
        <v>2341</v>
      </c>
      <c r="R905" s="3" t="s">
        <v>80</v>
      </c>
      <c r="S905" s="3" t="s">
        <v>660</v>
      </c>
      <c r="T905" s="5" t="n">
        <f aca="false">IF(C905="","",DATE(VALUE(MID(C905,7,4)),VALUE(MID(C905,4,2)),VALUE(MID(C905,1,2)))+TIME(VALUE(MID(C905,12,2)),VALUE(MID(C905,15,2)),0))</f>
        <v>35868.8194444444</v>
      </c>
      <c r="U905" s="3" t="str">
        <f aca="false">IFERROR(IF(ISNUMBER(VALUE(TRIM(MID(A905,FIND("-",A905)+1,FIND("km",A905)-FIND("-",A905)-1)))),"Distance + direction + city","Named-region"),"Named-region")</f>
        <v>Distance + direction + city</v>
      </c>
      <c r="V905" s="3" t="str">
        <f aca="false">LOWER(M905)</f>
        <v>mwc</v>
      </c>
      <c r="W905" s="3" t="n">
        <f aca="false">COUNTIFS($A$2:$A$1001,A905,$C$2:$C$1001,C905)</f>
        <v>1</v>
      </c>
      <c r="X905" s="3" t="str">
        <f aca="false">IF(W905&gt;1,"Duplicate","Unique")</f>
        <v>Unique</v>
      </c>
      <c r="Y905" s="3" t="str">
        <f aca="false">IF(B905&lt;6.5,"&lt;6.5",IF(B905&lt;7,"6.5–6.9",IF(B905&lt;7.5,"7.0–7.4",IF(B905&lt;8,"7.5–7.9","8.0+"))))</f>
        <v>6.5–6.9</v>
      </c>
      <c r="Z905" s="3" t="n">
        <f aca="false">IF(T905="","",YEAR(T905))</f>
        <v>1998</v>
      </c>
    </row>
    <row r="906" customFormat="false" ht="13.8" hidden="false" customHeight="false" outlineLevel="0" collapsed="false">
      <c r="A906" s="3" t="s">
        <v>2342</v>
      </c>
      <c r="B906" s="3" t="n">
        <v>7.1</v>
      </c>
      <c r="C906" s="3" t="s">
        <v>2343</v>
      </c>
      <c r="D906" s="3" t="n">
        <v>0</v>
      </c>
      <c r="E906" s="3" t="n">
        <v>7</v>
      </c>
      <c r="F906" s="3"/>
      <c r="G906" s="3" t="n">
        <v>0</v>
      </c>
      <c r="H906" s="3" t="n">
        <v>776</v>
      </c>
      <c r="I906" s="3" t="s">
        <v>22</v>
      </c>
      <c r="J906" s="3" t="n">
        <v>0</v>
      </c>
      <c r="K906" s="3" t="n">
        <v>0</v>
      </c>
      <c r="L906" s="3" t="n">
        <v>0</v>
      </c>
      <c r="M906" s="3" t="s">
        <v>127</v>
      </c>
      <c r="N906" s="3" t="n">
        <v>42</v>
      </c>
      <c r="O906" s="3" t="n">
        <v>-23.913</v>
      </c>
      <c r="P906" s="3" t="n">
        <v>-70.207</v>
      </c>
      <c r="Q906" s="3" t="s">
        <v>1630</v>
      </c>
      <c r="R906" s="3" t="s">
        <v>33</v>
      </c>
      <c r="S906" s="3" t="s">
        <v>373</v>
      </c>
      <c r="T906" s="5" t="n">
        <f aca="false">IF(C906="","",DATE(VALUE(MID(C906,7,4)),VALUE(MID(C906,4,2)),VALUE(MID(C906,1,2)))+TIME(VALUE(MID(C906,12,2)),VALUE(MID(C906,15,2)),0))</f>
        <v>35825.5111111111</v>
      </c>
      <c r="U906" s="3" t="str">
        <f aca="false">IFERROR(IF(ISNUMBER(VALUE(TRIM(MID(A906,FIND("-",A906)+1,FIND("km",A906)-FIND("-",A906)-1)))),"Distance + direction + city","Named-region"),"Named-region")</f>
        <v>Distance + direction + city</v>
      </c>
      <c r="V906" s="3" t="str">
        <f aca="false">LOWER(M906)</f>
        <v>mwc</v>
      </c>
      <c r="W906" s="3" t="n">
        <f aca="false">COUNTIFS($A$2:$A$1001,A906,$C$2:$C$1001,C906)</f>
        <v>1</v>
      </c>
      <c r="X906" s="3" t="str">
        <f aca="false">IF(W906&gt;1,"Duplicate","Unique")</f>
        <v>Unique</v>
      </c>
      <c r="Y906" s="3" t="str">
        <f aca="false">IF(B906&lt;6.5,"&lt;6.5",IF(B906&lt;7,"6.5–6.9",IF(B906&lt;7.5,"7.0–7.4",IF(B906&lt;8,"7.5–7.9","8.0+"))))</f>
        <v>7.0–7.4</v>
      </c>
      <c r="Z906" s="3" t="n">
        <f aca="false">IF(T906="","",YEAR(T906))</f>
        <v>1998</v>
      </c>
    </row>
    <row r="907" customFormat="false" ht="13.8" hidden="false" customHeight="false" outlineLevel="0" collapsed="false">
      <c r="A907" s="3" t="s">
        <v>2344</v>
      </c>
      <c r="B907" s="3" t="n">
        <v>6.7</v>
      </c>
      <c r="C907" s="6" t="s">
        <v>2345</v>
      </c>
      <c r="D907" s="3" t="n">
        <v>0</v>
      </c>
      <c r="E907" s="3" t="n">
        <v>6</v>
      </c>
      <c r="F907" s="3"/>
      <c r="G907" s="3" t="n">
        <v>0</v>
      </c>
      <c r="H907" s="3" t="n">
        <v>691</v>
      </c>
      <c r="I907" s="3" t="s">
        <v>22</v>
      </c>
      <c r="J907" s="3" t="n">
        <v>0</v>
      </c>
      <c r="K907" s="3" t="n">
        <v>0</v>
      </c>
      <c r="L907" s="3" t="n">
        <v>0</v>
      </c>
      <c r="M907" s="3" t="s">
        <v>127</v>
      </c>
      <c r="N907" s="3" t="n">
        <v>23.4</v>
      </c>
      <c r="O907" s="3" t="n">
        <v>-15.848</v>
      </c>
      <c r="P907" s="3" t="n">
        <v>-179.376</v>
      </c>
      <c r="Q907" s="3" t="s">
        <v>2346</v>
      </c>
      <c r="R907" s="3"/>
      <c r="S907" s="3" t="s">
        <v>146</v>
      </c>
      <c r="T907" s="5" t="n">
        <f aca="false">IF(C907="","",DATE(VALUE(MID(C907,7,4)),VALUE(MID(C907,4,2)),VALUE(MID(C907,1,2)))+TIME(VALUE(MID(C907,12,2)),VALUE(MID(C907,15,2)),0))</f>
        <v>35807.6916666667</v>
      </c>
      <c r="U907" s="3" t="str">
        <f aca="false">IFERROR(IF(ISNUMBER(VALUE(TRIM(MID(A907,FIND("-",A907)+1,FIND("km",A907)-FIND("-",A907)-1)))),"Distance + direction + city","Named-region"),"Named-region")</f>
        <v>Distance + direction + city</v>
      </c>
      <c r="V907" s="3" t="str">
        <f aca="false">LOWER(M907)</f>
        <v>mwc</v>
      </c>
      <c r="W907" s="3" t="n">
        <f aca="false">COUNTIFS($A$2:$A$1001,A907,$C$2:$C$1001,C907)</f>
        <v>1</v>
      </c>
      <c r="X907" s="3" t="str">
        <f aca="false">IF(W907&gt;1,"Duplicate","Unique")</f>
        <v>Unique</v>
      </c>
      <c r="Y907" s="3" t="str">
        <f aca="false">IF(B907&lt;6.5,"&lt;6.5",IF(B907&lt;7,"6.5–6.9",IF(B907&lt;7.5,"7.0–7.4",IF(B907&lt;8,"7.5–7.9","8.0+"))))</f>
        <v>6.5–6.9</v>
      </c>
      <c r="Z907" s="3" t="n">
        <f aca="false">IF(T907="","",YEAR(T907))</f>
        <v>1998</v>
      </c>
    </row>
    <row r="908" customFormat="false" ht="13.8" hidden="false" customHeight="false" outlineLevel="0" collapsed="false">
      <c r="A908" s="3" t="s">
        <v>2347</v>
      </c>
      <c r="B908" s="3" t="n">
        <v>6.6</v>
      </c>
      <c r="C908" s="6" t="s">
        <v>2348</v>
      </c>
      <c r="D908" s="3" t="n">
        <v>0</v>
      </c>
      <c r="E908" s="3" t="n">
        <v>7</v>
      </c>
      <c r="F908" s="3"/>
      <c r="G908" s="3" t="n">
        <v>0</v>
      </c>
      <c r="H908" s="3" t="n">
        <v>670</v>
      </c>
      <c r="I908" s="3" t="s">
        <v>22</v>
      </c>
      <c r="J908" s="3" t="n">
        <v>0</v>
      </c>
      <c r="K908" s="3" t="n">
        <v>0</v>
      </c>
      <c r="L908" s="3" t="n">
        <v>0</v>
      </c>
      <c r="M908" s="3" t="s">
        <v>127</v>
      </c>
      <c r="N908" s="3" t="n">
        <v>34.8</v>
      </c>
      <c r="O908" s="3" t="n">
        <v>-30.985</v>
      </c>
      <c r="P908" s="3" t="n">
        <v>-71.41</v>
      </c>
      <c r="Q908" s="3" t="s">
        <v>893</v>
      </c>
      <c r="R908" s="3" t="s">
        <v>33</v>
      </c>
      <c r="S908" s="3" t="s">
        <v>373</v>
      </c>
      <c r="T908" s="5" t="n">
        <f aca="false">IF(C908="","",DATE(VALUE(MID(C908,7,4)),VALUE(MID(C908,4,2)),VALUE(MID(C908,1,2)))+TIME(VALUE(MID(C908,12,2)),VALUE(MID(C908,15,2)),0))</f>
        <v>35807.4263888889</v>
      </c>
      <c r="U908" s="3" t="str">
        <f aca="false">IFERROR(IF(ISNUMBER(VALUE(TRIM(MID(A908,FIND("-",A908)+1,FIND("km",A908)-FIND("-",A908)-1)))),"Distance + direction + city","Named-region"),"Named-region")</f>
        <v>Distance + direction + city</v>
      </c>
      <c r="V908" s="3" t="str">
        <f aca="false">LOWER(M908)</f>
        <v>mwc</v>
      </c>
      <c r="W908" s="3" t="n">
        <f aca="false">COUNTIFS($A$2:$A$1001,A908,$C$2:$C$1001,C908)</f>
        <v>1</v>
      </c>
      <c r="X908" s="3" t="str">
        <f aca="false">IF(W908&gt;1,"Duplicate","Unique")</f>
        <v>Unique</v>
      </c>
      <c r="Y908" s="3" t="str">
        <f aca="false">IF(B908&lt;6.5,"&lt;6.5",IF(B908&lt;7,"6.5–6.9",IF(B908&lt;7.5,"7.0–7.4",IF(B908&lt;8,"7.5–7.9","8.0+"))))</f>
        <v>6.5–6.9</v>
      </c>
      <c r="Z908" s="3" t="n">
        <f aca="false">IF(T908="","",YEAR(T908))</f>
        <v>1998</v>
      </c>
    </row>
    <row r="909" customFormat="false" ht="13.8" hidden="false" customHeight="false" outlineLevel="0" collapsed="false">
      <c r="A909" s="3" t="s">
        <v>2349</v>
      </c>
      <c r="B909" s="3" t="n">
        <v>6.6</v>
      </c>
      <c r="C909" s="6" t="s">
        <v>2350</v>
      </c>
      <c r="D909" s="3" t="n">
        <v>0</v>
      </c>
      <c r="E909" s="3" t="n">
        <v>6</v>
      </c>
      <c r="F909" s="3"/>
      <c r="G909" s="3" t="n">
        <v>0</v>
      </c>
      <c r="H909" s="3" t="n">
        <v>670</v>
      </c>
      <c r="I909" s="3" t="s">
        <v>22</v>
      </c>
      <c r="J909" s="3" t="n">
        <v>0</v>
      </c>
      <c r="K909" s="3" t="n">
        <v>0</v>
      </c>
      <c r="L909" s="3" t="n">
        <v>0</v>
      </c>
      <c r="M909" s="3" t="s">
        <v>127</v>
      </c>
      <c r="N909" s="3" t="n">
        <v>33</v>
      </c>
      <c r="O909" s="3" t="n">
        <v>14.374</v>
      </c>
      <c r="P909" s="3" t="n">
        <v>-91.473</v>
      </c>
      <c r="Q909" s="3" t="s">
        <v>2351</v>
      </c>
      <c r="R909" s="3"/>
      <c r="S909" s="3" t="s">
        <v>703</v>
      </c>
      <c r="T909" s="5" t="n">
        <f aca="false">IF(C909="","",DATE(VALUE(MID(C909,7,4)),VALUE(MID(C909,4,2)),VALUE(MID(C909,1,2)))+TIME(VALUE(MID(C909,12,2)),VALUE(MID(C909,15,2)),0))</f>
        <v>35805.3472222222</v>
      </c>
      <c r="U909" s="3" t="str">
        <f aca="false">IFERROR(IF(ISNUMBER(VALUE(TRIM(MID(A909,FIND("-",A909)+1,FIND("km",A909)-FIND("-",A909)-1)))),"Distance + direction + city","Named-region"),"Named-region")</f>
        <v>Distance + direction + city</v>
      </c>
      <c r="V909" s="3" t="str">
        <f aca="false">LOWER(M909)</f>
        <v>mwc</v>
      </c>
      <c r="W909" s="3" t="n">
        <f aca="false">COUNTIFS($A$2:$A$1001,A909,$C$2:$C$1001,C909)</f>
        <v>1</v>
      </c>
      <c r="X909" s="3" t="str">
        <f aca="false">IF(W909&gt;1,"Duplicate","Unique")</f>
        <v>Unique</v>
      </c>
      <c r="Y909" s="3" t="str">
        <f aca="false">IF(B909&lt;6.5,"&lt;6.5",IF(B909&lt;7,"6.5–6.9",IF(B909&lt;7.5,"7.0–7.4",IF(B909&lt;8,"7.5–7.9","8.0+"))))</f>
        <v>6.5–6.9</v>
      </c>
      <c r="Z909" s="3" t="n">
        <f aca="false">IF(T909="","",YEAR(T909))</f>
        <v>1998</v>
      </c>
    </row>
    <row r="910" customFormat="false" ht="13.8" hidden="false" customHeight="false" outlineLevel="0" collapsed="false">
      <c r="A910" s="3" t="s">
        <v>2352</v>
      </c>
      <c r="B910" s="3" t="n">
        <v>7.2</v>
      </c>
      <c r="C910" s="3" t="s">
        <v>2353</v>
      </c>
      <c r="D910" s="3" t="n">
        <v>0</v>
      </c>
      <c r="E910" s="3" t="n">
        <v>6</v>
      </c>
      <c r="F910" s="3"/>
      <c r="G910" s="3" t="n">
        <v>0</v>
      </c>
      <c r="H910" s="3" t="n">
        <v>798</v>
      </c>
      <c r="I910" s="3" t="s">
        <v>22</v>
      </c>
      <c r="J910" s="3" t="n">
        <v>0</v>
      </c>
      <c r="K910" s="3" t="n">
        <v>0</v>
      </c>
      <c r="L910" s="3" t="n">
        <v>0</v>
      </c>
      <c r="M910" s="3" t="s">
        <v>127</v>
      </c>
      <c r="N910" s="3" t="n">
        <v>179.3</v>
      </c>
      <c r="O910" s="3" t="n">
        <v>-5.495</v>
      </c>
      <c r="P910" s="3" t="n">
        <v>147.867</v>
      </c>
      <c r="Q910" s="3" t="s">
        <v>1011</v>
      </c>
      <c r="R910" s="3"/>
      <c r="S910" s="3" t="s">
        <v>85</v>
      </c>
      <c r="T910" s="5" t="n">
        <f aca="false">IF(C910="","",DATE(VALUE(MID(C910,7,4)),VALUE(MID(C910,4,2)),VALUE(MID(C910,1,2)))+TIME(VALUE(MID(C910,12,2)),VALUE(MID(C910,15,2)),0))</f>
        <v>35786.0868055556</v>
      </c>
      <c r="U910" s="3" t="str">
        <f aca="false">IFERROR(IF(ISNUMBER(VALUE(TRIM(MID(A910,FIND("-",A910)+1,FIND("km",A910)-FIND("-",A910)-1)))),"Distance + direction + city","Named-region"),"Named-region")</f>
        <v>Distance + direction + city</v>
      </c>
      <c r="V910" s="3" t="str">
        <f aca="false">LOWER(M910)</f>
        <v>mwc</v>
      </c>
      <c r="W910" s="3" t="n">
        <f aca="false">COUNTIFS($A$2:$A$1001,A910,$C$2:$C$1001,C910)</f>
        <v>1</v>
      </c>
      <c r="X910" s="3" t="str">
        <f aca="false">IF(W910&gt;1,"Duplicate","Unique")</f>
        <v>Unique</v>
      </c>
      <c r="Y910" s="3" t="str">
        <f aca="false">IF(B910&lt;6.5,"&lt;6.5",IF(B910&lt;7,"6.5–6.9",IF(B910&lt;7.5,"7.0–7.4",IF(B910&lt;8,"7.5–7.9","8.0+"))))</f>
        <v>7.0–7.4</v>
      </c>
      <c r="Z910" s="3" t="n">
        <f aca="false">IF(T910="","",YEAR(T910))</f>
        <v>1997</v>
      </c>
    </row>
    <row r="911" customFormat="false" ht="13.8" hidden="false" customHeight="false" outlineLevel="0" collapsed="false">
      <c r="A911" s="3" t="s">
        <v>2354</v>
      </c>
      <c r="B911" s="3" t="n">
        <v>7.8</v>
      </c>
      <c r="C911" s="6" t="s">
        <v>2355</v>
      </c>
      <c r="D911" s="3" t="n">
        <v>0</v>
      </c>
      <c r="E911" s="3" t="n">
        <v>7</v>
      </c>
      <c r="F911" s="3"/>
      <c r="G911" s="3" t="n">
        <v>0</v>
      </c>
      <c r="H911" s="3" t="n">
        <v>936</v>
      </c>
      <c r="I911" s="3" t="s">
        <v>22</v>
      </c>
      <c r="J911" s="3" t="n">
        <v>0</v>
      </c>
      <c r="K911" s="3" t="n">
        <v>0</v>
      </c>
      <c r="L911" s="3" t="n">
        <v>0</v>
      </c>
      <c r="M911" s="3" t="s">
        <v>127</v>
      </c>
      <c r="N911" s="3" t="n">
        <v>33</v>
      </c>
      <c r="O911" s="3" t="n">
        <v>54.841</v>
      </c>
      <c r="P911" s="3" t="n">
        <v>162.035</v>
      </c>
      <c r="Q911" s="3" t="s">
        <v>334</v>
      </c>
      <c r="R911" s="3" t="s">
        <v>80</v>
      </c>
      <c r="S911" s="3" t="s">
        <v>428</v>
      </c>
      <c r="T911" s="5" t="n">
        <f aca="false">IF(C911="","",DATE(VALUE(MID(C911,7,4)),VALUE(MID(C911,4,2)),VALUE(MID(C911,1,2)))+TIME(VALUE(MID(C911,12,2)),VALUE(MID(C911,15,2)),0))</f>
        <v>35769.4763888889</v>
      </c>
      <c r="U911" s="3" t="str">
        <f aca="false">IFERROR(IF(ISNUMBER(VALUE(TRIM(MID(A911,FIND("-",A911)+1,FIND("km",A911)-FIND("-",A911)-1)))),"Distance + direction + city","Named-region"),"Named-region")</f>
        <v>Distance + direction + city</v>
      </c>
      <c r="V911" s="3" t="str">
        <f aca="false">LOWER(M911)</f>
        <v>mwc</v>
      </c>
      <c r="W911" s="3" t="n">
        <f aca="false">COUNTIFS($A$2:$A$1001,A911,$C$2:$C$1001,C911)</f>
        <v>1</v>
      </c>
      <c r="X911" s="3" t="str">
        <f aca="false">IF(W911&gt;1,"Duplicate","Unique")</f>
        <v>Unique</v>
      </c>
      <c r="Y911" s="3" t="str">
        <f aca="false">IF(B911&lt;6.5,"&lt;6.5",IF(B911&lt;7,"6.5–6.9",IF(B911&lt;7.5,"7.0–7.4",IF(B911&lt;8,"7.5–7.9","8.0+"))))</f>
        <v>7.5–7.9</v>
      </c>
      <c r="Z911" s="3" t="n">
        <f aca="false">IF(T911="","",YEAR(T911))</f>
        <v>1997</v>
      </c>
    </row>
    <row r="912" customFormat="false" ht="13.8" hidden="false" customHeight="false" outlineLevel="0" collapsed="false">
      <c r="A912" s="3" t="s">
        <v>2356</v>
      </c>
      <c r="B912" s="3" t="n">
        <v>7</v>
      </c>
      <c r="C912" s="3" t="s">
        <v>2357</v>
      </c>
      <c r="D912" s="3" t="n">
        <v>0</v>
      </c>
      <c r="E912" s="3" t="n">
        <v>6</v>
      </c>
      <c r="F912" s="3"/>
      <c r="G912" s="3" t="n">
        <v>0</v>
      </c>
      <c r="H912" s="3" t="n">
        <v>754</v>
      </c>
      <c r="I912" s="3" t="s">
        <v>22</v>
      </c>
      <c r="J912" s="3" t="n">
        <v>0</v>
      </c>
      <c r="K912" s="3" t="n">
        <v>0</v>
      </c>
      <c r="L912" s="3" t="n">
        <v>0</v>
      </c>
      <c r="M912" s="3" t="s">
        <v>127</v>
      </c>
      <c r="N912" s="3" t="n">
        <v>24</v>
      </c>
      <c r="O912" s="3" t="n">
        <v>1.241</v>
      </c>
      <c r="P912" s="3" t="n">
        <v>122.536</v>
      </c>
      <c r="Q912" s="3" t="s">
        <v>1566</v>
      </c>
      <c r="R912" s="3"/>
      <c r="S912" s="3" t="s">
        <v>68</v>
      </c>
      <c r="T912" s="5" t="n">
        <f aca="false">IF(C912="","",DATE(VALUE(MID(C912,7,4)),VALUE(MID(C912,4,2)),VALUE(MID(C912,1,2)))+TIME(VALUE(MID(C912,12,2)),VALUE(MID(C912,15,2)),0))</f>
        <v>35759.5097222222</v>
      </c>
      <c r="U912" s="3" t="str">
        <f aca="false">IFERROR(IF(ISNUMBER(VALUE(TRIM(MID(A912,FIND("-",A912)+1,FIND("km",A912)-FIND("-",A912)-1)))),"Distance + direction + city","Named-region"),"Named-region")</f>
        <v>Distance + direction + city</v>
      </c>
      <c r="V912" s="3" t="str">
        <f aca="false">LOWER(M912)</f>
        <v>mwc</v>
      </c>
      <c r="W912" s="3" t="n">
        <f aca="false">COUNTIFS($A$2:$A$1001,A912,$C$2:$C$1001,C912)</f>
        <v>1</v>
      </c>
      <c r="X912" s="3" t="str">
        <f aca="false">IF(W912&gt;1,"Duplicate","Unique")</f>
        <v>Unique</v>
      </c>
      <c r="Y912" s="3" t="str">
        <f aca="false">IF(B912&lt;6.5,"&lt;6.5",IF(B912&lt;7,"6.5–6.9",IF(B912&lt;7.5,"7.0–7.4",IF(B912&lt;8,"7.5–7.9","8.0+"))))</f>
        <v>7.0–7.4</v>
      </c>
      <c r="Z912" s="3" t="n">
        <f aca="false">IF(T912="","",YEAR(T912))</f>
        <v>1997</v>
      </c>
    </row>
    <row r="913" customFormat="false" ht="13.8" hidden="false" customHeight="false" outlineLevel="0" collapsed="false">
      <c r="A913" s="3" t="s">
        <v>2358</v>
      </c>
      <c r="B913" s="3" t="n">
        <v>6.6</v>
      </c>
      <c r="C913" s="3" t="s">
        <v>2359</v>
      </c>
      <c r="D913" s="3" t="n">
        <v>0</v>
      </c>
      <c r="E913" s="3" t="n">
        <v>7</v>
      </c>
      <c r="F913" s="3"/>
      <c r="G913" s="3" t="n">
        <v>0</v>
      </c>
      <c r="H913" s="3" t="n">
        <v>670</v>
      </c>
      <c r="I913" s="3" t="s">
        <v>22</v>
      </c>
      <c r="J913" s="3" t="n">
        <v>0</v>
      </c>
      <c r="K913" s="3" t="n">
        <v>0</v>
      </c>
      <c r="L913" s="3" t="n">
        <v>0</v>
      </c>
      <c r="M913" s="3" t="s">
        <v>127</v>
      </c>
      <c r="N913" s="3" t="n">
        <v>33</v>
      </c>
      <c r="O913" s="3" t="n">
        <v>37.57</v>
      </c>
      <c r="P913" s="3" t="n">
        <v>20.656</v>
      </c>
      <c r="Q913" s="3" t="s">
        <v>553</v>
      </c>
      <c r="R913" s="3" t="s">
        <v>361</v>
      </c>
      <c r="S913" s="3"/>
      <c r="T913" s="5" t="n">
        <f aca="false">IF(C913="","",DATE(VALUE(MID(C913,7,4)),VALUE(MID(C913,4,2)),VALUE(MID(C913,1,2)))+TIME(VALUE(MID(C913,12,2)),VALUE(MID(C913,15,2)),0))</f>
        <v>35752.5465277778</v>
      </c>
      <c r="U913" s="3" t="str">
        <f aca="false">IFERROR(IF(ISNUMBER(VALUE(TRIM(MID(A913,FIND("-",A913)+1,FIND("km",A913)-FIND("-",A913)-1)))),"Distance + direction + city","Named-region"),"Named-region")</f>
        <v>Distance + direction + city</v>
      </c>
      <c r="V913" s="3" t="str">
        <f aca="false">LOWER(M913)</f>
        <v>mwc</v>
      </c>
      <c r="W913" s="3" t="n">
        <f aca="false">COUNTIFS($A$2:$A$1001,A913,$C$2:$C$1001,C913)</f>
        <v>1</v>
      </c>
      <c r="X913" s="3" t="str">
        <f aca="false">IF(W913&gt;1,"Duplicate","Unique")</f>
        <v>Unique</v>
      </c>
      <c r="Y913" s="3" t="str">
        <f aca="false">IF(B913&lt;6.5,"&lt;6.5",IF(B913&lt;7,"6.5–6.9",IF(B913&lt;7.5,"7.0–7.4",IF(B913&lt;8,"7.5–7.9","8.0+"))))</f>
        <v>6.5–6.9</v>
      </c>
      <c r="Z913" s="3" t="n">
        <f aca="false">IF(T913="","",YEAR(T913))</f>
        <v>1997</v>
      </c>
    </row>
    <row r="914" customFormat="false" ht="13.8" hidden="false" customHeight="false" outlineLevel="0" collapsed="false">
      <c r="A914" s="3" t="s">
        <v>2360</v>
      </c>
      <c r="B914" s="3" t="n">
        <v>7</v>
      </c>
      <c r="C914" s="3" t="s">
        <v>2361</v>
      </c>
      <c r="D914" s="3" t="n">
        <v>0</v>
      </c>
      <c r="E914" s="3" t="n">
        <v>6</v>
      </c>
      <c r="F914" s="3"/>
      <c r="G914" s="3" t="n">
        <v>0</v>
      </c>
      <c r="H914" s="3" t="n">
        <v>754</v>
      </c>
      <c r="I914" s="3" t="s">
        <v>22</v>
      </c>
      <c r="J914" s="3" t="n">
        <v>0</v>
      </c>
      <c r="K914" s="3" t="n">
        <v>0</v>
      </c>
      <c r="L914" s="3" t="n">
        <v>0</v>
      </c>
      <c r="M914" s="3" t="s">
        <v>127</v>
      </c>
      <c r="N914" s="3" t="n">
        <v>123.1</v>
      </c>
      <c r="O914" s="3" t="n">
        <v>-15.145</v>
      </c>
      <c r="P914" s="3" t="n">
        <v>167.375</v>
      </c>
      <c r="Q914" s="3" t="s">
        <v>104</v>
      </c>
      <c r="R914" s="3"/>
      <c r="S914" s="3" t="s">
        <v>25</v>
      </c>
      <c r="T914" s="5" t="n">
        <f aca="false">IF(C914="","",DATE(VALUE(MID(C914,7,4)),VALUE(MID(C914,4,2)),VALUE(MID(C914,1,2)))+TIME(VALUE(MID(C914,12,2)),VALUE(MID(C914,15,2)),0))</f>
        <v>35749.7909722222</v>
      </c>
      <c r="U914" s="3" t="str">
        <f aca="false">IFERROR(IF(ISNUMBER(VALUE(TRIM(MID(A914,FIND("-",A914)+1,FIND("km",A914)-FIND("-",A914)-1)))),"Distance + direction + city","Named-region"),"Named-region")</f>
        <v>Distance + direction + city</v>
      </c>
      <c r="V914" s="3" t="str">
        <f aca="false">LOWER(M914)</f>
        <v>mwc</v>
      </c>
      <c r="W914" s="3" t="n">
        <f aca="false">COUNTIFS($A$2:$A$1001,A914,$C$2:$C$1001,C914)</f>
        <v>1</v>
      </c>
      <c r="X914" s="3" t="str">
        <f aca="false">IF(W914&gt;1,"Duplicate","Unique")</f>
        <v>Unique</v>
      </c>
      <c r="Y914" s="3" t="str">
        <f aca="false">IF(B914&lt;6.5,"&lt;6.5",IF(B914&lt;7,"6.5–6.9",IF(B914&lt;7.5,"7.0–7.4",IF(B914&lt;8,"7.5–7.9","8.0+"))))</f>
        <v>7.0–7.4</v>
      </c>
      <c r="Z914" s="3" t="n">
        <f aca="false">IF(T914="","",YEAR(T914))</f>
        <v>1997</v>
      </c>
    </row>
    <row r="915" customFormat="false" ht="13.8" hidden="false" customHeight="false" outlineLevel="0" collapsed="false">
      <c r="A915" s="3" t="s">
        <v>2362</v>
      </c>
      <c r="B915" s="3" t="n">
        <v>6.5</v>
      </c>
      <c r="C915" s="6" t="s">
        <v>2363</v>
      </c>
      <c r="D915" s="3" t="n">
        <v>0</v>
      </c>
      <c r="E915" s="3" t="n">
        <v>4</v>
      </c>
      <c r="F915" s="3"/>
      <c r="G915" s="3" t="n">
        <v>0</v>
      </c>
      <c r="H915" s="3" t="n">
        <v>650</v>
      </c>
      <c r="I915" s="3" t="s">
        <v>22</v>
      </c>
      <c r="J915" s="3" t="n">
        <v>0</v>
      </c>
      <c r="K915" s="3" t="n">
        <v>0</v>
      </c>
      <c r="L915" s="3" t="n">
        <v>0</v>
      </c>
      <c r="M915" s="3" t="s">
        <v>154</v>
      </c>
      <c r="N915" s="3" t="n">
        <v>176.4</v>
      </c>
      <c r="O915" s="3" t="n">
        <v>13.849</v>
      </c>
      <c r="P915" s="3" t="n">
        <v>-88.808</v>
      </c>
      <c r="Q915" s="3" t="s">
        <v>2364</v>
      </c>
      <c r="R915" s="3"/>
      <c r="S915" s="3" t="s">
        <v>2112</v>
      </c>
      <c r="T915" s="5" t="n">
        <f aca="false">IF(C915="","",DATE(VALUE(MID(C915,7,4)),VALUE(MID(C915,4,2)),VALUE(MID(C915,1,2)))+TIME(VALUE(MID(C915,12,2)),VALUE(MID(C915,15,2)),0))</f>
        <v>35743.9555555556</v>
      </c>
      <c r="U915" s="3" t="str">
        <f aca="false">IFERROR(IF(ISNUMBER(VALUE(TRIM(MID(A915,FIND("-",A915)+1,FIND("km",A915)-FIND("-",A915)-1)))),"Distance + direction + city","Named-region"),"Named-region")</f>
        <v>Distance + direction + city</v>
      </c>
      <c r="V915" s="3" t="str">
        <f aca="false">LOWER(M915)</f>
        <v>mwb</v>
      </c>
      <c r="W915" s="3" t="n">
        <f aca="false">COUNTIFS($A$2:$A$1001,A915,$C$2:$C$1001,C915)</f>
        <v>1</v>
      </c>
      <c r="X915" s="3" t="str">
        <f aca="false">IF(W915&gt;1,"Duplicate","Unique")</f>
        <v>Unique</v>
      </c>
      <c r="Y915" s="3" t="str">
        <f aca="false">IF(B915&lt;6.5,"&lt;6.5",IF(B915&lt;7,"6.5–6.9",IF(B915&lt;7.5,"7.0–7.4",IF(B915&lt;8,"7.5–7.9","8.0+"))))</f>
        <v>6.5–6.9</v>
      </c>
      <c r="Z915" s="3" t="n">
        <f aca="false">IF(T915="","",YEAR(T915))</f>
        <v>1997</v>
      </c>
    </row>
    <row r="916" customFormat="false" ht="13.8" hidden="false" customHeight="false" outlineLevel="0" collapsed="false">
      <c r="A916" s="3" t="s">
        <v>2365</v>
      </c>
      <c r="B916" s="3" t="n">
        <v>7.5</v>
      </c>
      <c r="C916" s="6" t="s">
        <v>2366</v>
      </c>
      <c r="D916" s="3" t="n">
        <v>0</v>
      </c>
      <c r="E916" s="3" t="n">
        <v>7</v>
      </c>
      <c r="F916" s="3"/>
      <c r="G916" s="3" t="n">
        <v>0</v>
      </c>
      <c r="H916" s="3" t="n">
        <v>865</v>
      </c>
      <c r="I916" s="3" t="s">
        <v>22</v>
      </c>
      <c r="J916" s="3" t="n">
        <v>0</v>
      </c>
      <c r="K916" s="3" t="n">
        <v>0</v>
      </c>
      <c r="L916" s="3" t="n">
        <v>0</v>
      </c>
      <c r="M916" s="3" t="s">
        <v>127</v>
      </c>
      <c r="N916" s="3" t="n">
        <v>33</v>
      </c>
      <c r="O916" s="3" t="n">
        <v>35.069</v>
      </c>
      <c r="P916" s="3" t="n">
        <v>87.325</v>
      </c>
      <c r="Q916" s="3" t="s">
        <v>2367</v>
      </c>
      <c r="R916" s="3" t="s">
        <v>80</v>
      </c>
      <c r="S916" s="3" t="s">
        <v>184</v>
      </c>
      <c r="T916" s="5" t="n">
        <f aca="false">IF(C916="","",DATE(VALUE(MID(C916,7,4)),VALUE(MID(C916,4,2)),VALUE(MID(C916,1,2)))+TIME(VALUE(MID(C916,12,2)),VALUE(MID(C916,15,2)),0))</f>
        <v>35742.4180555556</v>
      </c>
      <c r="U916" s="3" t="str">
        <f aca="false">IFERROR(IF(ISNUMBER(VALUE(TRIM(MID(A916,FIND("-",A916)+1,FIND("km",A916)-FIND("-",A916)-1)))),"Distance + direction + city","Named-region"),"Named-region")</f>
        <v>Named-region</v>
      </c>
      <c r="V916" s="3" t="str">
        <f aca="false">LOWER(M916)</f>
        <v>mwc</v>
      </c>
      <c r="W916" s="3" t="n">
        <f aca="false">COUNTIFS($A$2:$A$1001,A916,$C$2:$C$1001,C916)</f>
        <v>1</v>
      </c>
      <c r="X916" s="3" t="str">
        <f aca="false">IF(W916&gt;1,"Duplicate","Unique")</f>
        <v>Unique</v>
      </c>
      <c r="Y916" s="3" t="str">
        <f aca="false">IF(B916&lt;6.5,"&lt;6.5",IF(B916&lt;7,"6.5–6.9",IF(B916&lt;7.5,"7.0–7.4",IF(B916&lt;8,"7.5–7.9","8.0+"))))</f>
        <v>7.5–7.9</v>
      </c>
      <c r="Z916" s="3" t="n">
        <f aca="false">IF(T916="","",YEAR(T916))</f>
        <v>1997</v>
      </c>
    </row>
    <row r="917" customFormat="false" ht="13.8" hidden="false" customHeight="false" outlineLevel="0" collapsed="false">
      <c r="A917" s="3" t="s">
        <v>2368</v>
      </c>
      <c r="B917" s="3" t="n">
        <v>7.2</v>
      </c>
      <c r="C917" s="3" t="s">
        <v>2369</v>
      </c>
      <c r="D917" s="3" t="n">
        <v>0</v>
      </c>
      <c r="E917" s="3" t="n">
        <v>7</v>
      </c>
      <c r="F917" s="3"/>
      <c r="G917" s="3" t="n">
        <v>0</v>
      </c>
      <c r="H917" s="3" t="n">
        <v>798</v>
      </c>
      <c r="I917" s="3" t="s">
        <v>22</v>
      </c>
      <c r="J917" s="3" t="n">
        <v>0</v>
      </c>
      <c r="K917" s="3" t="n">
        <v>0</v>
      </c>
      <c r="L917" s="3" t="n">
        <v>0</v>
      </c>
      <c r="M917" s="3" t="s">
        <v>127</v>
      </c>
      <c r="N917" s="3" t="n">
        <v>112</v>
      </c>
      <c r="O917" s="3" t="n">
        <v>-4.368</v>
      </c>
      <c r="P917" s="3" t="n">
        <v>-76.681</v>
      </c>
      <c r="Q917" s="3" t="s">
        <v>226</v>
      </c>
      <c r="R917" s="3" t="s">
        <v>33</v>
      </c>
      <c r="S917" s="3" t="s">
        <v>199</v>
      </c>
      <c r="T917" s="5" t="n">
        <f aca="false">IF(C917="","",DATE(VALUE(MID(C917,7,4)),VALUE(MID(C917,4,2)),VALUE(MID(C917,1,2)))+TIME(VALUE(MID(C917,12,2)),VALUE(MID(C917,15,2)),0))</f>
        <v>35731.2604166667</v>
      </c>
      <c r="U917" s="3" t="str">
        <f aca="false">IFERROR(IF(ISNUMBER(VALUE(TRIM(MID(A917,FIND("-",A917)+1,FIND("km",A917)-FIND("-",A917)-1)))),"Distance + direction + city","Named-region"),"Named-region")</f>
        <v>Distance + direction + city</v>
      </c>
      <c r="V917" s="3" t="str">
        <f aca="false">LOWER(M917)</f>
        <v>mwc</v>
      </c>
      <c r="W917" s="3" t="n">
        <f aca="false">COUNTIFS($A$2:$A$1001,A917,$C$2:$C$1001,C917)</f>
        <v>1</v>
      </c>
      <c r="X917" s="3" t="str">
        <f aca="false">IF(W917&gt;1,"Duplicate","Unique")</f>
        <v>Unique</v>
      </c>
      <c r="Y917" s="3" t="str">
        <f aca="false">IF(B917&lt;6.5,"&lt;6.5",IF(B917&lt;7,"6.5–6.9",IF(B917&lt;7.5,"7.0–7.4",IF(B917&lt;8,"7.5–7.9","8.0+"))))</f>
        <v>7.0–7.4</v>
      </c>
      <c r="Z917" s="3" t="n">
        <f aca="false">IF(T917="","",YEAR(T917))</f>
        <v>1997</v>
      </c>
    </row>
    <row r="918" customFormat="false" ht="13.8" hidden="false" customHeight="false" outlineLevel="0" collapsed="false">
      <c r="A918" s="3" t="s">
        <v>2370</v>
      </c>
      <c r="B918" s="3" t="n">
        <v>7.1</v>
      </c>
      <c r="C918" s="3" t="s">
        <v>2371</v>
      </c>
      <c r="D918" s="3" t="n">
        <v>0</v>
      </c>
      <c r="E918" s="3" t="n">
        <v>7</v>
      </c>
      <c r="F918" s="3"/>
      <c r="G918" s="3" t="n">
        <v>0</v>
      </c>
      <c r="H918" s="3" t="n">
        <v>776</v>
      </c>
      <c r="I918" s="3" t="s">
        <v>22</v>
      </c>
      <c r="J918" s="3" t="n">
        <v>0</v>
      </c>
      <c r="K918" s="3" t="n">
        <v>0</v>
      </c>
      <c r="L918" s="3" t="n">
        <v>0</v>
      </c>
      <c r="M918" s="3" t="s">
        <v>127</v>
      </c>
      <c r="N918" s="3" t="n">
        <v>58</v>
      </c>
      <c r="O918" s="3" t="n">
        <v>-30.933</v>
      </c>
      <c r="P918" s="3" t="n">
        <v>-71.22</v>
      </c>
      <c r="Q918" s="3" t="s">
        <v>2025</v>
      </c>
      <c r="R918" s="3" t="s">
        <v>33</v>
      </c>
      <c r="S918" s="3" t="s">
        <v>373</v>
      </c>
      <c r="T918" s="5" t="n">
        <f aca="false">IF(C918="","",DATE(VALUE(MID(C918,7,4)),VALUE(MID(C918,4,2)),VALUE(MID(C918,1,2)))+TIME(VALUE(MID(C918,12,2)),VALUE(MID(C918,15,2)),0))</f>
        <v>35718.04375</v>
      </c>
      <c r="U918" s="3" t="str">
        <f aca="false">IFERROR(IF(ISNUMBER(VALUE(TRIM(MID(A918,FIND("-",A918)+1,FIND("km",A918)-FIND("-",A918)-1)))),"Distance + direction + city","Named-region"),"Named-region")</f>
        <v>Distance + direction + city</v>
      </c>
      <c r="V918" s="3" t="str">
        <f aca="false">LOWER(M918)</f>
        <v>mwc</v>
      </c>
      <c r="W918" s="3" t="n">
        <f aca="false">COUNTIFS($A$2:$A$1001,A918,$C$2:$C$1001,C918)</f>
        <v>1</v>
      </c>
      <c r="X918" s="3" t="str">
        <f aca="false">IF(W918&gt;1,"Duplicate","Unique")</f>
        <v>Unique</v>
      </c>
      <c r="Y918" s="3" t="str">
        <f aca="false">IF(B918&lt;6.5,"&lt;6.5",IF(B918&lt;7,"6.5–6.9",IF(B918&lt;7.5,"7.0–7.4",IF(B918&lt;8,"7.5–7.9","8.0+"))))</f>
        <v>7.0–7.4</v>
      </c>
      <c r="Z918" s="3" t="n">
        <f aca="false">IF(T918="","",YEAR(T918))</f>
        <v>1997</v>
      </c>
    </row>
    <row r="919" customFormat="false" ht="13.8" hidden="false" customHeight="false" outlineLevel="0" collapsed="false">
      <c r="A919" s="3" t="s">
        <v>2372</v>
      </c>
      <c r="B919" s="3" t="n">
        <v>7.8</v>
      </c>
      <c r="C919" s="3" t="s">
        <v>2373</v>
      </c>
      <c r="D919" s="3" t="n">
        <v>0</v>
      </c>
      <c r="E919" s="3" t="n">
        <v>7</v>
      </c>
      <c r="F919" s="3"/>
      <c r="G919" s="3" t="n">
        <v>0</v>
      </c>
      <c r="H919" s="3" t="n">
        <v>936</v>
      </c>
      <c r="I919" s="3" t="s">
        <v>22</v>
      </c>
      <c r="J919" s="3" t="n">
        <v>0</v>
      </c>
      <c r="K919" s="3" t="n">
        <v>0</v>
      </c>
      <c r="L919" s="3" t="n">
        <v>0</v>
      </c>
      <c r="M919" s="3" t="s">
        <v>154</v>
      </c>
      <c r="N919" s="3" t="n">
        <v>167.3</v>
      </c>
      <c r="O919" s="3" t="n">
        <v>-22.101</v>
      </c>
      <c r="P919" s="3" t="n">
        <v>-176.772</v>
      </c>
      <c r="Q919" s="3" t="s">
        <v>325</v>
      </c>
      <c r="R919" s="3"/>
      <c r="S919" s="3"/>
      <c r="T919" s="5" t="n">
        <f aca="false">IF(C919="","",DATE(VALUE(MID(C919,7,4)),VALUE(MID(C919,4,2)),VALUE(MID(C919,1,2)))+TIME(VALUE(MID(C919,12,2)),VALUE(MID(C919,15,2)),0))</f>
        <v>35717.4118055556</v>
      </c>
      <c r="U919" s="3" t="str">
        <f aca="false">IFERROR(IF(ISNUMBER(VALUE(TRIM(MID(A919,FIND("-",A919)+1,FIND("km",A919)-FIND("-",A919)-1)))),"Distance + direction + city","Named-region"),"Named-region")</f>
        <v>Distance + direction + city</v>
      </c>
      <c r="V919" s="3" t="str">
        <f aca="false">LOWER(M919)</f>
        <v>mwb</v>
      </c>
      <c r="W919" s="3" t="n">
        <f aca="false">COUNTIFS($A$2:$A$1001,A919,$C$2:$C$1001,C919)</f>
        <v>1</v>
      </c>
      <c r="X919" s="3" t="str">
        <f aca="false">IF(W919&gt;1,"Duplicate","Unique")</f>
        <v>Unique</v>
      </c>
      <c r="Y919" s="3" t="str">
        <f aca="false">IF(B919&lt;6.5,"&lt;6.5",IF(B919&lt;7,"6.5–6.9",IF(B919&lt;7.5,"7.0–7.4",IF(B919&lt;8,"7.5–7.9","8.0+"))))</f>
        <v>7.5–7.9</v>
      </c>
      <c r="Z919" s="3" t="n">
        <f aca="false">IF(T919="","",YEAR(T919))</f>
        <v>1997</v>
      </c>
    </row>
    <row r="920" customFormat="false" ht="13.8" hidden="false" customHeight="false" outlineLevel="0" collapsed="false">
      <c r="A920" s="3" t="s">
        <v>2374</v>
      </c>
      <c r="B920" s="3" t="n">
        <v>6.5</v>
      </c>
      <c r="C920" s="6" t="s">
        <v>2375</v>
      </c>
      <c r="D920" s="3" t="n">
        <v>0</v>
      </c>
      <c r="E920" s="3" t="n">
        <v>5</v>
      </c>
      <c r="F920" s="3"/>
      <c r="G920" s="3" t="n">
        <v>0</v>
      </c>
      <c r="H920" s="3" t="n">
        <v>650</v>
      </c>
      <c r="I920" s="3" t="s">
        <v>22</v>
      </c>
      <c r="J920" s="3" t="n">
        <v>0</v>
      </c>
      <c r="K920" s="3" t="n">
        <v>0</v>
      </c>
      <c r="L920" s="3" t="n">
        <v>0</v>
      </c>
      <c r="M920" s="3" t="s">
        <v>154</v>
      </c>
      <c r="N920" s="3" t="n">
        <v>105.6</v>
      </c>
      <c r="O920" s="3" t="n">
        <v>9.79</v>
      </c>
      <c r="P920" s="3" t="n">
        <v>125.779</v>
      </c>
      <c r="Q920" s="3" t="s">
        <v>1889</v>
      </c>
      <c r="R920" s="3"/>
      <c r="S920" s="3" t="s">
        <v>191</v>
      </c>
      <c r="T920" s="5" t="n">
        <f aca="false">IF(C920="","",DATE(VALUE(MID(C920,7,4)),VALUE(MID(C920,4,2)),VALUE(MID(C920,1,2)))+TIME(VALUE(MID(C920,12,2)),VALUE(MID(C920,15,2)),0))</f>
        <v>35709.5208333333</v>
      </c>
      <c r="U920" s="3" t="str">
        <f aca="false">IFERROR(IF(ISNUMBER(VALUE(TRIM(MID(A920,FIND("-",A920)+1,FIND("km",A920)-FIND("-",A920)-1)))),"Distance + direction + city","Named-region"),"Named-region")</f>
        <v>Distance + direction + city</v>
      </c>
      <c r="V920" s="3" t="str">
        <f aca="false">LOWER(M920)</f>
        <v>mwb</v>
      </c>
      <c r="W920" s="3" t="n">
        <f aca="false">COUNTIFS($A$2:$A$1001,A920,$C$2:$C$1001,C920)</f>
        <v>1</v>
      </c>
      <c r="X920" s="3" t="str">
        <f aca="false">IF(W920&gt;1,"Duplicate","Unique")</f>
        <v>Unique</v>
      </c>
      <c r="Y920" s="3" t="str">
        <f aca="false">IF(B920&lt;6.5,"&lt;6.5",IF(B920&lt;7,"6.5–6.9",IF(B920&lt;7.5,"7.0–7.4",IF(B920&lt;8,"7.5–7.9","8.0+"))))</f>
        <v>6.5–6.9</v>
      </c>
      <c r="Z920" s="3" t="n">
        <f aca="false">IF(T920="","",YEAR(T920))</f>
        <v>1997</v>
      </c>
    </row>
    <row r="921" customFormat="false" ht="13.8" hidden="false" customHeight="false" outlineLevel="0" collapsed="false">
      <c r="A921" s="3" t="s">
        <v>2376</v>
      </c>
      <c r="B921" s="3" t="n">
        <v>6.8</v>
      </c>
      <c r="C921" s="6" t="s">
        <v>2377</v>
      </c>
      <c r="D921" s="3" t="n">
        <v>0</v>
      </c>
      <c r="E921" s="3" t="n">
        <v>5</v>
      </c>
      <c r="F921" s="3"/>
      <c r="G921" s="3" t="n">
        <v>0</v>
      </c>
      <c r="H921" s="3" t="n">
        <v>711</v>
      </c>
      <c r="I921" s="3" t="s">
        <v>22</v>
      </c>
      <c r="J921" s="3" t="n">
        <v>0</v>
      </c>
      <c r="K921" s="3" t="n">
        <v>0</v>
      </c>
      <c r="L921" s="3" t="n">
        <v>0</v>
      </c>
      <c r="M921" s="3" t="s">
        <v>154</v>
      </c>
      <c r="N921" s="3" t="n">
        <v>198.7</v>
      </c>
      <c r="O921" s="3" t="n">
        <v>3.849</v>
      </c>
      <c r="P921" s="3" t="n">
        <v>-75.749</v>
      </c>
      <c r="Q921" s="3" t="s">
        <v>2378</v>
      </c>
      <c r="R921" s="3" t="s">
        <v>33</v>
      </c>
      <c r="S921" s="3" t="s">
        <v>54</v>
      </c>
      <c r="T921" s="5" t="n">
        <f aca="false">IF(C921="","",DATE(VALUE(MID(C921,7,4)),VALUE(MID(C921,4,2)),VALUE(MID(C921,1,2)))+TIME(VALUE(MID(C921,12,2)),VALUE(MID(C921,15,2)),0))</f>
        <v>35675.5090277778</v>
      </c>
      <c r="U921" s="3" t="str">
        <f aca="false">IFERROR(IF(ISNUMBER(VALUE(TRIM(MID(A921,FIND("-",A921)+1,FIND("km",A921)-FIND("-",A921)-1)))),"Distance + direction + city","Named-region"),"Named-region")</f>
        <v>Distance + direction + city</v>
      </c>
      <c r="V921" s="3" t="str">
        <f aca="false">LOWER(M921)</f>
        <v>mwb</v>
      </c>
      <c r="W921" s="3" t="n">
        <f aca="false">COUNTIFS($A$2:$A$1001,A921,$C$2:$C$1001,C921)</f>
        <v>1</v>
      </c>
      <c r="X921" s="3" t="str">
        <f aca="false">IF(W921&gt;1,"Duplicate","Unique")</f>
        <v>Unique</v>
      </c>
      <c r="Y921" s="3" t="str">
        <f aca="false">IF(B921&lt;6.5,"&lt;6.5",IF(B921&lt;7,"6.5–6.9",IF(B921&lt;7.5,"7.0–7.4",IF(B921&lt;8,"7.5–7.9","8.0+"))))</f>
        <v>6.5–6.9</v>
      </c>
      <c r="Z921" s="3" t="n">
        <f aca="false">IF(T921="","",YEAR(T921))</f>
        <v>1997</v>
      </c>
    </row>
    <row r="922" customFormat="false" ht="13.8" hidden="false" customHeight="false" outlineLevel="0" collapsed="false">
      <c r="A922" s="3" t="s">
        <v>2379</v>
      </c>
      <c r="B922" s="3" t="n">
        <v>6.6</v>
      </c>
      <c r="C922" s="3" t="s">
        <v>2380</v>
      </c>
      <c r="D922" s="3" t="n">
        <v>0</v>
      </c>
      <c r="E922" s="3" t="n">
        <v>6</v>
      </c>
      <c r="F922" s="3"/>
      <c r="G922" s="3" t="n">
        <v>0</v>
      </c>
      <c r="H922" s="3" t="n">
        <v>670</v>
      </c>
      <c r="I922" s="3" t="s">
        <v>22</v>
      </c>
      <c r="J922" s="3" t="n">
        <v>0</v>
      </c>
      <c r="K922" s="3" t="n">
        <v>0</v>
      </c>
      <c r="L922" s="3" t="n">
        <v>0</v>
      </c>
      <c r="M922" s="3" t="s">
        <v>127</v>
      </c>
      <c r="N922" s="3" t="n">
        <v>22.8</v>
      </c>
      <c r="O922" s="3" t="n">
        <v>-3.562</v>
      </c>
      <c r="P922" s="3" t="n">
        <v>144.362</v>
      </c>
      <c r="Q922" s="3" t="s">
        <v>663</v>
      </c>
      <c r="R922" s="3"/>
      <c r="S922" s="3" t="s">
        <v>85</v>
      </c>
      <c r="T922" s="5" t="n">
        <f aca="false">IF(C922="","",DATE(VALUE(MID(C922,7,4)),VALUE(MID(C922,4,2)),VALUE(MID(C922,1,2)))+TIME(VALUE(MID(C922,12,2)),VALUE(MID(C922,15,2)),0))</f>
        <v>35671.3430555556</v>
      </c>
      <c r="U922" s="3" t="str">
        <f aca="false">IFERROR(IF(ISNUMBER(VALUE(TRIM(MID(A922,FIND("-",A922)+1,FIND("km",A922)-FIND("-",A922)-1)))),"Distance + direction + city","Named-region"),"Named-region")</f>
        <v>Distance + direction + city</v>
      </c>
      <c r="V922" s="3" t="str">
        <f aca="false">LOWER(M922)</f>
        <v>mwc</v>
      </c>
      <c r="W922" s="3" t="n">
        <f aca="false">COUNTIFS($A$2:$A$1001,A922,$C$2:$C$1001,C922)</f>
        <v>1</v>
      </c>
      <c r="X922" s="3" t="str">
        <f aca="false">IF(W922&gt;1,"Duplicate","Unique")</f>
        <v>Unique</v>
      </c>
      <c r="Y922" s="3" t="str">
        <f aca="false">IF(B922&lt;6.5,"&lt;6.5",IF(B922&lt;7,"6.5–6.9",IF(B922&lt;7.5,"7.0–7.4",IF(B922&lt;8,"7.5–7.9","8.0+"))))</f>
        <v>6.5–6.9</v>
      </c>
      <c r="Z922" s="3" t="n">
        <f aca="false">IF(T922="","",YEAR(T922))</f>
        <v>1997</v>
      </c>
    </row>
    <row r="923" customFormat="false" ht="13.8" hidden="false" customHeight="false" outlineLevel="0" collapsed="false">
      <c r="A923" s="3" t="s">
        <v>2381</v>
      </c>
      <c r="B923" s="3" t="n">
        <v>6.9</v>
      </c>
      <c r="C923" s="3" t="s">
        <v>2382</v>
      </c>
      <c r="D923" s="3" t="n">
        <v>0</v>
      </c>
      <c r="E923" s="3" t="n">
        <v>6</v>
      </c>
      <c r="F923" s="3"/>
      <c r="G923" s="3" t="n">
        <v>0</v>
      </c>
      <c r="H923" s="3" t="n">
        <v>732</v>
      </c>
      <c r="I923" s="3" t="s">
        <v>22</v>
      </c>
      <c r="J923" s="3" t="n">
        <v>0</v>
      </c>
      <c r="K923" s="3" t="n">
        <v>0</v>
      </c>
      <c r="L923" s="3" t="n">
        <v>0</v>
      </c>
      <c r="M923" s="3" t="s">
        <v>154</v>
      </c>
      <c r="N923" s="3" t="n">
        <v>33</v>
      </c>
      <c r="O923" s="3" t="n">
        <v>16.333</v>
      </c>
      <c r="P923" s="3" t="n">
        <v>-98.216</v>
      </c>
      <c r="Q923" s="3" t="s">
        <v>2383</v>
      </c>
      <c r="R923" s="3" t="s">
        <v>164</v>
      </c>
      <c r="S923" s="3" t="s">
        <v>165</v>
      </c>
      <c r="T923" s="5" t="n">
        <f aca="false">IF(C923="","",DATE(VALUE(MID(C923,7,4)),VALUE(MID(C923,4,2)),VALUE(MID(C923,1,2)))+TIME(VALUE(MID(C923,12,2)),VALUE(MID(C923,15,2)),0))</f>
        <v>35630.5986111111</v>
      </c>
      <c r="U923" s="3" t="str">
        <f aca="false">IFERROR(IF(ISNUMBER(VALUE(TRIM(MID(A923,FIND("-",A923)+1,FIND("km",A923)-FIND("-",A923)-1)))),"Distance + direction + city","Named-region"),"Named-region")</f>
        <v>Distance + direction + city</v>
      </c>
      <c r="V923" s="3" t="str">
        <f aca="false">LOWER(M923)</f>
        <v>mwb</v>
      </c>
      <c r="W923" s="3" t="n">
        <f aca="false">COUNTIFS($A$2:$A$1001,A923,$C$2:$C$1001,C923)</f>
        <v>1</v>
      </c>
      <c r="X923" s="3" t="str">
        <f aca="false">IF(W923&gt;1,"Duplicate","Unique")</f>
        <v>Unique</v>
      </c>
      <c r="Y923" s="3" t="str">
        <f aca="false">IF(B923&lt;6.5,"&lt;6.5",IF(B923&lt;7,"6.5–6.9",IF(B923&lt;7.5,"7.0–7.4",IF(B923&lt;8,"7.5–7.9","8.0+"))))</f>
        <v>6.5–6.9</v>
      </c>
      <c r="Z923" s="3" t="n">
        <f aca="false">IF(T923="","",YEAR(T923))</f>
        <v>1997</v>
      </c>
    </row>
    <row r="924" customFormat="false" ht="13.8" hidden="false" customHeight="false" outlineLevel="0" collapsed="false">
      <c r="A924" s="3" t="s">
        <v>2384</v>
      </c>
      <c r="B924" s="3" t="n">
        <v>7</v>
      </c>
      <c r="C924" s="6" t="s">
        <v>2385</v>
      </c>
      <c r="D924" s="3" t="n">
        <v>0</v>
      </c>
      <c r="E924" s="3" t="n">
        <v>8</v>
      </c>
      <c r="F924" s="3"/>
      <c r="G924" s="3" t="n">
        <v>0</v>
      </c>
      <c r="H924" s="3" t="n">
        <v>754</v>
      </c>
      <c r="I924" s="3" t="s">
        <v>22</v>
      </c>
      <c r="J924" s="3" t="n">
        <v>0</v>
      </c>
      <c r="K924" s="3" t="n">
        <v>0</v>
      </c>
      <c r="L924" s="3" t="n">
        <v>0</v>
      </c>
      <c r="M924" s="3" t="s">
        <v>127</v>
      </c>
      <c r="N924" s="3" t="n">
        <v>19.9</v>
      </c>
      <c r="O924" s="3" t="n">
        <v>10.598</v>
      </c>
      <c r="P924" s="3" t="n">
        <v>-63.486</v>
      </c>
      <c r="Q924" s="3" t="s">
        <v>596</v>
      </c>
      <c r="R924" s="3"/>
      <c r="S924" s="3" t="s">
        <v>597</v>
      </c>
      <c r="T924" s="5" t="n">
        <f aca="false">IF(C924="","",DATE(VALUE(MID(C924,7,4)),VALUE(MID(C924,4,2)),VALUE(MID(C924,1,2)))+TIME(VALUE(MID(C924,12,2)),VALUE(MID(C924,15,2)),0))</f>
        <v>35620.8083333333</v>
      </c>
      <c r="U924" s="3" t="str">
        <f aca="false">IFERROR(IF(ISNUMBER(VALUE(TRIM(MID(A924,FIND("-",A924)+1,FIND("km",A924)-FIND("-",A924)-1)))),"Distance + direction + city","Named-region"),"Named-region")</f>
        <v>Distance + direction + city</v>
      </c>
      <c r="V924" s="3" t="str">
        <f aca="false">LOWER(M924)</f>
        <v>mwc</v>
      </c>
      <c r="W924" s="3" t="n">
        <f aca="false">COUNTIFS($A$2:$A$1001,A924,$C$2:$C$1001,C924)</f>
        <v>1</v>
      </c>
      <c r="X924" s="3" t="str">
        <f aca="false">IF(W924&gt;1,"Duplicate","Unique")</f>
        <v>Unique</v>
      </c>
      <c r="Y924" s="3" t="str">
        <f aca="false">IF(B924&lt;6.5,"&lt;6.5",IF(B924&lt;7,"6.5–6.9",IF(B924&lt;7.5,"7.0–7.4",IF(B924&lt;8,"7.5–7.9","8.0+"))))</f>
        <v>7.0–7.4</v>
      </c>
      <c r="Z924" s="3" t="n">
        <f aca="false">IF(T924="","",YEAR(T924))</f>
        <v>1997</v>
      </c>
    </row>
    <row r="925" customFormat="false" ht="13.8" hidden="false" customHeight="false" outlineLevel="0" collapsed="false">
      <c r="A925" s="3" t="s">
        <v>2386</v>
      </c>
      <c r="B925" s="3" t="n">
        <v>6.8</v>
      </c>
      <c r="C925" s="6" t="s">
        <v>2387</v>
      </c>
      <c r="D925" s="3" t="n">
        <v>0</v>
      </c>
      <c r="E925" s="3" t="n">
        <v>6</v>
      </c>
      <c r="F925" s="3"/>
      <c r="G925" s="3" t="n">
        <v>0</v>
      </c>
      <c r="H925" s="3" t="n">
        <v>711</v>
      </c>
      <c r="I925" s="3" t="s">
        <v>22</v>
      </c>
      <c r="J925" s="3" t="n">
        <v>0</v>
      </c>
      <c r="K925" s="3" t="n">
        <v>0</v>
      </c>
      <c r="L925" s="3" t="n">
        <v>0</v>
      </c>
      <c r="M925" s="3" t="s">
        <v>127</v>
      </c>
      <c r="N925" s="3" t="n">
        <v>19</v>
      </c>
      <c r="O925" s="3" t="n">
        <v>-30.058</v>
      </c>
      <c r="P925" s="3" t="n">
        <v>-71.872</v>
      </c>
      <c r="Q925" s="3" t="s">
        <v>523</v>
      </c>
      <c r="R925" s="3"/>
      <c r="S925" s="3"/>
      <c r="T925" s="5" t="n">
        <f aca="false">IF(C925="","",DATE(VALUE(MID(C925,7,4)),VALUE(MID(C925,4,2)),VALUE(MID(C925,1,2)))+TIME(VALUE(MID(C925,12,2)),VALUE(MID(C925,15,2)),0))</f>
        <v>35617.4125</v>
      </c>
      <c r="U925" s="3" t="str">
        <f aca="false">IFERROR(IF(ISNUMBER(VALUE(TRIM(MID(A925,FIND("-",A925)+1,FIND("km",A925)-FIND("-",A925)-1)))),"Distance + direction + city","Named-region"),"Named-region")</f>
        <v>Distance + direction + city</v>
      </c>
      <c r="V925" s="3" t="str">
        <f aca="false">LOWER(M925)</f>
        <v>mwc</v>
      </c>
      <c r="W925" s="3" t="n">
        <f aca="false">COUNTIFS($A$2:$A$1001,A925,$C$2:$C$1001,C925)</f>
        <v>1</v>
      </c>
      <c r="X925" s="3" t="str">
        <f aca="false">IF(W925&gt;1,"Duplicate","Unique")</f>
        <v>Unique</v>
      </c>
      <c r="Y925" s="3" t="str">
        <f aca="false">IF(B925&lt;6.5,"&lt;6.5",IF(B925&lt;7,"6.5–6.9",IF(B925&lt;7.5,"7.0–7.4",IF(B925&lt;8,"7.5–7.9","8.0+"))))</f>
        <v>6.5–6.9</v>
      </c>
      <c r="Z925" s="3" t="n">
        <f aca="false">IF(T925="","",YEAR(T925))</f>
        <v>1997</v>
      </c>
    </row>
    <row r="926" customFormat="false" ht="13.8" hidden="false" customHeight="false" outlineLevel="0" collapsed="false">
      <c r="A926" s="3" t="s">
        <v>2388</v>
      </c>
      <c r="B926" s="3" t="n">
        <v>6.5</v>
      </c>
      <c r="C926" s="3" t="s">
        <v>2389</v>
      </c>
      <c r="D926" s="3" t="n">
        <v>0</v>
      </c>
      <c r="E926" s="3" t="n">
        <v>6</v>
      </c>
      <c r="F926" s="3"/>
      <c r="G926" s="3" t="n">
        <v>0</v>
      </c>
      <c r="H926" s="3" t="n">
        <v>650</v>
      </c>
      <c r="I926" s="3" t="s">
        <v>22</v>
      </c>
      <c r="J926" s="3" t="n">
        <v>0</v>
      </c>
      <c r="K926" s="3" t="n">
        <v>0</v>
      </c>
      <c r="L926" s="3" t="n">
        <v>0</v>
      </c>
      <c r="M926" s="3" t="s">
        <v>127</v>
      </c>
      <c r="N926" s="3" t="n">
        <v>70</v>
      </c>
      <c r="O926" s="3" t="n">
        <v>18.684</v>
      </c>
      <c r="P926" s="3" t="n">
        <v>-101.604</v>
      </c>
      <c r="Q926" s="3" t="s">
        <v>2390</v>
      </c>
      <c r="R926" s="3" t="s">
        <v>164</v>
      </c>
      <c r="S926" s="3" t="s">
        <v>165</v>
      </c>
      <c r="T926" s="5" t="n">
        <f aca="false">IF(C926="","",DATE(VALUE(MID(C926,7,4)),VALUE(MID(C926,4,2)),VALUE(MID(C926,1,2)))+TIME(VALUE(MID(C926,12,2)),VALUE(MID(C926,15,2)),0))</f>
        <v>35572.3263888889</v>
      </c>
      <c r="U926" s="3" t="str">
        <f aca="false">IFERROR(IF(ISNUMBER(VALUE(TRIM(MID(A926,FIND("-",A926)+1,FIND("km",A926)-FIND("-",A926)-1)))),"Distance + direction + city","Named-region"),"Named-region")</f>
        <v>Distance + direction + city</v>
      </c>
      <c r="V926" s="3" t="str">
        <f aca="false">LOWER(M926)</f>
        <v>mwc</v>
      </c>
      <c r="W926" s="3" t="n">
        <f aca="false">COUNTIFS($A$2:$A$1001,A926,$C$2:$C$1001,C926)</f>
        <v>1</v>
      </c>
      <c r="X926" s="3" t="str">
        <f aca="false">IF(W926&gt;1,"Duplicate","Unique")</f>
        <v>Unique</v>
      </c>
      <c r="Y926" s="3" t="str">
        <f aca="false">IF(B926&lt;6.5,"&lt;6.5",IF(B926&lt;7,"6.5–6.9",IF(B926&lt;7.5,"7.0–7.4",IF(B926&lt;8,"7.5–7.9","8.0+"))))</f>
        <v>6.5–6.9</v>
      </c>
      <c r="Z926" s="3" t="n">
        <f aca="false">IF(T926="","",YEAR(T926))</f>
        <v>1997</v>
      </c>
    </row>
    <row r="927" customFormat="false" ht="13.8" hidden="false" customHeight="false" outlineLevel="0" collapsed="false">
      <c r="A927" s="3" t="s">
        <v>2391</v>
      </c>
      <c r="B927" s="3" t="n">
        <v>6.8</v>
      </c>
      <c r="C927" s="3" t="s">
        <v>2392</v>
      </c>
      <c r="D927" s="3" t="n">
        <v>0</v>
      </c>
      <c r="E927" s="3" t="n">
        <v>6</v>
      </c>
      <c r="F927" s="3"/>
      <c r="G927" s="3" t="n">
        <v>0</v>
      </c>
      <c r="H927" s="3" t="n">
        <v>711</v>
      </c>
      <c r="I927" s="3" t="s">
        <v>22</v>
      </c>
      <c r="J927" s="3" t="n">
        <v>0</v>
      </c>
      <c r="K927" s="3" t="n">
        <v>0</v>
      </c>
      <c r="L927" s="3" t="n">
        <v>0</v>
      </c>
      <c r="M927" s="3" t="s">
        <v>127</v>
      </c>
      <c r="N927" s="3" t="n">
        <v>57</v>
      </c>
      <c r="O927" s="3" t="n">
        <v>-20.438</v>
      </c>
      <c r="P927" s="3" t="n">
        <v>169.287</v>
      </c>
      <c r="Q927" s="3" t="s">
        <v>177</v>
      </c>
      <c r="R927" s="3"/>
      <c r="S927" s="3"/>
      <c r="T927" s="5" t="n">
        <f aca="false">IF(C927="","",DATE(VALUE(MID(C927,7,4)),VALUE(MID(C927,4,2)),VALUE(MID(C927,1,2)))+TIME(VALUE(MID(C927,12,2)),VALUE(MID(C927,15,2)),0))</f>
        <v>35571.5902777778</v>
      </c>
      <c r="U927" s="3" t="str">
        <f aca="false">IFERROR(IF(ISNUMBER(VALUE(TRIM(MID(A927,FIND("-",A927)+1,FIND("km",A927)-FIND("-",A927)-1)))),"Distance + direction + city","Named-region"),"Named-region")</f>
        <v>Distance + direction + city</v>
      </c>
      <c r="V927" s="3" t="str">
        <f aca="false">LOWER(M927)</f>
        <v>mwc</v>
      </c>
      <c r="W927" s="3" t="n">
        <f aca="false">COUNTIFS($A$2:$A$1001,A927,$C$2:$C$1001,C927)</f>
        <v>1</v>
      </c>
      <c r="X927" s="3" t="str">
        <f aca="false">IF(W927&gt;1,"Duplicate","Unique")</f>
        <v>Unique</v>
      </c>
      <c r="Y927" s="3" t="str">
        <f aca="false">IF(B927&lt;6.5,"&lt;6.5",IF(B927&lt;7,"6.5–6.9",IF(B927&lt;7.5,"7.0–7.4",IF(B927&lt;8,"7.5–7.9","8.0+"))))</f>
        <v>6.5–6.9</v>
      </c>
      <c r="Z927" s="3" t="n">
        <f aca="false">IF(T927="","",YEAR(T927))</f>
        <v>1997</v>
      </c>
    </row>
    <row r="928" customFormat="false" ht="13.8" hidden="false" customHeight="false" outlineLevel="0" collapsed="false">
      <c r="A928" s="3" t="s">
        <v>2393</v>
      </c>
      <c r="B928" s="3" t="n">
        <v>6.5</v>
      </c>
      <c r="C928" s="3" t="s">
        <v>2394</v>
      </c>
      <c r="D928" s="3" t="n">
        <v>0</v>
      </c>
      <c r="E928" s="3" t="n">
        <v>4</v>
      </c>
      <c r="F928" s="3"/>
      <c r="G928" s="3" t="n">
        <v>0</v>
      </c>
      <c r="H928" s="3" t="n">
        <v>650</v>
      </c>
      <c r="I928" s="3" t="s">
        <v>22</v>
      </c>
      <c r="J928" s="3" t="n">
        <v>0</v>
      </c>
      <c r="K928" s="3" t="n">
        <v>0</v>
      </c>
      <c r="L928" s="3" t="n">
        <v>0</v>
      </c>
      <c r="M928" s="3" t="s">
        <v>154</v>
      </c>
      <c r="N928" s="3" t="n">
        <v>196</v>
      </c>
      <c r="O928" s="3" t="n">
        <v>36.411</v>
      </c>
      <c r="P928" s="3" t="n">
        <v>70.945</v>
      </c>
      <c r="Q928" s="3" t="s">
        <v>91</v>
      </c>
      <c r="R928" s="3" t="s">
        <v>80</v>
      </c>
      <c r="S928" s="3" t="s">
        <v>92</v>
      </c>
      <c r="T928" s="5" t="n">
        <f aca="false">IF(C928="","",DATE(VALUE(MID(C928,7,4)),VALUE(MID(C928,4,2)),VALUE(MID(C928,1,2)))+TIME(VALUE(MID(C928,12,2)),VALUE(MID(C928,15,2)),0))</f>
        <v>35563.5923611111</v>
      </c>
      <c r="U928" s="3" t="str">
        <f aca="false">IFERROR(IF(ISNUMBER(VALUE(TRIM(MID(A928,FIND("-",A928)+1,FIND("km",A928)-FIND("-",A928)-1)))),"Distance + direction + city","Named-region"),"Named-region")</f>
        <v>Distance + direction + city</v>
      </c>
      <c r="V928" s="3" t="str">
        <f aca="false">LOWER(M928)</f>
        <v>mwb</v>
      </c>
      <c r="W928" s="3" t="n">
        <f aca="false">COUNTIFS($A$2:$A$1001,A928,$C$2:$C$1001,C928)</f>
        <v>1</v>
      </c>
      <c r="X928" s="3" t="str">
        <f aca="false">IF(W928&gt;1,"Duplicate","Unique")</f>
        <v>Unique</v>
      </c>
      <c r="Y928" s="3" t="str">
        <f aca="false">IF(B928&lt;6.5,"&lt;6.5",IF(B928&lt;7,"6.5–6.9",IF(B928&lt;7.5,"7.0–7.4",IF(B928&lt;8,"7.5–7.9","8.0+"))))</f>
        <v>6.5–6.9</v>
      </c>
      <c r="Z928" s="3" t="n">
        <f aca="false">IF(T928="","",YEAR(T928))</f>
        <v>1997</v>
      </c>
    </row>
    <row r="929" customFormat="false" ht="13.8" hidden="false" customHeight="false" outlineLevel="0" collapsed="false">
      <c r="A929" s="3" t="s">
        <v>2395</v>
      </c>
      <c r="B929" s="3" t="n">
        <v>7.3</v>
      </c>
      <c r="C929" s="6" t="s">
        <v>2396</v>
      </c>
      <c r="D929" s="3" t="n">
        <v>0</v>
      </c>
      <c r="E929" s="3" t="n">
        <v>9</v>
      </c>
      <c r="F929" s="3"/>
      <c r="G929" s="3" t="n">
        <v>0</v>
      </c>
      <c r="H929" s="3" t="n">
        <v>820</v>
      </c>
      <c r="I929" s="3" t="s">
        <v>22</v>
      </c>
      <c r="J929" s="3" t="n">
        <v>0</v>
      </c>
      <c r="K929" s="3" t="n">
        <v>0</v>
      </c>
      <c r="L929" s="3" t="n">
        <v>0</v>
      </c>
      <c r="M929" s="3" t="s">
        <v>154</v>
      </c>
      <c r="N929" s="3" t="n">
        <v>10</v>
      </c>
      <c r="O929" s="3" t="n">
        <v>33.825</v>
      </c>
      <c r="P929" s="3" t="n">
        <v>59.809</v>
      </c>
      <c r="Q929" s="3" t="s">
        <v>2397</v>
      </c>
      <c r="R929" s="3" t="s">
        <v>80</v>
      </c>
      <c r="S929" s="3" t="s">
        <v>660</v>
      </c>
      <c r="T929" s="5" t="n">
        <f aca="false">IF(C929="","",DATE(VALUE(MID(C929,7,4)),VALUE(MID(C929,4,2)),VALUE(MID(C929,1,2)))+TIME(VALUE(MID(C929,12,2)),VALUE(MID(C929,15,2)),0))</f>
        <v>35560.33125</v>
      </c>
      <c r="U929" s="3" t="str">
        <f aca="false">IFERROR(IF(ISNUMBER(VALUE(TRIM(MID(A929,FIND("-",A929)+1,FIND("km",A929)-FIND("-",A929)-1)))),"Distance + direction + city","Named-region"),"Named-region")</f>
        <v>Distance + direction + city</v>
      </c>
      <c r="V929" s="3" t="str">
        <f aca="false">LOWER(M929)</f>
        <v>mwb</v>
      </c>
      <c r="W929" s="3" t="n">
        <f aca="false">COUNTIFS($A$2:$A$1001,A929,$C$2:$C$1001,C929)</f>
        <v>1</v>
      </c>
      <c r="X929" s="3" t="str">
        <f aca="false">IF(W929&gt;1,"Duplicate","Unique")</f>
        <v>Unique</v>
      </c>
      <c r="Y929" s="3" t="str">
        <f aca="false">IF(B929&lt;6.5,"&lt;6.5",IF(B929&lt;7,"6.5–6.9",IF(B929&lt;7.5,"7.0–7.4",IF(B929&lt;8,"7.5–7.9","8.0+"))))</f>
        <v>7.0–7.4</v>
      </c>
      <c r="Z929" s="3" t="n">
        <f aca="false">IF(T929="","",YEAR(T929))</f>
        <v>1997</v>
      </c>
    </row>
    <row r="930" customFormat="false" ht="13.8" hidden="false" customHeight="false" outlineLevel="0" collapsed="false">
      <c r="A930" s="3" t="s">
        <v>2398</v>
      </c>
      <c r="B930" s="3" t="n">
        <v>6.5</v>
      </c>
      <c r="C930" s="3" t="s">
        <v>2399</v>
      </c>
      <c r="D930" s="3" t="n">
        <v>0</v>
      </c>
      <c r="E930" s="3" t="n">
        <v>6</v>
      </c>
      <c r="F930" s="3"/>
      <c r="G930" s="3" t="n">
        <v>0</v>
      </c>
      <c r="H930" s="3" t="n">
        <v>650</v>
      </c>
      <c r="I930" s="3" t="s">
        <v>22</v>
      </c>
      <c r="J930" s="3" t="n">
        <v>0</v>
      </c>
      <c r="K930" s="3" t="n">
        <v>0</v>
      </c>
      <c r="L930" s="3" t="n">
        <v>0</v>
      </c>
      <c r="M930" s="3" t="s">
        <v>127</v>
      </c>
      <c r="N930" s="3" t="n">
        <v>100.8</v>
      </c>
      <c r="O930" s="3" t="n">
        <v>13.986</v>
      </c>
      <c r="P930" s="3" t="n">
        <v>144.901</v>
      </c>
      <c r="Q930" s="3" t="s">
        <v>2400</v>
      </c>
      <c r="R930" s="3"/>
      <c r="S930" s="3"/>
      <c r="T930" s="5" t="n">
        <f aca="false">IF(C930="","",DATE(VALUE(MID(C930,7,4)),VALUE(MID(C930,4,2)),VALUE(MID(C930,1,2)))+TIME(VALUE(MID(C930,12,2)),VALUE(MID(C930,15,2)),0))</f>
        <v>35543.8222222222</v>
      </c>
      <c r="U930" s="3" t="str">
        <f aca="false">IFERROR(IF(ISNUMBER(VALUE(TRIM(MID(A930,FIND("-",A930)+1,FIND("km",A930)-FIND("-",A930)-1)))),"Distance + direction + city","Named-region"),"Named-region")</f>
        <v>Distance + direction + city</v>
      </c>
      <c r="V930" s="3" t="str">
        <f aca="false">LOWER(M930)</f>
        <v>mwc</v>
      </c>
      <c r="W930" s="3" t="n">
        <f aca="false">COUNTIFS($A$2:$A$1001,A930,$C$2:$C$1001,C930)</f>
        <v>1</v>
      </c>
      <c r="X930" s="3" t="str">
        <f aca="false">IF(W930&gt;1,"Duplicate","Unique")</f>
        <v>Unique</v>
      </c>
      <c r="Y930" s="3" t="str">
        <f aca="false">IF(B930&lt;6.5,"&lt;6.5",IF(B930&lt;7,"6.5–6.9",IF(B930&lt;7.5,"7.0–7.4",IF(B930&lt;8,"7.5–7.9","8.0+"))))</f>
        <v>6.5–6.9</v>
      </c>
      <c r="Z930" s="3" t="n">
        <f aca="false">IF(T930="","",YEAR(T930))</f>
        <v>1997</v>
      </c>
    </row>
    <row r="931" customFormat="false" ht="13.8" hidden="false" customHeight="false" outlineLevel="0" collapsed="false">
      <c r="A931" s="3" t="s">
        <v>2401</v>
      </c>
      <c r="B931" s="3" t="n">
        <v>6.7</v>
      </c>
      <c r="C931" s="3" t="s">
        <v>2402</v>
      </c>
      <c r="D931" s="3" t="n">
        <v>0</v>
      </c>
      <c r="E931" s="3" t="n">
        <v>7</v>
      </c>
      <c r="F931" s="3"/>
      <c r="G931" s="3" t="n">
        <v>0</v>
      </c>
      <c r="H931" s="3" t="n">
        <v>691</v>
      </c>
      <c r="I931" s="3" t="s">
        <v>22</v>
      </c>
      <c r="J931" s="3" t="n">
        <v>0</v>
      </c>
      <c r="K931" s="3" t="n">
        <v>0</v>
      </c>
      <c r="L931" s="3" t="n">
        <v>0</v>
      </c>
      <c r="M931" s="3" t="s">
        <v>154</v>
      </c>
      <c r="N931" s="3" t="n">
        <v>5</v>
      </c>
      <c r="O931" s="3" t="n">
        <v>11.112</v>
      </c>
      <c r="P931" s="3" t="n">
        <v>-60.892</v>
      </c>
      <c r="Q931" s="3" t="s">
        <v>2403</v>
      </c>
      <c r="R931" s="3"/>
      <c r="S931" s="3" t="s">
        <v>2404</v>
      </c>
      <c r="T931" s="5" t="n">
        <f aca="false">IF(C931="","",DATE(VALUE(MID(C931,7,4)),VALUE(MID(C931,4,2)),VALUE(MID(C931,1,2)))+TIME(VALUE(MID(C931,12,2)),VALUE(MID(C931,15,2)),0))</f>
        <v>35542.3965277778</v>
      </c>
      <c r="U931" s="3" t="str">
        <f aca="false">IFERROR(IF(ISNUMBER(VALUE(TRIM(MID(A931,FIND("-",A931)+1,FIND("km",A931)-FIND("-",A931)-1)))),"Distance + direction + city","Named-region"),"Named-region")</f>
        <v>Distance + direction + city</v>
      </c>
      <c r="V931" s="3" t="str">
        <f aca="false">LOWER(M931)</f>
        <v>mwb</v>
      </c>
      <c r="W931" s="3" t="n">
        <f aca="false">COUNTIFS($A$2:$A$1001,A931,$C$2:$C$1001,C931)</f>
        <v>1</v>
      </c>
      <c r="X931" s="3" t="str">
        <f aca="false">IF(W931&gt;1,"Duplicate","Unique")</f>
        <v>Unique</v>
      </c>
      <c r="Y931" s="3" t="str">
        <f aca="false">IF(B931&lt;6.5,"&lt;6.5",IF(B931&lt;7,"6.5–6.9",IF(B931&lt;7.5,"7.0–7.4",IF(B931&lt;8,"7.5–7.9","8.0+"))))</f>
        <v>6.5–6.9</v>
      </c>
      <c r="Z931" s="3" t="n">
        <f aca="false">IF(T931="","",YEAR(T931))</f>
        <v>1997</v>
      </c>
    </row>
    <row r="932" customFormat="false" ht="13.8" hidden="false" customHeight="false" outlineLevel="0" collapsed="false">
      <c r="A932" s="3" t="s">
        <v>2405</v>
      </c>
      <c r="B932" s="3" t="n">
        <v>7.7</v>
      </c>
      <c r="C932" s="3" t="s">
        <v>2406</v>
      </c>
      <c r="D932" s="3" t="n">
        <v>0</v>
      </c>
      <c r="E932" s="3" t="n">
        <v>6</v>
      </c>
      <c r="F932" s="3"/>
      <c r="G932" s="3" t="n">
        <v>0</v>
      </c>
      <c r="H932" s="3" t="n">
        <v>912</v>
      </c>
      <c r="I932" s="3" t="s">
        <v>22</v>
      </c>
      <c r="J932" s="3" t="n">
        <v>0</v>
      </c>
      <c r="K932" s="3" t="n">
        <v>0</v>
      </c>
      <c r="L932" s="3" t="n">
        <v>0</v>
      </c>
      <c r="M932" s="3" t="s">
        <v>127</v>
      </c>
      <c r="N932" s="3" t="n">
        <v>33</v>
      </c>
      <c r="O932" s="3" t="n">
        <v>-12.584</v>
      </c>
      <c r="P932" s="3" t="n">
        <v>166.676</v>
      </c>
      <c r="Q932" s="3" t="s">
        <v>24</v>
      </c>
      <c r="R932" s="3"/>
      <c r="S932" s="3"/>
      <c r="T932" s="5" t="n">
        <f aca="false">IF(C932="","",DATE(VALUE(MID(C932,7,4)),VALUE(MID(C932,4,2)),VALUE(MID(C932,1,2)))+TIME(VALUE(MID(C932,12,2)),VALUE(MID(C932,15,2)),0))</f>
        <v>35541.5013888889</v>
      </c>
      <c r="U932" s="3" t="str">
        <f aca="false">IFERROR(IF(ISNUMBER(VALUE(TRIM(MID(A932,FIND("-",A932)+1,FIND("km",A932)-FIND("-",A932)-1)))),"Distance + direction + city","Named-region"),"Named-region")</f>
        <v>Distance + direction + city</v>
      </c>
      <c r="V932" s="3" t="str">
        <f aca="false">LOWER(M932)</f>
        <v>mwc</v>
      </c>
      <c r="W932" s="3" t="n">
        <f aca="false">COUNTIFS($A$2:$A$1001,A932,$C$2:$C$1001,C932)</f>
        <v>1</v>
      </c>
      <c r="X932" s="3" t="str">
        <f aca="false">IF(W932&gt;1,"Duplicate","Unique")</f>
        <v>Unique</v>
      </c>
      <c r="Y932" s="3" t="str">
        <f aca="false">IF(B932&lt;6.5,"&lt;6.5",IF(B932&lt;7,"6.5–6.9",IF(B932&lt;7.5,"7.0–7.4",IF(B932&lt;8,"7.5–7.9","8.0+"))))</f>
        <v>7.5–7.9</v>
      </c>
      <c r="Z932" s="3" t="n">
        <f aca="false">IF(T932="","",YEAR(T932))</f>
        <v>1997</v>
      </c>
    </row>
    <row r="933" customFormat="false" ht="13.8" hidden="false" customHeight="false" outlineLevel="0" collapsed="false">
      <c r="A933" s="3" t="s">
        <v>2407</v>
      </c>
      <c r="B933" s="3" t="n">
        <v>6.5</v>
      </c>
      <c r="C933" s="6" t="s">
        <v>2408</v>
      </c>
      <c r="D933" s="3" t="n">
        <v>0</v>
      </c>
      <c r="E933" s="3" t="n">
        <v>6</v>
      </c>
      <c r="F933" s="3"/>
      <c r="G933" s="3" t="n">
        <v>0</v>
      </c>
      <c r="H933" s="3" t="n">
        <v>650</v>
      </c>
      <c r="I933" s="3" t="s">
        <v>22</v>
      </c>
      <c r="J933" s="3" t="n">
        <v>0</v>
      </c>
      <c r="K933" s="3" t="n">
        <v>0</v>
      </c>
      <c r="L933" s="3" t="n">
        <v>0</v>
      </c>
      <c r="M933" s="3" t="s">
        <v>127</v>
      </c>
      <c r="N933" s="3" t="n">
        <v>69.1</v>
      </c>
      <c r="O933" s="3" t="n">
        <v>-6.485</v>
      </c>
      <c r="P933" s="3" t="n">
        <v>147.408</v>
      </c>
      <c r="Q933" s="3" t="s">
        <v>1011</v>
      </c>
      <c r="R933" s="3"/>
      <c r="S933" s="3" t="s">
        <v>85</v>
      </c>
      <c r="T933" s="5" t="n">
        <f aca="false">IF(C933="","",DATE(VALUE(MID(C933,7,4)),VALUE(MID(C933,4,2)),VALUE(MID(C933,1,2)))+TIME(VALUE(MID(C933,12,2)),VALUE(MID(C933,15,2)),0))</f>
        <v>35525.5159722222</v>
      </c>
      <c r="U933" s="3" t="str">
        <f aca="false">IFERROR(IF(ISNUMBER(VALUE(TRIM(MID(A933,FIND("-",A933)+1,FIND("km",A933)-FIND("-",A933)-1)))),"Distance + direction + city","Named-region"),"Named-region")</f>
        <v>Distance + direction + city</v>
      </c>
      <c r="V933" s="3" t="str">
        <f aca="false">LOWER(M933)</f>
        <v>mwc</v>
      </c>
      <c r="W933" s="3" t="n">
        <f aca="false">COUNTIFS($A$2:$A$1001,A933,$C$2:$C$1001,C933)</f>
        <v>1</v>
      </c>
      <c r="X933" s="3" t="str">
        <f aca="false">IF(W933&gt;1,"Duplicate","Unique")</f>
        <v>Unique</v>
      </c>
      <c r="Y933" s="3" t="str">
        <f aca="false">IF(B933&lt;6.5,"&lt;6.5",IF(B933&lt;7,"6.5–6.9",IF(B933&lt;7.5,"7.0–7.4",IF(B933&lt;8,"7.5–7.9","8.0+"))))</f>
        <v>6.5–6.9</v>
      </c>
      <c r="Z933" s="3" t="n">
        <f aca="false">IF(T933="","",YEAR(T933))</f>
        <v>1997</v>
      </c>
    </row>
    <row r="934" customFormat="false" ht="13.8" hidden="false" customHeight="false" outlineLevel="0" collapsed="false">
      <c r="A934" s="3" t="s">
        <v>2409</v>
      </c>
      <c r="B934" s="3" t="n">
        <v>6.9</v>
      </c>
      <c r="C934" s="6" t="s">
        <v>2410</v>
      </c>
      <c r="D934" s="3" t="n">
        <v>0</v>
      </c>
      <c r="E934" s="3" t="n">
        <v>5</v>
      </c>
      <c r="F934" s="3"/>
      <c r="G934" s="3" t="n">
        <v>0</v>
      </c>
      <c r="H934" s="3" t="n">
        <v>732</v>
      </c>
      <c r="I934" s="3" t="s">
        <v>22</v>
      </c>
      <c r="J934" s="3" t="n">
        <v>0</v>
      </c>
      <c r="K934" s="3" t="n">
        <v>0</v>
      </c>
      <c r="L934" s="3" t="n">
        <v>0</v>
      </c>
      <c r="M934" s="3" t="s">
        <v>154</v>
      </c>
      <c r="N934" s="3" t="n">
        <v>10</v>
      </c>
      <c r="O934" s="3" t="n">
        <v>7.742</v>
      </c>
      <c r="P934" s="3" t="n">
        <v>127.647</v>
      </c>
      <c r="Q934" s="3" t="s">
        <v>2411</v>
      </c>
      <c r="R934" s="3"/>
      <c r="S934" s="3"/>
      <c r="T934" s="5" t="n">
        <f aca="false">IF(C934="","",DATE(VALUE(MID(C934,7,4)),VALUE(MID(C934,4,2)),VALUE(MID(C934,1,2)))+TIME(VALUE(MID(C934,12,2)),VALUE(MID(C934,15,2)),0))</f>
        <v>35500.8069444444</v>
      </c>
      <c r="U934" s="3" t="str">
        <f aca="false">IFERROR(IF(ISNUMBER(VALUE(TRIM(MID(A934,FIND("-",A934)+1,FIND("km",A934)-FIND("-",A934)-1)))),"Distance + direction + city","Named-region"),"Named-region")</f>
        <v>Distance + direction + city</v>
      </c>
      <c r="V934" s="3" t="str">
        <f aca="false">LOWER(M934)</f>
        <v>mwb</v>
      </c>
      <c r="W934" s="3" t="n">
        <f aca="false">COUNTIFS($A$2:$A$1001,A934,$C$2:$C$1001,C934)</f>
        <v>1</v>
      </c>
      <c r="X934" s="3" t="str">
        <f aca="false">IF(W934&gt;1,"Duplicate","Unique")</f>
        <v>Unique</v>
      </c>
      <c r="Y934" s="3" t="str">
        <f aca="false">IF(B934&lt;6.5,"&lt;6.5",IF(B934&lt;7,"6.5–6.9",IF(B934&lt;7.5,"7.0–7.4",IF(B934&lt;8,"7.5–7.9","8.0+"))))</f>
        <v>6.5–6.9</v>
      </c>
      <c r="Z934" s="3" t="n">
        <f aca="false">IF(T934="","",YEAR(T934))</f>
        <v>1997</v>
      </c>
    </row>
    <row r="935" customFormat="false" ht="13.8" hidden="false" customHeight="false" outlineLevel="0" collapsed="false">
      <c r="A935" s="3" t="s">
        <v>2412</v>
      </c>
      <c r="B935" s="3" t="n">
        <v>7.1</v>
      </c>
      <c r="C935" s="3" t="s">
        <v>2413</v>
      </c>
      <c r="D935" s="3" t="n">
        <v>0</v>
      </c>
      <c r="E935" s="3" t="n">
        <v>6</v>
      </c>
      <c r="F935" s="3"/>
      <c r="G935" s="3" t="n">
        <v>0</v>
      </c>
      <c r="H935" s="3" t="n">
        <v>776</v>
      </c>
      <c r="I935" s="3" t="s">
        <v>22</v>
      </c>
      <c r="J935" s="3" t="n">
        <v>0</v>
      </c>
      <c r="K935" s="3" t="n">
        <v>0</v>
      </c>
      <c r="L935" s="3" t="n">
        <v>0</v>
      </c>
      <c r="M935" s="3" t="s">
        <v>127</v>
      </c>
      <c r="N935" s="3" t="n">
        <v>33</v>
      </c>
      <c r="O935" s="3" t="n">
        <v>29.976</v>
      </c>
      <c r="P935" s="3" t="n">
        <v>68.208</v>
      </c>
      <c r="Q935" s="3" t="s">
        <v>2414</v>
      </c>
      <c r="R935" s="3" t="s">
        <v>80</v>
      </c>
      <c r="S935" s="3" t="s">
        <v>1134</v>
      </c>
      <c r="T935" s="5" t="n">
        <f aca="false">IF(C935="","",DATE(VALUE(MID(C935,7,4)),VALUE(MID(C935,4,2)),VALUE(MID(C935,1,2)))+TIME(VALUE(MID(C935,12,2)),VALUE(MID(C935,15,2)),0))</f>
        <v>35488.8805555556</v>
      </c>
      <c r="U935" s="3" t="str">
        <f aca="false">IFERROR(IF(ISNUMBER(VALUE(TRIM(MID(A935,FIND("-",A935)+1,FIND("km",A935)-FIND("-",A935)-1)))),"Distance + direction + city","Named-region"),"Named-region")</f>
        <v>Distance + direction + city</v>
      </c>
      <c r="V935" s="3" t="str">
        <f aca="false">LOWER(M935)</f>
        <v>mwc</v>
      </c>
      <c r="W935" s="3" t="n">
        <f aca="false">COUNTIFS($A$2:$A$1001,A935,$C$2:$C$1001,C935)</f>
        <v>1</v>
      </c>
      <c r="X935" s="3" t="str">
        <f aca="false">IF(W935&gt;1,"Duplicate","Unique")</f>
        <v>Unique</v>
      </c>
      <c r="Y935" s="3" t="str">
        <f aca="false">IF(B935&lt;6.5,"&lt;6.5",IF(B935&lt;7,"6.5–6.9",IF(B935&lt;7.5,"7.0–7.4",IF(B935&lt;8,"7.5–7.9","8.0+"))))</f>
        <v>7.0–7.4</v>
      </c>
      <c r="Z935" s="3" t="n">
        <f aca="false">IF(T935="","",YEAR(T935))</f>
        <v>1997</v>
      </c>
    </row>
    <row r="936" customFormat="false" ht="13.8" hidden="false" customHeight="false" outlineLevel="0" collapsed="false">
      <c r="A936" s="3" t="s">
        <v>2415</v>
      </c>
      <c r="B936" s="3" t="n">
        <v>6.5</v>
      </c>
      <c r="C936" s="6" t="s">
        <v>2416</v>
      </c>
      <c r="D936" s="3" t="n">
        <v>0</v>
      </c>
      <c r="E936" s="3" t="n">
        <v>8</v>
      </c>
      <c r="F936" s="3"/>
      <c r="G936" s="3" t="n">
        <v>0</v>
      </c>
      <c r="H936" s="3" t="n">
        <v>650</v>
      </c>
      <c r="I936" s="3" t="s">
        <v>22</v>
      </c>
      <c r="J936" s="3" t="n">
        <v>0</v>
      </c>
      <c r="K936" s="3" t="n">
        <v>0</v>
      </c>
      <c r="L936" s="3" t="n">
        <v>0</v>
      </c>
      <c r="M936" s="3" t="s">
        <v>127</v>
      </c>
      <c r="N936" s="3" t="n">
        <v>10</v>
      </c>
      <c r="O936" s="3" t="n">
        <v>37.661</v>
      </c>
      <c r="P936" s="3" t="n">
        <v>57.291</v>
      </c>
      <c r="Q936" s="3" t="s">
        <v>2417</v>
      </c>
      <c r="R936" s="3" t="s">
        <v>80</v>
      </c>
      <c r="S936" s="3" t="s">
        <v>660</v>
      </c>
      <c r="T936" s="5" t="n">
        <f aca="false">IF(C936="","",DATE(VALUE(MID(C936,7,4)),VALUE(MID(C936,4,2)),VALUE(MID(C936,1,2)))+TIME(VALUE(MID(C936,12,2)),VALUE(MID(C936,15,2)),0))</f>
        <v>35465.4423611111</v>
      </c>
      <c r="U936" s="3" t="str">
        <f aca="false">IFERROR(IF(ISNUMBER(VALUE(TRIM(MID(A936,FIND("-",A936)+1,FIND("km",A936)-FIND("-",A936)-1)))),"Distance + direction + city","Named-region"),"Named-region")</f>
        <v>Named-region</v>
      </c>
      <c r="V936" s="3" t="str">
        <f aca="false">LOWER(M936)</f>
        <v>mwc</v>
      </c>
      <c r="W936" s="3" t="n">
        <f aca="false">COUNTIFS($A$2:$A$1001,A936,$C$2:$C$1001,C936)</f>
        <v>1</v>
      </c>
      <c r="X936" s="3" t="str">
        <f aca="false">IF(W936&gt;1,"Duplicate","Unique")</f>
        <v>Unique</v>
      </c>
      <c r="Y936" s="3" t="str">
        <f aca="false">IF(B936&lt;6.5,"&lt;6.5",IF(B936&lt;7,"6.5–6.9",IF(B936&lt;7.5,"7.0–7.4",IF(B936&lt;8,"7.5–7.9","8.0+"))))</f>
        <v>6.5–6.9</v>
      </c>
      <c r="Z936" s="3" t="n">
        <f aca="false">IF(T936="","",YEAR(T936))</f>
        <v>1997</v>
      </c>
    </row>
    <row r="937" customFormat="false" ht="13.8" hidden="false" customHeight="false" outlineLevel="0" collapsed="false">
      <c r="A937" s="3" t="s">
        <v>2418</v>
      </c>
      <c r="B937" s="3" t="n">
        <v>7.2</v>
      </c>
      <c r="C937" s="6" t="s">
        <v>2419</v>
      </c>
      <c r="D937" s="3" t="n">
        <v>0</v>
      </c>
      <c r="E937" s="3" t="n">
        <v>7</v>
      </c>
      <c r="F937" s="3"/>
      <c r="G937" s="3" t="n">
        <v>0</v>
      </c>
      <c r="H937" s="3" t="n">
        <v>798</v>
      </c>
      <c r="I937" s="3" t="s">
        <v>22</v>
      </c>
      <c r="J937" s="3" t="n">
        <v>0</v>
      </c>
      <c r="K937" s="3" t="n">
        <v>0</v>
      </c>
      <c r="L937" s="3" t="n">
        <v>0</v>
      </c>
      <c r="M937" s="3" t="s">
        <v>154</v>
      </c>
      <c r="N937" s="3" t="n">
        <v>33</v>
      </c>
      <c r="O937" s="3" t="n">
        <v>18.219</v>
      </c>
      <c r="P937" s="3" t="n">
        <v>-102.756</v>
      </c>
      <c r="Q937" s="3" t="s">
        <v>1287</v>
      </c>
      <c r="R937" s="3" t="s">
        <v>164</v>
      </c>
      <c r="S937" s="3" t="s">
        <v>165</v>
      </c>
      <c r="T937" s="5" t="n">
        <f aca="false">IF(C937="","",DATE(VALUE(MID(C937,7,4)),VALUE(MID(C937,4,2)),VALUE(MID(C937,1,2)))+TIME(VALUE(MID(C937,12,2)),VALUE(MID(C937,15,2)),0))</f>
        <v>35441.8527777778</v>
      </c>
      <c r="U937" s="3" t="str">
        <f aca="false">IFERROR(IF(ISNUMBER(VALUE(TRIM(MID(A937,FIND("-",A937)+1,FIND("km",A937)-FIND("-",A937)-1)))),"Distance + direction + city","Named-region"),"Named-region")</f>
        <v>Distance + direction + city</v>
      </c>
      <c r="V937" s="3" t="str">
        <f aca="false">LOWER(M937)</f>
        <v>mwb</v>
      </c>
      <c r="W937" s="3" t="n">
        <f aca="false">COUNTIFS($A$2:$A$1001,A937,$C$2:$C$1001,C937)</f>
        <v>1</v>
      </c>
      <c r="X937" s="3" t="str">
        <f aca="false">IF(W937&gt;1,"Duplicate","Unique")</f>
        <v>Unique</v>
      </c>
      <c r="Y937" s="3" t="str">
        <f aca="false">IF(B937&lt;6.5,"&lt;6.5",IF(B937&lt;7,"6.5–6.9",IF(B937&lt;7.5,"7.0–7.4",IF(B937&lt;8,"7.5–7.9","8.0+"))))</f>
        <v>7.0–7.4</v>
      </c>
      <c r="Z937" s="3" t="n">
        <f aca="false">IF(T937="","",YEAR(T937))</f>
        <v>1997</v>
      </c>
    </row>
    <row r="938" customFormat="false" ht="13.8" hidden="false" customHeight="false" outlineLevel="0" collapsed="false">
      <c r="A938" s="3" t="s">
        <v>2420</v>
      </c>
      <c r="B938" s="3" t="n">
        <v>6.5</v>
      </c>
      <c r="C938" s="3" t="s">
        <v>2421</v>
      </c>
      <c r="D938" s="3" t="n">
        <v>0</v>
      </c>
      <c r="E938" s="3" t="n">
        <v>4</v>
      </c>
      <c r="F938" s="3"/>
      <c r="G938" s="3" t="n">
        <v>0</v>
      </c>
      <c r="H938" s="3" t="n">
        <v>650</v>
      </c>
      <c r="I938" s="3" t="s">
        <v>22</v>
      </c>
      <c r="J938" s="3" t="n">
        <v>0</v>
      </c>
      <c r="K938" s="3" t="n">
        <v>0</v>
      </c>
      <c r="L938" s="3" t="n">
        <v>0</v>
      </c>
      <c r="M938" s="3" t="s">
        <v>127</v>
      </c>
      <c r="N938" s="3" t="n">
        <v>226.5</v>
      </c>
      <c r="O938" s="3" t="n">
        <v>43.207</v>
      </c>
      <c r="P938" s="3" t="n">
        <v>138.92</v>
      </c>
      <c r="Q938" s="3" t="s">
        <v>2422</v>
      </c>
      <c r="R938" s="3"/>
      <c r="S938" s="3"/>
      <c r="T938" s="5" t="n">
        <f aca="false">IF(C938="","",DATE(VALUE(MID(C938,7,4)),VALUE(MID(C938,4,2)),VALUE(MID(C938,1,2)))+TIME(VALUE(MID(C938,12,2)),VALUE(MID(C938,15,2)),0))</f>
        <v>35421.6201388889</v>
      </c>
      <c r="U938" s="3" t="str">
        <f aca="false">IFERROR(IF(ISNUMBER(VALUE(TRIM(MID(A938,FIND("-",A938)+1,FIND("km",A938)-FIND("-",A938)-1)))),"Distance + direction + city","Named-region"),"Named-region")</f>
        <v>Distance + direction + city</v>
      </c>
      <c r="V938" s="3" t="str">
        <f aca="false">LOWER(M938)</f>
        <v>mwc</v>
      </c>
      <c r="W938" s="3" t="n">
        <f aca="false">COUNTIFS($A$2:$A$1001,A938,$C$2:$C$1001,C938)</f>
        <v>1</v>
      </c>
      <c r="X938" s="3" t="str">
        <f aca="false">IF(W938&gt;1,"Duplicate","Unique")</f>
        <v>Unique</v>
      </c>
      <c r="Y938" s="3" t="str">
        <f aca="false">IF(B938&lt;6.5,"&lt;6.5",IF(B938&lt;7,"6.5–6.9",IF(B938&lt;7.5,"7.0–7.4",IF(B938&lt;8,"7.5–7.9","8.0+"))))</f>
        <v>6.5–6.9</v>
      </c>
      <c r="Z938" s="3" t="n">
        <f aca="false">IF(T938="","",YEAR(T938))</f>
        <v>1996</v>
      </c>
    </row>
    <row r="939" customFormat="false" ht="13.8" hidden="false" customHeight="false" outlineLevel="0" collapsed="false">
      <c r="A939" s="3" t="s">
        <v>2423</v>
      </c>
      <c r="B939" s="3" t="n">
        <v>6.7</v>
      </c>
      <c r="C939" s="6" t="s">
        <v>2424</v>
      </c>
      <c r="D939" s="3" t="n">
        <v>0</v>
      </c>
      <c r="E939" s="3" t="n">
        <v>6</v>
      </c>
      <c r="F939" s="3"/>
      <c r="G939" s="3" t="n">
        <v>0</v>
      </c>
      <c r="H939" s="3" t="n">
        <v>691</v>
      </c>
      <c r="I939" s="3" t="s">
        <v>22</v>
      </c>
      <c r="J939" s="3" t="n">
        <v>0</v>
      </c>
      <c r="K939" s="3" t="n">
        <v>0</v>
      </c>
      <c r="L939" s="3" t="n">
        <v>0</v>
      </c>
      <c r="M939" s="3" t="s">
        <v>127</v>
      </c>
      <c r="N939" s="3" t="n">
        <v>49.2</v>
      </c>
      <c r="O939" s="3" t="n">
        <v>31.789</v>
      </c>
      <c r="P939" s="3" t="n">
        <v>131.314</v>
      </c>
      <c r="Q939" s="3" t="s">
        <v>2425</v>
      </c>
      <c r="R939" s="3" t="s">
        <v>80</v>
      </c>
      <c r="S939" s="3" t="s">
        <v>322</v>
      </c>
      <c r="T939" s="5" t="n">
        <f aca="false">IF(C939="","",DATE(VALUE(MID(C939,7,4)),VALUE(MID(C939,4,2)),VALUE(MID(C939,1,2)))+TIME(VALUE(MID(C939,12,2)),VALUE(MID(C939,15,2)),0))</f>
        <v>35401.9284722222</v>
      </c>
      <c r="U939" s="3" t="str">
        <f aca="false">IFERROR(IF(ISNUMBER(VALUE(TRIM(MID(A939,FIND("-",A939)+1,FIND("km",A939)-FIND("-",A939)-1)))),"Distance + direction + city","Named-region"),"Named-region")</f>
        <v>Distance + direction + city</v>
      </c>
      <c r="V939" s="3" t="str">
        <f aca="false">LOWER(M939)</f>
        <v>mwc</v>
      </c>
      <c r="W939" s="3" t="n">
        <f aca="false">COUNTIFS($A$2:$A$1001,A939,$C$2:$C$1001,C939)</f>
        <v>1</v>
      </c>
      <c r="X939" s="3" t="str">
        <f aca="false">IF(W939&gt;1,"Duplicate","Unique")</f>
        <v>Unique</v>
      </c>
      <c r="Y939" s="3" t="str">
        <f aca="false">IF(B939&lt;6.5,"&lt;6.5",IF(B939&lt;7,"6.5–6.9",IF(B939&lt;7.5,"7.0–7.4",IF(B939&lt;8,"7.5–7.9","8.0+"))))</f>
        <v>6.5–6.9</v>
      </c>
      <c r="Z939" s="3" t="n">
        <f aca="false">IF(T939="","",YEAR(T939))</f>
        <v>1996</v>
      </c>
    </row>
    <row r="940" customFormat="false" ht="13.8" hidden="false" customHeight="false" outlineLevel="0" collapsed="false">
      <c r="A940" s="3" t="s">
        <v>2426</v>
      </c>
      <c r="B940" s="3" t="n">
        <v>6.9</v>
      </c>
      <c r="C940" s="3" t="s">
        <v>2427</v>
      </c>
      <c r="D940" s="3" t="n">
        <v>0</v>
      </c>
      <c r="E940" s="3" t="n">
        <v>7</v>
      </c>
      <c r="F940" s="3"/>
      <c r="G940" s="3" t="n">
        <v>0</v>
      </c>
      <c r="H940" s="3" t="n">
        <v>732</v>
      </c>
      <c r="I940" s="3" t="s">
        <v>22</v>
      </c>
      <c r="J940" s="3" t="n">
        <v>0</v>
      </c>
      <c r="K940" s="3" t="n">
        <v>0</v>
      </c>
      <c r="L940" s="3" t="n">
        <v>0</v>
      </c>
      <c r="M940" s="3" t="s">
        <v>127</v>
      </c>
      <c r="N940" s="3" t="n">
        <v>33</v>
      </c>
      <c r="O940" s="3" t="n">
        <v>35.345</v>
      </c>
      <c r="P940" s="3" t="n">
        <v>78.133</v>
      </c>
      <c r="Q940" s="3" t="s">
        <v>2428</v>
      </c>
      <c r="R940" s="3" t="s">
        <v>80</v>
      </c>
      <c r="S940" s="3" t="s">
        <v>184</v>
      </c>
      <c r="T940" s="5" t="n">
        <f aca="false">IF(C940="","",DATE(VALUE(MID(C940,7,4)),VALUE(MID(C940,4,2)),VALUE(MID(C940,1,2)))+TIME(VALUE(MID(C940,12,2)),VALUE(MID(C940,15,2)),0))</f>
        <v>35388.4472222222</v>
      </c>
      <c r="U940" s="3" t="str">
        <f aca="false">IFERROR(IF(ISNUMBER(VALUE(TRIM(MID(A940,FIND("-",A940)+1,FIND("km",A940)-FIND("-",A940)-1)))),"Distance + direction + city","Named-region"),"Named-region")</f>
        <v>Distance + direction + city</v>
      </c>
      <c r="V940" s="3" t="str">
        <f aca="false">LOWER(M940)</f>
        <v>mwc</v>
      </c>
      <c r="W940" s="3" t="n">
        <f aca="false">COUNTIFS($A$2:$A$1001,A940,$C$2:$C$1001,C940)</f>
        <v>1</v>
      </c>
      <c r="X940" s="3" t="str">
        <f aca="false">IF(W940&gt;1,"Duplicate","Unique")</f>
        <v>Unique</v>
      </c>
      <c r="Y940" s="3" t="str">
        <f aca="false">IF(B940&lt;6.5,"&lt;6.5",IF(B940&lt;7,"6.5–6.9",IF(B940&lt;7.5,"7.0–7.4",IF(B940&lt;8,"7.5–7.9","8.0+"))))</f>
        <v>6.5–6.9</v>
      </c>
      <c r="Z940" s="3" t="n">
        <f aca="false">IF(T940="","",YEAR(T940))</f>
        <v>1996</v>
      </c>
    </row>
    <row r="941" customFormat="false" ht="13.8" hidden="false" customHeight="false" outlineLevel="0" collapsed="false">
      <c r="A941" s="3" t="s">
        <v>2429</v>
      </c>
      <c r="B941" s="3" t="n">
        <v>7.7</v>
      </c>
      <c r="C941" s="6" t="s">
        <v>2430</v>
      </c>
      <c r="D941" s="3" t="n">
        <v>0</v>
      </c>
      <c r="E941" s="3" t="n">
        <v>7</v>
      </c>
      <c r="F941" s="3"/>
      <c r="G941" s="3" t="n">
        <v>0</v>
      </c>
      <c r="H941" s="3" t="n">
        <v>912</v>
      </c>
      <c r="I941" s="3" t="s">
        <v>22</v>
      </c>
      <c r="J941" s="3" t="n">
        <v>0</v>
      </c>
      <c r="K941" s="3" t="n">
        <v>0</v>
      </c>
      <c r="L941" s="3" t="n">
        <v>0</v>
      </c>
      <c r="M941" s="3" t="s">
        <v>127</v>
      </c>
      <c r="N941" s="3" t="n">
        <v>33</v>
      </c>
      <c r="O941" s="3" t="n">
        <v>-14.993</v>
      </c>
      <c r="P941" s="3" t="n">
        <v>-75.675</v>
      </c>
      <c r="Q941" s="3" t="s">
        <v>2431</v>
      </c>
      <c r="R941" s="3"/>
      <c r="S941" s="3" t="s">
        <v>199</v>
      </c>
      <c r="T941" s="5" t="n">
        <f aca="false">IF(C941="","",DATE(VALUE(MID(C941,7,4)),VALUE(MID(C941,4,2)),VALUE(MID(C941,1,2)))+TIME(VALUE(MID(C941,12,2)),VALUE(MID(C941,15,2)),0))</f>
        <v>35381.7076388889</v>
      </c>
      <c r="U941" s="3" t="str">
        <f aca="false">IFERROR(IF(ISNUMBER(VALUE(TRIM(MID(A941,FIND("-",A941)+1,FIND("km",A941)-FIND("-",A941)-1)))),"Distance + direction + city","Named-region"),"Named-region")</f>
        <v>Distance + direction + city</v>
      </c>
      <c r="V941" s="3" t="str">
        <f aca="false">LOWER(M941)</f>
        <v>mwc</v>
      </c>
      <c r="W941" s="3" t="n">
        <f aca="false">COUNTIFS($A$2:$A$1001,A941,$C$2:$C$1001,C941)</f>
        <v>1</v>
      </c>
      <c r="X941" s="3" t="str">
        <f aca="false">IF(W941&gt;1,"Duplicate","Unique")</f>
        <v>Unique</v>
      </c>
      <c r="Y941" s="3" t="str">
        <f aca="false">IF(B941&lt;6.5,"&lt;6.5",IF(B941&lt;7,"6.5–6.9",IF(B941&lt;7.5,"7.0–7.4",IF(B941&lt;8,"7.5–7.9","8.0+"))))</f>
        <v>7.5–7.9</v>
      </c>
      <c r="Z941" s="3" t="n">
        <f aca="false">IF(T941="","",YEAR(T941))</f>
        <v>1996</v>
      </c>
    </row>
    <row r="942" customFormat="false" ht="13.8" hidden="false" customHeight="false" outlineLevel="0" collapsed="false">
      <c r="A942" s="3" t="s">
        <v>2432</v>
      </c>
      <c r="B942" s="3" t="n">
        <v>6.7</v>
      </c>
      <c r="C942" s="3" t="s">
        <v>2433</v>
      </c>
      <c r="D942" s="3" t="n">
        <v>0</v>
      </c>
      <c r="E942" s="3" t="n">
        <v>7</v>
      </c>
      <c r="F942" s="3"/>
      <c r="G942" s="3" t="n">
        <v>0</v>
      </c>
      <c r="H942" s="3" t="n">
        <v>691</v>
      </c>
      <c r="I942" s="3" t="s">
        <v>22</v>
      </c>
      <c r="J942" s="3" t="n">
        <v>0</v>
      </c>
      <c r="K942" s="3" t="n">
        <v>0</v>
      </c>
      <c r="L942" s="3" t="n">
        <v>0</v>
      </c>
      <c r="M942" s="3" t="s">
        <v>127</v>
      </c>
      <c r="N942" s="3" t="n">
        <v>22</v>
      </c>
      <c r="O942" s="3" t="n">
        <v>31.885</v>
      </c>
      <c r="P942" s="3" t="n">
        <v>131.468</v>
      </c>
      <c r="Q942" s="3" t="s">
        <v>2425</v>
      </c>
      <c r="R942" s="3" t="s">
        <v>80</v>
      </c>
      <c r="S942" s="3" t="s">
        <v>322</v>
      </c>
      <c r="T942" s="5" t="n">
        <f aca="false">IF(C942="","",DATE(VALUE(MID(C942,7,4)),VALUE(MID(C942,4,2)),VALUE(MID(C942,1,2)))+TIME(VALUE(MID(C942,12,2)),VALUE(MID(C942,15,2)),0))</f>
        <v>35357.6138888889</v>
      </c>
      <c r="U942" s="3" t="str">
        <f aca="false">IFERROR(IF(ISNUMBER(VALUE(TRIM(MID(A942,FIND("-",A942)+1,FIND("km",A942)-FIND("-",A942)-1)))),"Distance + direction + city","Named-region"),"Named-region")</f>
        <v>Distance + direction + city</v>
      </c>
      <c r="V942" s="3" t="str">
        <f aca="false">LOWER(M942)</f>
        <v>mwc</v>
      </c>
      <c r="W942" s="3" t="n">
        <f aca="false">COUNTIFS($A$2:$A$1001,A942,$C$2:$C$1001,C942)</f>
        <v>1</v>
      </c>
      <c r="X942" s="3" t="str">
        <f aca="false">IF(W942&gt;1,"Duplicate","Unique")</f>
        <v>Unique</v>
      </c>
      <c r="Y942" s="3" t="str">
        <f aca="false">IF(B942&lt;6.5,"&lt;6.5",IF(B942&lt;7,"6.5–6.9",IF(B942&lt;7.5,"7.0–7.4",IF(B942&lt;8,"7.5–7.9","8.0+"))))</f>
        <v>6.5–6.9</v>
      </c>
      <c r="Z942" s="3" t="n">
        <f aca="false">IF(T942="","",YEAR(T942))</f>
        <v>1996</v>
      </c>
    </row>
    <row r="943" customFormat="false" ht="13.8" hidden="false" customHeight="false" outlineLevel="0" collapsed="false">
      <c r="A943" s="3" t="s">
        <v>2434</v>
      </c>
      <c r="B943" s="3" t="n">
        <v>6.6</v>
      </c>
      <c r="C943" s="3" t="s">
        <v>2435</v>
      </c>
      <c r="D943" s="3" t="n">
        <v>0</v>
      </c>
      <c r="E943" s="3" t="n">
        <v>7</v>
      </c>
      <c r="F943" s="3"/>
      <c r="G943" s="3" t="n">
        <v>0</v>
      </c>
      <c r="H943" s="3" t="n">
        <v>670</v>
      </c>
      <c r="I943" s="3" t="s">
        <v>22</v>
      </c>
      <c r="J943" s="3" t="n">
        <v>0</v>
      </c>
      <c r="K943" s="3" t="n">
        <v>0</v>
      </c>
      <c r="L943" s="3" t="n">
        <v>0</v>
      </c>
      <c r="M943" s="3" t="s">
        <v>127</v>
      </c>
      <c r="N943" s="3" t="n">
        <v>10</v>
      </c>
      <c r="O943" s="3" t="n">
        <v>30.568</v>
      </c>
      <c r="P943" s="3" t="n">
        <v>131.093</v>
      </c>
      <c r="Q943" s="3" t="s">
        <v>2436</v>
      </c>
      <c r="R943" s="3" t="s">
        <v>80</v>
      </c>
      <c r="S943" s="3" t="s">
        <v>322</v>
      </c>
      <c r="T943" s="5" t="n">
        <f aca="false">IF(C943="","",DATE(VALUE(MID(C943,7,4)),VALUE(MID(C943,4,2)),VALUE(MID(C943,1,2)))+TIME(VALUE(MID(C943,12,2)),VALUE(MID(C943,15,2)),0))</f>
        <v>35356.4513888889</v>
      </c>
      <c r="U943" s="3" t="str">
        <f aca="false">IFERROR(IF(ISNUMBER(VALUE(TRIM(MID(A943,FIND("-",A943)+1,FIND("km",A943)-FIND("-",A943)-1)))),"Distance + direction + city","Named-region"),"Named-region")</f>
        <v>Distance + direction + city</v>
      </c>
      <c r="V943" s="3" t="str">
        <f aca="false">LOWER(M943)</f>
        <v>mwc</v>
      </c>
      <c r="W943" s="3" t="n">
        <f aca="false">COUNTIFS($A$2:$A$1001,A943,$C$2:$C$1001,C943)</f>
        <v>1</v>
      </c>
      <c r="X943" s="3" t="str">
        <f aca="false">IF(W943&gt;1,"Duplicate","Unique")</f>
        <v>Unique</v>
      </c>
      <c r="Y943" s="3" t="str">
        <f aca="false">IF(B943&lt;6.5,"&lt;6.5",IF(B943&lt;7,"6.5–6.9",IF(B943&lt;7.5,"7.0–7.4",IF(B943&lt;8,"7.5–7.9","8.0+"))))</f>
        <v>6.5–6.9</v>
      </c>
      <c r="Z943" s="3" t="n">
        <f aca="false">IF(T943="","",YEAR(T943))</f>
        <v>1996</v>
      </c>
    </row>
    <row r="944" customFormat="false" ht="13.8" hidden="false" customHeight="false" outlineLevel="0" collapsed="false">
      <c r="A944" s="3" t="s">
        <v>2437</v>
      </c>
      <c r="B944" s="3" t="n">
        <v>6.8</v>
      </c>
      <c r="C944" s="3" t="s">
        <v>2438</v>
      </c>
      <c r="D944" s="3" t="n">
        <v>0</v>
      </c>
      <c r="E944" s="3" t="n">
        <v>6</v>
      </c>
      <c r="F944" s="3"/>
      <c r="G944" s="3" t="n">
        <v>0</v>
      </c>
      <c r="H944" s="3" t="n">
        <v>711</v>
      </c>
      <c r="I944" s="3" t="s">
        <v>22</v>
      </c>
      <c r="J944" s="3" t="n">
        <v>0</v>
      </c>
      <c r="K944" s="3" t="n">
        <v>0</v>
      </c>
      <c r="L944" s="3" t="n">
        <v>0</v>
      </c>
      <c r="M944" s="3" t="s">
        <v>127</v>
      </c>
      <c r="N944" s="3" t="n">
        <v>24</v>
      </c>
      <c r="O944" s="3" t="n">
        <v>-7.133</v>
      </c>
      <c r="P944" s="3" t="n">
        <v>155.568</v>
      </c>
      <c r="Q944" s="3" t="s">
        <v>736</v>
      </c>
      <c r="R944" s="3"/>
      <c r="S944" s="3" t="s">
        <v>140</v>
      </c>
      <c r="T944" s="5" t="n">
        <f aca="false">IF(C944="","",DATE(VALUE(MID(C944,7,4)),VALUE(MID(C944,4,2)),VALUE(MID(C944,1,2)))+TIME(VALUE(MID(C944,12,2)),VALUE(MID(C944,15,2)),0))</f>
        <v>35352.9763888889</v>
      </c>
      <c r="U944" s="3" t="str">
        <f aca="false">IFERROR(IF(ISNUMBER(VALUE(TRIM(MID(A944,FIND("-",A944)+1,FIND("km",A944)-FIND("-",A944)-1)))),"Distance + direction + city","Named-region"),"Named-region")</f>
        <v>Distance + direction + city</v>
      </c>
      <c r="V944" s="3" t="str">
        <f aca="false">LOWER(M944)</f>
        <v>mwc</v>
      </c>
      <c r="W944" s="3" t="n">
        <f aca="false">COUNTIFS($A$2:$A$1001,A944,$C$2:$C$1001,C944)</f>
        <v>1</v>
      </c>
      <c r="X944" s="3" t="str">
        <f aca="false">IF(W944&gt;1,"Duplicate","Unique")</f>
        <v>Unique</v>
      </c>
      <c r="Y944" s="3" t="str">
        <f aca="false">IF(B944&lt;6.5,"&lt;6.5",IF(B944&lt;7,"6.5–6.9",IF(B944&lt;7.5,"7.0–7.4",IF(B944&lt;8,"7.5–7.9","8.0+"))))</f>
        <v>6.5–6.9</v>
      </c>
      <c r="Z944" s="3" t="n">
        <f aca="false">IF(T944="","",YEAR(T944))</f>
        <v>1996</v>
      </c>
    </row>
    <row r="945" customFormat="false" ht="13.8" hidden="false" customHeight="false" outlineLevel="0" collapsed="false">
      <c r="A945" s="3" t="s">
        <v>2439</v>
      </c>
      <c r="B945" s="3" t="n">
        <v>6.8</v>
      </c>
      <c r="C945" s="6" t="s">
        <v>2440</v>
      </c>
      <c r="D945" s="3" t="n">
        <v>0</v>
      </c>
      <c r="E945" s="3" t="n">
        <v>6</v>
      </c>
      <c r="F945" s="3"/>
      <c r="G945" s="3" t="n">
        <v>0</v>
      </c>
      <c r="H945" s="3" t="n">
        <v>711</v>
      </c>
      <c r="I945" s="3" t="s">
        <v>22</v>
      </c>
      <c r="J945" s="3" t="n">
        <v>0</v>
      </c>
      <c r="K945" s="3" t="n">
        <v>0</v>
      </c>
      <c r="L945" s="3" t="n">
        <v>0</v>
      </c>
      <c r="M945" s="3" t="s">
        <v>127</v>
      </c>
      <c r="N945" s="3" t="n">
        <v>33</v>
      </c>
      <c r="O945" s="3" t="n">
        <v>34.556</v>
      </c>
      <c r="P945" s="3" t="n">
        <v>32.126</v>
      </c>
      <c r="Q945" s="3" t="s">
        <v>2441</v>
      </c>
      <c r="R945" s="3" t="s">
        <v>80</v>
      </c>
      <c r="S945" s="3"/>
      <c r="T945" s="5" t="n">
        <f aca="false">IF(C945="","",DATE(VALUE(MID(C945,7,4)),VALUE(MID(C945,4,2)),VALUE(MID(C945,1,2)))+TIME(VALUE(MID(C945,12,2)),VALUE(MID(C945,15,2)),0))</f>
        <v>35347.5486111111</v>
      </c>
      <c r="U945" s="3" t="str">
        <f aca="false">IFERROR(IF(ISNUMBER(VALUE(TRIM(MID(A945,FIND("-",A945)+1,FIND("km",A945)-FIND("-",A945)-1)))),"Distance + direction + city","Named-region"),"Named-region")</f>
        <v>Distance + direction + city</v>
      </c>
      <c r="V945" s="3" t="str">
        <f aca="false">LOWER(M945)</f>
        <v>mwc</v>
      </c>
      <c r="W945" s="3" t="n">
        <f aca="false">COUNTIFS($A$2:$A$1001,A945,$C$2:$C$1001,C945)</f>
        <v>1</v>
      </c>
      <c r="X945" s="3" t="str">
        <f aca="false">IF(W945&gt;1,"Duplicate","Unique")</f>
        <v>Unique</v>
      </c>
      <c r="Y945" s="3" t="str">
        <f aca="false">IF(B945&lt;6.5,"&lt;6.5",IF(B945&lt;7,"6.5–6.9",IF(B945&lt;7.5,"7.0–7.4",IF(B945&lt;8,"7.5–7.9","8.0+"))))</f>
        <v>6.5–6.9</v>
      </c>
      <c r="Z945" s="3" t="n">
        <f aca="false">IF(T945="","",YEAR(T945))</f>
        <v>1996</v>
      </c>
    </row>
    <row r="946" customFormat="false" ht="13.8" hidden="false" customHeight="false" outlineLevel="0" collapsed="false">
      <c r="A946" s="3" t="s">
        <v>2442</v>
      </c>
      <c r="B946" s="3" t="n">
        <v>6.6</v>
      </c>
      <c r="C946" s="3" t="s">
        <v>2443</v>
      </c>
      <c r="D946" s="3" t="n">
        <v>0</v>
      </c>
      <c r="E946" s="3" t="n">
        <v>6</v>
      </c>
      <c r="F946" s="3"/>
      <c r="G946" s="3" t="n">
        <v>0</v>
      </c>
      <c r="H946" s="3" t="n">
        <v>670</v>
      </c>
      <c r="I946" s="3" t="s">
        <v>22</v>
      </c>
      <c r="J946" s="3" t="n">
        <v>0</v>
      </c>
      <c r="K946" s="3" t="n">
        <v>0</v>
      </c>
      <c r="L946" s="3" t="n">
        <v>0</v>
      </c>
      <c r="M946" s="3" t="s">
        <v>127</v>
      </c>
      <c r="N946" s="3" t="n">
        <v>33</v>
      </c>
      <c r="O946" s="3" t="n">
        <v>9.454</v>
      </c>
      <c r="P946" s="3" t="n">
        <v>126.334</v>
      </c>
      <c r="Q946" s="3" t="s">
        <v>2444</v>
      </c>
      <c r="R946" s="3"/>
      <c r="S946" s="3" t="s">
        <v>191</v>
      </c>
      <c r="T946" s="5" t="n">
        <f aca="false">IF(C946="","",DATE(VALUE(MID(C946,7,4)),VALUE(MID(C946,4,2)),VALUE(MID(C946,1,2)))+TIME(VALUE(MID(C946,12,2)),VALUE(MID(C946,15,2)),0))</f>
        <v>35328.1743055556</v>
      </c>
      <c r="U946" s="3" t="str">
        <f aca="false">IFERROR(IF(ISNUMBER(VALUE(TRIM(MID(A946,FIND("-",A946)+1,FIND("km",A946)-FIND("-",A946)-1)))),"Distance + direction + city","Named-region"),"Named-region")</f>
        <v>Distance + direction + city</v>
      </c>
      <c r="V946" s="3" t="str">
        <f aca="false">LOWER(M946)</f>
        <v>mwc</v>
      </c>
      <c r="W946" s="3" t="n">
        <f aca="false">COUNTIFS($A$2:$A$1001,A946,$C$2:$C$1001,C946)</f>
        <v>1</v>
      </c>
      <c r="X946" s="3" t="str">
        <f aca="false">IF(W946&gt;1,"Duplicate","Unique")</f>
        <v>Unique</v>
      </c>
      <c r="Y946" s="3" t="str">
        <f aca="false">IF(B946&lt;6.5,"&lt;6.5",IF(B946&lt;7,"6.5–6.9",IF(B946&lt;7.5,"7.0–7.4",IF(B946&lt;8,"7.5–7.9","8.0+"))))</f>
        <v>6.5–6.9</v>
      </c>
      <c r="Z946" s="3" t="n">
        <f aca="false">IF(T946="","",YEAR(T946))</f>
        <v>1996</v>
      </c>
    </row>
    <row r="947" customFormat="false" ht="13.8" hidden="false" customHeight="false" outlineLevel="0" collapsed="false">
      <c r="A947" s="3" t="s">
        <v>2445</v>
      </c>
      <c r="B947" s="3" t="n">
        <v>6.6</v>
      </c>
      <c r="C947" s="3" t="s">
        <v>2446</v>
      </c>
      <c r="D947" s="3" t="n">
        <v>0</v>
      </c>
      <c r="E947" s="3" t="n">
        <v>6</v>
      </c>
      <c r="F947" s="3"/>
      <c r="G947" s="3" t="n">
        <v>0</v>
      </c>
      <c r="H947" s="3" t="n">
        <v>670</v>
      </c>
      <c r="I947" s="3" t="s">
        <v>22</v>
      </c>
      <c r="J947" s="3" t="n">
        <v>0</v>
      </c>
      <c r="K947" s="3" t="n">
        <v>0</v>
      </c>
      <c r="L947" s="3" t="n">
        <v>0</v>
      </c>
      <c r="M947" s="3" t="s">
        <v>127</v>
      </c>
      <c r="N947" s="3" t="n">
        <v>33</v>
      </c>
      <c r="O947" s="3" t="n">
        <v>9.463</v>
      </c>
      <c r="P947" s="3" t="n">
        <v>126.284</v>
      </c>
      <c r="Q947" s="3" t="s">
        <v>2444</v>
      </c>
      <c r="R947" s="3"/>
      <c r="S947" s="3" t="s">
        <v>191</v>
      </c>
      <c r="T947" s="5" t="n">
        <f aca="false">IF(C947="","",DATE(VALUE(MID(C947,7,4)),VALUE(MID(C947,4,2)),VALUE(MID(C947,1,2)))+TIME(VALUE(MID(C947,12,2)),VALUE(MID(C947,15,2)),0))</f>
        <v>35328.1736111111</v>
      </c>
      <c r="U947" s="3" t="str">
        <f aca="false">IFERROR(IF(ISNUMBER(VALUE(TRIM(MID(A947,FIND("-",A947)+1,FIND("km",A947)-FIND("-",A947)-1)))),"Distance + direction + city","Named-region"),"Named-region")</f>
        <v>Distance + direction + city</v>
      </c>
      <c r="V947" s="3" t="str">
        <f aca="false">LOWER(M947)</f>
        <v>mwc</v>
      </c>
      <c r="W947" s="3" t="n">
        <f aca="false">COUNTIFS($A$2:$A$1001,A947,$C$2:$C$1001,C947)</f>
        <v>1</v>
      </c>
      <c r="X947" s="3" t="str">
        <f aca="false">IF(W947&gt;1,"Duplicate","Unique")</f>
        <v>Unique</v>
      </c>
      <c r="Y947" s="3" t="str">
        <f aca="false">IF(B947&lt;6.5,"&lt;6.5",IF(B947&lt;7,"6.5–6.9",IF(B947&lt;7.5,"7.0–7.4",IF(B947&lt;8,"7.5–7.9","8.0+"))))</f>
        <v>6.5–6.9</v>
      </c>
      <c r="Z947" s="3" t="n">
        <f aca="false">IF(T947="","",YEAR(T947))</f>
        <v>1996</v>
      </c>
    </row>
    <row r="948" customFormat="false" ht="13.8" hidden="false" customHeight="false" outlineLevel="0" collapsed="false">
      <c r="A948" s="3" t="s">
        <v>2447</v>
      </c>
      <c r="B948" s="3" t="n">
        <v>6.8</v>
      </c>
      <c r="C948" s="6" t="s">
        <v>2448</v>
      </c>
      <c r="D948" s="3" t="n">
        <v>0</v>
      </c>
      <c r="E948" s="3" t="n">
        <v>6</v>
      </c>
      <c r="F948" s="3"/>
      <c r="G948" s="3" t="n">
        <v>0</v>
      </c>
      <c r="H948" s="3" t="n">
        <v>711</v>
      </c>
      <c r="I948" s="3" t="s">
        <v>22</v>
      </c>
      <c r="J948" s="3" t="n">
        <v>0</v>
      </c>
      <c r="K948" s="3" t="n">
        <v>0</v>
      </c>
      <c r="L948" s="3" t="n">
        <v>0</v>
      </c>
      <c r="M948" s="3" t="s">
        <v>127</v>
      </c>
      <c r="N948" s="3" t="n">
        <v>20</v>
      </c>
      <c r="O948" s="3" t="n">
        <v>21.898</v>
      </c>
      <c r="P948" s="3" t="n">
        <v>121.498</v>
      </c>
      <c r="Q948" s="3" t="s">
        <v>1718</v>
      </c>
      <c r="R948" s="3"/>
      <c r="S948" s="3" t="s">
        <v>171</v>
      </c>
      <c r="T948" s="5" t="n">
        <f aca="false">IF(C948="","",DATE(VALUE(MID(C948,7,4)),VALUE(MID(C948,4,2)),VALUE(MID(C948,1,2)))+TIME(VALUE(MID(C948,12,2)),VALUE(MID(C948,15,2)),0))</f>
        <v>35313.9875</v>
      </c>
      <c r="U948" s="3" t="str">
        <f aca="false">IFERROR(IF(ISNUMBER(VALUE(TRIM(MID(A948,FIND("-",A948)+1,FIND("km",A948)-FIND("-",A948)-1)))),"Distance + direction + city","Named-region"),"Named-region")</f>
        <v>Distance + direction + city</v>
      </c>
      <c r="V948" s="3" t="str">
        <f aca="false">LOWER(M948)</f>
        <v>mwc</v>
      </c>
      <c r="W948" s="3" t="n">
        <f aca="false">COUNTIFS($A$2:$A$1001,A948,$C$2:$C$1001,C948)</f>
        <v>1</v>
      </c>
      <c r="X948" s="3" t="str">
        <f aca="false">IF(W948&gt;1,"Duplicate","Unique")</f>
        <v>Unique</v>
      </c>
      <c r="Y948" s="3" t="str">
        <f aca="false">IF(B948&lt;6.5,"&lt;6.5",IF(B948&lt;7,"6.5–6.9",IF(B948&lt;7.5,"7.0–7.4",IF(B948&lt;8,"7.5–7.9","8.0+"))))</f>
        <v>6.5–6.9</v>
      </c>
      <c r="Z948" s="3" t="n">
        <f aca="false">IF(T948="","",YEAR(T948))</f>
        <v>1996</v>
      </c>
    </row>
    <row r="949" customFormat="false" ht="13.8" hidden="false" customHeight="false" outlineLevel="0" collapsed="false">
      <c r="A949" s="3" t="s">
        <v>2449</v>
      </c>
      <c r="B949" s="3" t="n">
        <v>6.9</v>
      </c>
      <c r="C949" s="6" t="s">
        <v>2450</v>
      </c>
      <c r="D949" s="3" t="n">
        <v>0</v>
      </c>
      <c r="E949" s="3" t="n">
        <v>6</v>
      </c>
      <c r="F949" s="3"/>
      <c r="G949" s="3" t="n">
        <v>0</v>
      </c>
      <c r="H949" s="3" t="n">
        <v>732</v>
      </c>
      <c r="I949" s="3" t="s">
        <v>22</v>
      </c>
      <c r="J949" s="3" t="n">
        <v>0</v>
      </c>
      <c r="K949" s="3" t="n">
        <v>0</v>
      </c>
      <c r="L949" s="3" t="n">
        <v>0</v>
      </c>
      <c r="M949" s="3" t="s">
        <v>127</v>
      </c>
      <c r="N949" s="3" t="n">
        <v>33</v>
      </c>
      <c r="O949" s="3" t="n">
        <v>-10.769</v>
      </c>
      <c r="P949" s="3" t="n">
        <v>161.445</v>
      </c>
      <c r="Q949" s="3" t="s">
        <v>581</v>
      </c>
      <c r="R949" s="3"/>
      <c r="S949" s="3" t="s">
        <v>140</v>
      </c>
      <c r="T949" s="5" t="n">
        <f aca="false">IF(C949="","",DATE(VALUE(MID(C949,7,4)),VALUE(MID(C949,4,2)),VALUE(MID(C949,1,2)))+TIME(VALUE(MID(C949,12,2)),VALUE(MID(C949,15,2)),0))</f>
        <v>35279.5381944444</v>
      </c>
      <c r="U949" s="3" t="str">
        <f aca="false">IFERROR(IF(ISNUMBER(VALUE(TRIM(MID(A949,FIND("-",A949)+1,FIND("km",A949)-FIND("-",A949)-1)))),"Distance + direction + city","Named-region"),"Named-region")</f>
        <v>Distance + direction + city</v>
      </c>
      <c r="V949" s="3" t="str">
        <f aca="false">LOWER(M949)</f>
        <v>mwc</v>
      </c>
      <c r="W949" s="3" t="n">
        <f aca="false">COUNTIFS($A$2:$A$1001,A949,$C$2:$C$1001,C949)</f>
        <v>1</v>
      </c>
      <c r="X949" s="3" t="str">
        <f aca="false">IF(W949&gt;1,"Duplicate","Unique")</f>
        <v>Unique</v>
      </c>
      <c r="Y949" s="3" t="str">
        <f aca="false">IF(B949&lt;6.5,"&lt;6.5",IF(B949&lt;7,"6.5–6.9",IF(B949&lt;7.5,"7.0–7.4",IF(B949&lt;8,"7.5–7.9","8.0+"))))</f>
        <v>6.5–6.9</v>
      </c>
      <c r="Z949" s="3" t="n">
        <f aca="false">IF(T949="","",YEAR(T949))</f>
        <v>1996</v>
      </c>
    </row>
    <row r="950" customFormat="false" ht="13.8" hidden="false" customHeight="false" outlineLevel="0" collapsed="false">
      <c r="A950" s="3" t="s">
        <v>2451</v>
      </c>
      <c r="B950" s="3" t="n">
        <v>7</v>
      </c>
      <c r="C950" s="3" t="s">
        <v>2452</v>
      </c>
      <c r="D950" s="3" t="n">
        <v>0</v>
      </c>
      <c r="E950" s="3" t="n">
        <v>6</v>
      </c>
      <c r="F950" s="3"/>
      <c r="G950" s="3" t="n">
        <v>0</v>
      </c>
      <c r="H950" s="3" t="n">
        <v>754</v>
      </c>
      <c r="I950" s="3" t="s">
        <v>22</v>
      </c>
      <c r="J950" s="3" t="n">
        <v>0</v>
      </c>
      <c r="K950" s="3" t="n">
        <v>0</v>
      </c>
      <c r="L950" s="3" t="n">
        <v>0</v>
      </c>
      <c r="M950" s="3" t="s">
        <v>127</v>
      </c>
      <c r="N950" s="3" t="n">
        <v>33</v>
      </c>
      <c r="O950" s="3" t="n">
        <v>1</v>
      </c>
      <c r="P950" s="3" t="n">
        <v>120.45</v>
      </c>
      <c r="Q950" s="3" t="s">
        <v>574</v>
      </c>
      <c r="R950" s="3"/>
      <c r="S950" s="3" t="s">
        <v>68</v>
      </c>
      <c r="T950" s="5" t="n">
        <f aca="false">IF(C950="","",DATE(VALUE(MID(C950,7,4)),VALUE(MID(C950,4,2)),VALUE(MID(C950,1,2)))+TIME(VALUE(MID(C950,12,2)),VALUE(MID(C950,15,2)),0))</f>
        <v>35268.5965277778</v>
      </c>
      <c r="U950" s="3" t="str">
        <f aca="false">IFERROR(IF(ISNUMBER(VALUE(TRIM(MID(A950,FIND("-",A950)+1,FIND("km",A950)-FIND("-",A950)-1)))),"Distance + direction + city","Named-region"),"Named-region")</f>
        <v>Distance + direction + city</v>
      </c>
      <c r="V950" s="3" t="str">
        <f aca="false">LOWER(M950)</f>
        <v>mwc</v>
      </c>
      <c r="W950" s="3" t="n">
        <f aca="false">COUNTIFS($A$2:$A$1001,A950,$C$2:$C$1001,C950)</f>
        <v>1</v>
      </c>
      <c r="X950" s="3" t="str">
        <f aca="false">IF(W950&gt;1,"Duplicate","Unique")</f>
        <v>Unique</v>
      </c>
      <c r="Y950" s="3" t="str">
        <f aca="false">IF(B950&lt;6.5,"&lt;6.5",IF(B950&lt;7,"6.5–6.9",IF(B950&lt;7.5,"7.0–7.4",IF(B950&lt;8,"7.5–7.9","8.0+"))))</f>
        <v>7.0–7.4</v>
      </c>
      <c r="Z950" s="3" t="n">
        <f aca="false">IF(T950="","",YEAR(T950))</f>
        <v>1996</v>
      </c>
    </row>
    <row r="951" customFormat="false" ht="13.8" hidden="false" customHeight="false" outlineLevel="0" collapsed="false">
      <c r="A951" s="3" t="s">
        <v>2453</v>
      </c>
      <c r="B951" s="3" t="n">
        <v>6.6</v>
      </c>
      <c r="C951" s="3" t="s">
        <v>2454</v>
      </c>
      <c r="D951" s="3" t="n">
        <v>0</v>
      </c>
      <c r="E951" s="3" t="n">
        <v>6</v>
      </c>
      <c r="F951" s="3"/>
      <c r="G951" s="3" t="n">
        <v>0</v>
      </c>
      <c r="H951" s="3" t="n">
        <v>670</v>
      </c>
      <c r="I951" s="3" t="s">
        <v>22</v>
      </c>
      <c r="J951" s="3" t="n">
        <v>0</v>
      </c>
      <c r="K951" s="3" t="n">
        <v>0</v>
      </c>
      <c r="L951" s="3" t="n">
        <v>0</v>
      </c>
      <c r="M951" s="3" t="s">
        <v>154</v>
      </c>
      <c r="N951" s="3" t="n">
        <v>33</v>
      </c>
      <c r="O951" s="3" t="n">
        <v>1.016</v>
      </c>
      <c r="P951" s="3" t="n">
        <v>120.254</v>
      </c>
      <c r="Q951" s="3" t="s">
        <v>574</v>
      </c>
      <c r="R951" s="3"/>
      <c r="S951" s="3" t="s">
        <v>68</v>
      </c>
      <c r="T951" s="5" t="n">
        <f aca="false">IF(C951="","",DATE(VALUE(MID(C951,7,4)),VALUE(MID(C951,4,2)),VALUE(MID(C951,1,2)))+TIME(VALUE(MID(C951,12,2)),VALUE(MID(C951,15,2)),0))</f>
        <v>35262.4215277778</v>
      </c>
      <c r="U951" s="3" t="str">
        <f aca="false">IFERROR(IF(ISNUMBER(VALUE(TRIM(MID(A951,FIND("-",A951)+1,FIND("km",A951)-FIND("-",A951)-1)))),"Distance + direction + city","Named-region"),"Named-region")</f>
        <v>Distance + direction + city</v>
      </c>
      <c r="V951" s="3" t="str">
        <f aca="false">LOWER(M951)</f>
        <v>mwb</v>
      </c>
      <c r="W951" s="3" t="n">
        <f aca="false">COUNTIFS($A$2:$A$1001,A951,$C$2:$C$1001,C951)</f>
        <v>1</v>
      </c>
      <c r="X951" s="3" t="str">
        <f aca="false">IF(W951&gt;1,"Duplicate","Unique")</f>
        <v>Unique</v>
      </c>
      <c r="Y951" s="3" t="str">
        <f aca="false">IF(B951&lt;6.5,"&lt;6.5",IF(B951&lt;7,"6.5–6.9",IF(B951&lt;7.5,"7.0–7.4",IF(B951&lt;8,"7.5–7.9","8.0+"))))</f>
        <v>6.5–6.9</v>
      </c>
      <c r="Z951" s="3" t="n">
        <f aca="false">IF(T951="","",YEAR(T951))</f>
        <v>1996</v>
      </c>
    </row>
    <row r="952" customFormat="false" ht="13.8" hidden="false" customHeight="false" outlineLevel="0" collapsed="false">
      <c r="A952" s="3" t="s">
        <v>2455</v>
      </c>
      <c r="B952" s="3" t="n">
        <v>6.8</v>
      </c>
      <c r="C952" s="3" t="s">
        <v>2456</v>
      </c>
      <c r="D952" s="3" t="n">
        <v>0</v>
      </c>
      <c r="E952" s="3" t="n">
        <v>6</v>
      </c>
      <c r="F952" s="3"/>
      <c r="G952" s="3" t="n">
        <v>0</v>
      </c>
      <c r="H952" s="3" t="n">
        <v>711</v>
      </c>
      <c r="I952" s="3" t="s">
        <v>22</v>
      </c>
      <c r="J952" s="3" t="n">
        <v>0</v>
      </c>
      <c r="K952" s="3" t="n">
        <v>0</v>
      </c>
      <c r="L952" s="3" t="n">
        <v>0</v>
      </c>
      <c r="M952" s="3" t="s">
        <v>154</v>
      </c>
      <c r="N952" s="3" t="n">
        <v>18.3</v>
      </c>
      <c r="O952" s="3" t="n">
        <v>17.6</v>
      </c>
      <c r="P952" s="3" t="n">
        <v>-100.965</v>
      </c>
      <c r="Q952" s="3" t="s">
        <v>1059</v>
      </c>
      <c r="R952" s="3" t="s">
        <v>164</v>
      </c>
      <c r="S952" s="3" t="s">
        <v>165</v>
      </c>
      <c r="T952" s="5" t="n">
        <f aca="false">IF(C952="","",DATE(VALUE(MID(C952,7,4)),VALUE(MID(C952,4,2)),VALUE(MID(C952,1,2)))+TIME(VALUE(MID(C952,12,2)),VALUE(MID(C952,15,2)),0))</f>
        <v>35261.8909722222</v>
      </c>
      <c r="U952" s="3" t="str">
        <f aca="false">IFERROR(IF(ISNUMBER(VALUE(TRIM(MID(A952,FIND("-",A952)+1,FIND("km",A952)-FIND("-",A952)-1)))),"Distance + direction + city","Named-region"),"Named-region")</f>
        <v>Distance + direction + city</v>
      </c>
      <c r="V952" s="3" t="str">
        <f aca="false">LOWER(M952)</f>
        <v>mwb</v>
      </c>
      <c r="W952" s="3" t="n">
        <f aca="false">COUNTIFS($A$2:$A$1001,A952,$C$2:$C$1001,C952)</f>
        <v>1</v>
      </c>
      <c r="X952" s="3" t="str">
        <f aca="false">IF(W952&gt;1,"Duplicate","Unique")</f>
        <v>Unique</v>
      </c>
      <c r="Y952" s="3" t="str">
        <f aca="false">IF(B952&lt;6.5,"&lt;6.5",IF(B952&lt;7,"6.5–6.9",IF(B952&lt;7.5,"7.0–7.4",IF(B952&lt;8,"7.5–7.9","8.0+"))))</f>
        <v>6.5–6.9</v>
      </c>
      <c r="Z952" s="3" t="n">
        <f aca="false">IF(T952="","",YEAR(T952))</f>
        <v>1996</v>
      </c>
    </row>
    <row r="953" customFormat="false" ht="13.8" hidden="false" customHeight="false" outlineLevel="0" collapsed="false">
      <c r="A953" s="3" t="s">
        <v>2457</v>
      </c>
      <c r="B953" s="3" t="n">
        <v>7.9</v>
      </c>
      <c r="C953" s="3" t="s">
        <v>2458</v>
      </c>
      <c r="D953" s="3" t="n">
        <v>0</v>
      </c>
      <c r="E953" s="3" t="n">
        <v>4</v>
      </c>
      <c r="F953" s="3"/>
      <c r="G953" s="3" t="n">
        <v>0</v>
      </c>
      <c r="H953" s="3" t="n">
        <v>960</v>
      </c>
      <c r="I953" s="3" t="s">
        <v>22</v>
      </c>
      <c r="J953" s="3" t="n">
        <v>0</v>
      </c>
      <c r="K953" s="3" t="n">
        <v>0</v>
      </c>
      <c r="L953" s="3" t="n">
        <v>0</v>
      </c>
      <c r="M953" s="3" t="s">
        <v>127</v>
      </c>
      <c r="N953" s="3" t="n">
        <v>587.3</v>
      </c>
      <c r="O953" s="3" t="n">
        <v>-7.137</v>
      </c>
      <c r="P953" s="3" t="n">
        <v>122.589</v>
      </c>
      <c r="Q953" s="3" t="s">
        <v>672</v>
      </c>
      <c r="R953" s="3"/>
      <c r="S953" s="3" t="s">
        <v>68</v>
      </c>
      <c r="T953" s="5" t="n">
        <f aca="false">IF(C953="","",DATE(VALUE(MID(C953,7,4)),VALUE(MID(C953,4,2)),VALUE(MID(C953,1,2)))+TIME(VALUE(MID(C953,12,2)),VALUE(MID(C953,15,2)),0))</f>
        <v>35233.4736111111</v>
      </c>
      <c r="U953" s="3" t="str">
        <f aca="false">IFERROR(IF(ISNUMBER(VALUE(TRIM(MID(A953,FIND("-",A953)+1,FIND("km",A953)-FIND("-",A953)-1)))),"Distance + direction + city","Named-region"),"Named-region")</f>
        <v>Distance + direction + city</v>
      </c>
      <c r="V953" s="3" t="str">
        <f aca="false">LOWER(M953)</f>
        <v>mwc</v>
      </c>
      <c r="W953" s="3" t="n">
        <f aca="false">COUNTIFS($A$2:$A$1001,A953,$C$2:$C$1001,C953)</f>
        <v>1</v>
      </c>
      <c r="X953" s="3" t="str">
        <f aca="false">IF(W953&gt;1,"Duplicate","Unique")</f>
        <v>Unique</v>
      </c>
      <c r="Y953" s="3" t="str">
        <f aca="false">IF(B953&lt;6.5,"&lt;6.5",IF(B953&lt;7,"6.5–6.9",IF(B953&lt;7.5,"7.0–7.4",IF(B953&lt;8,"7.5–7.9","8.0+"))))</f>
        <v>7.5–7.9</v>
      </c>
      <c r="Z953" s="3" t="n">
        <f aca="false">IF(T953="","",YEAR(T953))</f>
        <v>1996</v>
      </c>
    </row>
    <row r="954" customFormat="false" ht="13.8" hidden="false" customHeight="false" outlineLevel="0" collapsed="false">
      <c r="A954" s="3" t="s">
        <v>2459</v>
      </c>
      <c r="B954" s="3" t="n">
        <v>7.1</v>
      </c>
      <c r="C954" s="6" t="s">
        <v>2460</v>
      </c>
      <c r="D954" s="3" t="n">
        <v>0</v>
      </c>
      <c r="E954" s="3" t="n">
        <v>6</v>
      </c>
      <c r="F954" s="3"/>
      <c r="G954" s="3" t="n">
        <v>0</v>
      </c>
      <c r="H954" s="3" t="n">
        <v>776</v>
      </c>
      <c r="I954" s="3" t="s">
        <v>22</v>
      </c>
      <c r="J954" s="3" t="n">
        <v>0</v>
      </c>
      <c r="K954" s="3" t="n">
        <v>0</v>
      </c>
      <c r="L954" s="3" t="n">
        <v>0</v>
      </c>
      <c r="M954" s="3" t="s">
        <v>127</v>
      </c>
      <c r="N954" s="3" t="n">
        <v>33</v>
      </c>
      <c r="O954" s="3" t="n">
        <v>12.614</v>
      </c>
      <c r="P954" s="3" t="n">
        <v>125.154</v>
      </c>
      <c r="Q954" s="3" t="s">
        <v>2461</v>
      </c>
      <c r="R954" s="3"/>
      <c r="S954" s="3" t="s">
        <v>191</v>
      </c>
      <c r="T954" s="5" t="n">
        <f aca="false">IF(C954="","",DATE(VALUE(MID(C954,7,4)),VALUE(MID(C954,4,2)),VALUE(MID(C954,1,2)))+TIME(VALUE(MID(C954,12,2)),VALUE(MID(C954,15,2)),0))</f>
        <v>35227.7652777778</v>
      </c>
      <c r="U954" s="3" t="str">
        <f aca="false">IFERROR(IF(ISNUMBER(VALUE(TRIM(MID(A954,FIND("-",A954)+1,FIND("km",A954)-FIND("-",A954)-1)))),"Distance + direction + city","Named-region"),"Named-region")</f>
        <v>Distance + direction + city</v>
      </c>
      <c r="V954" s="3" t="str">
        <f aca="false">LOWER(M954)</f>
        <v>mwc</v>
      </c>
      <c r="W954" s="3" t="n">
        <f aca="false">COUNTIFS($A$2:$A$1001,A954,$C$2:$C$1001,C954)</f>
        <v>1</v>
      </c>
      <c r="X954" s="3" t="str">
        <f aca="false">IF(W954&gt;1,"Duplicate","Unique")</f>
        <v>Unique</v>
      </c>
      <c r="Y954" s="3" t="str">
        <f aca="false">IF(B954&lt;6.5,"&lt;6.5",IF(B954&lt;7,"6.5–6.9",IF(B954&lt;7.5,"7.0–7.4",IF(B954&lt;8,"7.5–7.9","8.0+"))))</f>
        <v>7.0–7.4</v>
      </c>
      <c r="Z954" s="3" t="n">
        <f aca="false">IF(T954="","",YEAR(T954))</f>
        <v>1996</v>
      </c>
    </row>
    <row r="955" customFormat="false" ht="13.8" hidden="false" customHeight="false" outlineLevel="0" collapsed="false">
      <c r="A955" s="3" t="s">
        <v>2462</v>
      </c>
      <c r="B955" s="3" t="n">
        <v>7.3</v>
      </c>
      <c r="C955" s="6" t="s">
        <v>2463</v>
      </c>
      <c r="D955" s="3" t="n">
        <v>0</v>
      </c>
      <c r="E955" s="3" t="n">
        <v>7</v>
      </c>
      <c r="F955" s="3"/>
      <c r="G955" s="3" t="n">
        <v>0</v>
      </c>
      <c r="H955" s="3" t="n">
        <v>820</v>
      </c>
      <c r="I955" s="3" t="s">
        <v>22</v>
      </c>
      <c r="J955" s="3" t="n">
        <v>0</v>
      </c>
      <c r="K955" s="3" t="n">
        <v>0</v>
      </c>
      <c r="L955" s="3" t="n">
        <v>0</v>
      </c>
      <c r="M955" s="3" t="s">
        <v>127</v>
      </c>
      <c r="N955" s="3" t="n">
        <v>26.3</v>
      </c>
      <c r="O955" s="3" t="n">
        <v>51.478</v>
      </c>
      <c r="P955" s="3" t="n">
        <v>-176.847</v>
      </c>
      <c r="Q955" s="3" t="s">
        <v>608</v>
      </c>
      <c r="R955" s="3" t="s">
        <v>164</v>
      </c>
      <c r="S955" s="3" t="s">
        <v>261</v>
      </c>
      <c r="T955" s="5" t="n">
        <f aca="false">IF(C955="","",DATE(VALUE(MID(C955,7,4)),VALUE(MID(C955,4,2)),VALUE(MID(C955,1,2)))+TIME(VALUE(MID(C955,12,2)),VALUE(MID(C955,15,2)),0))</f>
        <v>35226.6416666667</v>
      </c>
      <c r="U955" s="3" t="str">
        <f aca="false">IFERROR(IF(ISNUMBER(VALUE(TRIM(MID(A955,FIND("-",A955)+1,FIND("km",A955)-FIND("-",A955)-1)))),"Distance + direction + city","Named-region"),"Named-region")</f>
        <v>Distance + direction + city</v>
      </c>
      <c r="V955" s="3" t="str">
        <f aca="false">LOWER(M955)</f>
        <v>mwc</v>
      </c>
      <c r="W955" s="3" t="n">
        <f aca="false">COUNTIFS($A$2:$A$1001,A955,$C$2:$C$1001,C955)</f>
        <v>1</v>
      </c>
      <c r="X955" s="3" t="str">
        <f aca="false">IF(W955&gt;1,"Duplicate","Unique")</f>
        <v>Unique</v>
      </c>
      <c r="Y955" s="3" t="str">
        <f aca="false">IF(B955&lt;6.5,"&lt;6.5",IF(B955&lt;7,"6.5–6.9",IF(B955&lt;7.5,"7.0–7.4",IF(B955&lt;8,"7.5–7.9","8.0+"))))</f>
        <v>7.0–7.4</v>
      </c>
      <c r="Z955" s="3" t="n">
        <f aca="false">IF(T955="","",YEAR(T955))</f>
        <v>1996</v>
      </c>
    </row>
    <row r="956" customFormat="false" ht="13.8" hidden="false" customHeight="false" outlineLevel="0" collapsed="false">
      <c r="A956" s="3" t="s">
        <v>2464</v>
      </c>
      <c r="B956" s="3" t="n">
        <v>7.9</v>
      </c>
      <c r="C956" s="6" t="s">
        <v>2465</v>
      </c>
      <c r="D956" s="3" t="n">
        <v>0</v>
      </c>
      <c r="E956" s="3" t="n">
        <v>7</v>
      </c>
      <c r="F956" s="3"/>
      <c r="G956" s="3" t="n">
        <v>0</v>
      </c>
      <c r="H956" s="3" t="n">
        <v>960</v>
      </c>
      <c r="I956" s="3" t="s">
        <v>22</v>
      </c>
      <c r="J956" s="3" t="n">
        <v>0</v>
      </c>
      <c r="K956" s="3" t="n">
        <v>0</v>
      </c>
      <c r="L956" s="3" t="n">
        <v>0</v>
      </c>
      <c r="M956" s="3" t="s">
        <v>127</v>
      </c>
      <c r="N956" s="3" t="n">
        <v>33</v>
      </c>
      <c r="O956" s="3" t="n">
        <v>51.564</v>
      </c>
      <c r="P956" s="3" t="n">
        <v>-177.632</v>
      </c>
      <c r="Q956" s="3" t="s">
        <v>608</v>
      </c>
      <c r="R956" s="3" t="s">
        <v>164</v>
      </c>
      <c r="S956" s="3" t="s">
        <v>261</v>
      </c>
      <c r="T956" s="5" t="n">
        <f aca="false">IF(C956="","",DATE(VALUE(MID(C956,7,4)),VALUE(MID(C956,4,2)),VALUE(MID(C956,1,2)))+TIME(VALUE(MID(C956,12,2)),VALUE(MID(C956,15,2)),0))</f>
        <v>35226.16875</v>
      </c>
      <c r="U956" s="3" t="str">
        <f aca="false">IFERROR(IF(ISNUMBER(VALUE(TRIM(MID(A956,FIND("-",A956)+1,FIND("km",A956)-FIND("-",A956)-1)))),"Distance + direction + city","Named-region"),"Named-region")</f>
        <v>Distance + direction + city</v>
      </c>
      <c r="V956" s="3" t="str">
        <f aca="false">LOWER(M956)</f>
        <v>mwc</v>
      </c>
      <c r="W956" s="3" t="n">
        <f aca="false">COUNTIFS($A$2:$A$1001,A956,$C$2:$C$1001,C956)</f>
        <v>1</v>
      </c>
      <c r="X956" s="3" t="str">
        <f aca="false">IF(W956&gt;1,"Duplicate","Unique")</f>
        <v>Unique</v>
      </c>
      <c r="Y956" s="3" t="str">
        <f aca="false">IF(B956&lt;6.5,"&lt;6.5",IF(B956&lt;7,"6.5–6.9",IF(B956&lt;7.5,"7.0–7.4",IF(B956&lt;8,"7.5–7.9","8.0+"))))</f>
        <v>7.5–7.9</v>
      </c>
      <c r="Z956" s="3" t="n">
        <f aca="false">IF(T956="","",YEAR(T956))</f>
        <v>1996</v>
      </c>
    </row>
    <row r="957" customFormat="false" ht="13.8" hidden="false" customHeight="false" outlineLevel="0" collapsed="false">
      <c r="A957" s="3" t="s">
        <v>2466</v>
      </c>
      <c r="B957" s="3" t="n">
        <v>6.7</v>
      </c>
      <c r="C957" s="6" t="s">
        <v>2467</v>
      </c>
      <c r="D957" s="3" t="n">
        <v>0</v>
      </c>
      <c r="E957" s="3" t="n">
        <v>4</v>
      </c>
      <c r="F957" s="3"/>
      <c r="G957" s="3" t="n">
        <v>0</v>
      </c>
      <c r="H957" s="3" t="n">
        <v>691</v>
      </c>
      <c r="I957" s="3" t="s">
        <v>22</v>
      </c>
      <c r="J957" s="3" t="n">
        <v>0</v>
      </c>
      <c r="K957" s="3" t="n">
        <v>0</v>
      </c>
      <c r="L957" s="3" t="n">
        <v>0</v>
      </c>
      <c r="M957" s="3" t="s">
        <v>127</v>
      </c>
      <c r="N957" s="3" t="n">
        <v>200.1</v>
      </c>
      <c r="O957" s="3" t="n">
        <v>-13.481</v>
      </c>
      <c r="P957" s="3" t="n">
        <v>167.13</v>
      </c>
      <c r="Q957" s="3" t="s">
        <v>24</v>
      </c>
      <c r="R957" s="3"/>
      <c r="S957" s="3" t="s">
        <v>25</v>
      </c>
      <c r="T957" s="5" t="n">
        <f aca="false">IF(C957="","",DATE(VALUE(MID(C957,7,4)),VALUE(MID(C957,4,2)),VALUE(MID(C957,1,2)))+TIME(VALUE(MID(C957,12,2)),VALUE(MID(C957,15,2)),0))</f>
        <v>35226.0444444444</v>
      </c>
      <c r="U957" s="3" t="str">
        <f aca="false">IFERROR(IF(ISNUMBER(VALUE(TRIM(MID(A957,FIND("-",A957)+1,FIND("km",A957)-FIND("-",A957)-1)))),"Distance + direction + city","Named-region"),"Named-region")</f>
        <v>Distance + direction + city</v>
      </c>
      <c r="V957" s="3" t="str">
        <f aca="false">LOWER(M957)</f>
        <v>mwc</v>
      </c>
      <c r="W957" s="3" t="n">
        <f aca="false">COUNTIFS($A$2:$A$1001,A957,$C$2:$C$1001,C957)</f>
        <v>1</v>
      </c>
      <c r="X957" s="3" t="str">
        <f aca="false">IF(W957&gt;1,"Duplicate","Unique")</f>
        <v>Unique</v>
      </c>
      <c r="Y957" s="3" t="str">
        <f aca="false">IF(B957&lt;6.5,"&lt;6.5",IF(B957&lt;7,"6.5–6.9",IF(B957&lt;7.5,"7.0–7.4",IF(B957&lt;8,"7.5–7.9","8.0+"))))</f>
        <v>6.5–6.9</v>
      </c>
      <c r="Z957" s="3" t="n">
        <f aca="false">IF(T957="","",YEAR(T957))</f>
        <v>1996</v>
      </c>
    </row>
    <row r="958" customFormat="false" ht="13.8" hidden="false" customHeight="false" outlineLevel="0" collapsed="false">
      <c r="A958" s="3" t="s">
        <v>2468</v>
      </c>
      <c r="B958" s="3" t="n">
        <v>7.2</v>
      </c>
      <c r="C958" s="3" t="s">
        <v>2469</v>
      </c>
      <c r="D958" s="3" t="n">
        <v>0</v>
      </c>
      <c r="E958" s="3" t="n">
        <v>6</v>
      </c>
      <c r="F958" s="3"/>
      <c r="G958" s="3" t="n">
        <v>0</v>
      </c>
      <c r="H958" s="3" t="n">
        <v>798</v>
      </c>
      <c r="I958" s="3" t="s">
        <v>22</v>
      </c>
      <c r="J958" s="3" t="n">
        <v>0</v>
      </c>
      <c r="K958" s="3" t="n">
        <v>0</v>
      </c>
      <c r="L958" s="3" t="n">
        <v>0</v>
      </c>
      <c r="M958" s="3" t="s">
        <v>127</v>
      </c>
      <c r="N958" s="3" t="n">
        <v>44</v>
      </c>
      <c r="O958" s="3" t="n">
        <v>-6.518</v>
      </c>
      <c r="P958" s="3" t="n">
        <v>154.999</v>
      </c>
      <c r="Q958" s="3" t="s">
        <v>736</v>
      </c>
      <c r="R958" s="3"/>
      <c r="S958" s="3" t="s">
        <v>85</v>
      </c>
      <c r="T958" s="5" t="n">
        <f aca="false">IF(C958="","",DATE(VALUE(MID(C958,7,4)),VALUE(MID(C958,4,2)),VALUE(MID(C958,1,2)))+TIME(VALUE(MID(C958,12,2)),VALUE(MID(C958,15,2)),0))</f>
        <v>35184.6111111111</v>
      </c>
      <c r="U958" s="3" t="str">
        <f aca="false">IFERROR(IF(ISNUMBER(VALUE(TRIM(MID(A958,FIND("-",A958)+1,FIND("km",A958)-FIND("-",A958)-1)))),"Distance + direction + city","Named-region"),"Named-region")</f>
        <v>Distance + direction + city</v>
      </c>
      <c r="V958" s="3" t="str">
        <f aca="false">LOWER(M958)</f>
        <v>mwc</v>
      </c>
      <c r="W958" s="3" t="n">
        <f aca="false">COUNTIFS($A$2:$A$1001,A958,$C$2:$C$1001,C958)</f>
        <v>1</v>
      </c>
      <c r="X958" s="3" t="str">
        <f aca="false">IF(W958&gt;1,"Duplicate","Unique")</f>
        <v>Unique</v>
      </c>
      <c r="Y958" s="3" t="str">
        <f aca="false">IF(B958&lt;6.5,"&lt;6.5",IF(B958&lt;7,"6.5–6.9",IF(B958&lt;7.5,"7.0–7.4",IF(B958&lt;8,"7.5–7.9","8.0+"))))</f>
        <v>7.0–7.4</v>
      </c>
      <c r="Z958" s="3" t="n">
        <f aca="false">IF(T958="","",YEAR(T958))</f>
        <v>1996</v>
      </c>
    </row>
    <row r="959" customFormat="false" ht="13.8" hidden="false" customHeight="false" outlineLevel="0" collapsed="false">
      <c r="A959" s="3" t="s">
        <v>2470</v>
      </c>
      <c r="B959" s="3" t="n">
        <v>6.6</v>
      </c>
      <c r="C959" s="3" t="s">
        <v>2471</v>
      </c>
      <c r="D959" s="3" t="n">
        <v>0</v>
      </c>
      <c r="E959" s="3" t="n">
        <v>7</v>
      </c>
      <c r="F959" s="3"/>
      <c r="G959" s="3" t="n">
        <v>0</v>
      </c>
      <c r="H959" s="3" t="n">
        <v>670</v>
      </c>
      <c r="I959" s="3" t="s">
        <v>22</v>
      </c>
      <c r="J959" s="3" t="n">
        <v>0</v>
      </c>
      <c r="K959" s="3" t="n">
        <v>0</v>
      </c>
      <c r="L959" s="3" t="n">
        <v>0</v>
      </c>
      <c r="M959" s="3" t="s">
        <v>154</v>
      </c>
      <c r="N959" s="3" t="n">
        <v>49.5</v>
      </c>
      <c r="O959" s="3" t="n">
        <v>-23.944</v>
      </c>
      <c r="P959" s="3" t="n">
        <v>-70.093</v>
      </c>
      <c r="Q959" s="3" t="s">
        <v>1630</v>
      </c>
      <c r="R959" s="3" t="s">
        <v>33</v>
      </c>
      <c r="S959" s="3" t="s">
        <v>373</v>
      </c>
      <c r="T959" s="5" t="n">
        <f aca="false">IF(C959="","",DATE(VALUE(MID(C959,7,4)),VALUE(MID(C959,4,2)),VALUE(MID(C959,1,2)))+TIME(VALUE(MID(C959,12,2)),VALUE(MID(C959,15,2)),0))</f>
        <v>35174.0131944444</v>
      </c>
      <c r="U959" s="3" t="str">
        <f aca="false">IFERROR(IF(ISNUMBER(VALUE(TRIM(MID(A959,FIND("-",A959)+1,FIND("km",A959)-FIND("-",A959)-1)))),"Distance + direction + city","Named-region"),"Named-region")</f>
        <v>Distance + direction + city</v>
      </c>
      <c r="V959" s="3" t="str">
        <f aca="false">LOWER(M959)</f>
        <v>mwb</v>
      </c>
      <c r="W959" s="3" t="n">
        <f aca="false">COUNTIFS($A$2:$A$1001,A959,$C$2:$C$1001,C959)</f>
        <v>1</v>
      </c>
      <c r="X959" s="3" t="str">
        <f aca="false">IF(W959&gt;1,"Duplicate","Unique")</f>
        <v>Unique</v>
      </c>
      <c r="Y959" s="3" t="str">
        <f aca="false">IF(B959&lt;6.5,"&lt;6.5",IF(B959&lt;7,"6.5–6.9",IF(B959&lt;7.5,"7.0–7.4",IF(B959&lt;8,"7.5–7.9","8.0+"))))</f>
        <v>6.5–6.9</v>
      </c>
      <c r="Z959" s="3" t="n">
        <f aca="false">IF(T959="","",YEAR(T959))</f>
        <v>1996</v>
      </c>
    </row>
    <row r="960" customFormat="false" ht="13.8" hidden="false" customHeight="false" outlineLevel="0" collapsed="false">
      <c r="A960" s="3" t="s">
        <v>2472</v>
      </c>
      <c r="B960" s="3" t="n">
        <v>6.7</v>
      </c>
      <c r="C960" s="3" t="s">
        <v>2473</v>
      </c>
      <c r="D960" s="3" t="n">
        <v>0</v>
      </c>
      <c r="E960" s="3" t="n">
        <v>5</v>
      </c>
      <c r="F960" s="3"/>
      <c r="G960" s="3" t="n">
        <v>0</v>
      </c>
      <c r="H960" s="3" t="n">
        <v>691</v>
      </c>
      <c r="I960" s="3" t="s">
        <v>22</v>
      </c>
      <c r="J960" s="3" t="n">
        <v>0</v>
      </c>
      <c r="K960" s="3" t="n">
        <v>0</v>
      </c>
      <c r="L960" s="3" t="n">
        <v>0</v>
      </c>
      <c r="M960" s="3" t="s">
        <v>127</v>
      </c>
      <c r="N960" s="3" t="n">
        <v>164.4</v>
      </c>
      <c r="O960" s="3" t="n">
        <v>-14.705</v>
      </c>
      <c r="P960" s="3" t="n">
        <v>167.297</v>
      </c>
      <c r="Q960" s="3" t="s">
        <v>104</v>
      </c>
      <c r="R960" s="3"/>
      <c r="S960" s="3" t="s">
        <v>25</v>
      </c>
      <c r="T960" s="5" t="n">
        <f aca="false">IF(C960="","",DATE(VALUE(MID(C960,7,4)),VALUE(MID(C960,4,2)),VALUE(MID(C960,1,2)))+TIME(VALUE(MID(C960,12,2)),VALUE(MID(C960,15,2)),0))</f>
        <v>35141.6166666667</v>
      </c>
      <c r="U960" s="3" t="str">
        <f aca="false">IFERROR(IF(ISNUMBER(VALUE(TRIM(MID(A960,FIND("-",A960)+1,FIND("km",A960)-FIND("-",A960)-1)))),"Distance + direction + city","Named-region"),"Named-region")</f>
        <v>Distance + direction + city</v>
      </c>
      <c r="V960" s="3" t="str">
        <f aca="false">LOWER(M960)</f>
        <v>mwc</v>
      </c>
      <c r="W960" s="3" t="n">
        <f aca="false">COUNTIFS($A$2:$A$1001,A960,$C$2:$C$1001,C960)</f>
        <v>1</v>
      </c>
      <c r="X960" s="3" t="str">
        <f aca="false">IF(W960&gt;1,"Duplicate","Unique")</f>
        <v>Unique</v>
      </c>
      <c r="Y960" s="3" t="str">
        <f aca="false">IF(B960&lt;6.5,"&lt;6.5",IF(B960&lt;7,"6.5–6.9",IF(B960&lt;7.5,"7.0–7.4",IF(B960&lt;8,"7.5–7.9","8.0+"))))</f>
        <v>6.5–6.9</v>
      </c>
      <c r="Z960" s="3" t="n">
        <f aca="false">IF(T960="","",YEAR(T960))</f>
        <v>1996</v>
      </c>
    </row>
    <row r="961" customFormat="false" ht="13.8" hidden="false" customHeight="false" outlineLevel="0" collapsed="false">
      <c r="A961" s="3" t="s">
        <v>2474</v>
      </c>
      <c r="B961" s="3" t="n">
        <v>6.7</v>
      </c>
      <c r="C961" s="6" t="s">
        <v>2475</v>
      </c>
      <c r="D961" s="3" t="n">
        <v>0</v>
      </c>
      <c r="E961" s="3" t="n">
        <v>6</v>
      </c>
      <c r="F961" s="3"/>
      <c r="G961" s="3" t="n">
        <v>0</v>
      </c>
      <c r="H961" s="3" t="n">
        <v>691</v>
      </c>
      <c r="I961" s="3" t="s">
        <v>22</v>
      </c>
      <c r="J961" s="3" t="n">
        <v>0</v>
      </c>
      <c r="K961" s="3" t="n">
        <v>0</v>
      </c>
      <c r="L961" s="3" t="n">
        <v>0</v>
      </c>
      <c r="M961" s="3" t="s">
        <v>127</v>
      </c>
      <c r="N961" s="3" t="n">
        <v>33</v>
      </c>
      <c r="O961" s="3" t="n">
        <v>11.905</v>
      </c>
      <c r="P961" s="3" t="n">
        <v>-86.772</v>
      </c>
      <c r="Q961" s="3" t="s">
        <v>2476</v>
      </c>
      <c r="R961" s="3"/>
      <c r="S961" s="3" t="s">
        <v>1069</v>
      </c>
      <c r="T961" s="5" t="n">
        <f aca="false">IF(C961="","",DATE(VALUE(MID(C961,7,4)),VALUE(MID(C961,4,2)),VALUE(MID(C961,1,2)))+TIME(VALUE(MID(C961,12,2)),VALUE(MID(C961,15,2)),0))</f>
        <v>35127.6923611111</v>
      </c>
      <c r="U961" s="3" t="str">
        <f aca="false">IFERROR(IF(ISNUMBER(VALUE(TRIM(MID(A961,FIND("-",A961)+1,FIND("km",A961)-FIND("-",A961)-1)))),"Distance + direction + city","Named-region"),"Named-region")</f>
        <v>Distance + direction + city</v>
      </c>
      <c r="V961" s="3" t="str">
        <f aca="false">LOWER(M961)</f>
        <v>mwc</v>
      </c>
      <c r="W961" s="3" t="n">
        <f aca="false">COUNTIFS($A$2:$A$1001,A961,$C$2:$C$1001,C961)</f>
        <v>1</v>
      </c>
      <c r="X961" s="3" t="str">
        <f aca="false">IF(W961&gt;1,"Duplicate","Unique")</f>
        <v>Unique</v>
      </c>
      <c r="Y961" s="3" t="str">
        <f aca="false">IF(B961&lt;6.5,"&lt;6.5",IF(B961&lt;7,"6.5–6.9",IF(B961&lt;7.5,"7.0–7.4",IF(B961&lt;8,"7.5–7.9","8.0+"))))</f>
        <v>6.5–6.9</v>
      </c>
      <c r="Z961" s="3" t="n">
        <f aca="false">IF(T961="","",YEAR(T961))</f>
        <v>1996</v>
      </c>
    </row>
    <row r="962" customFormat="false" ht="13.8" hidden="false" customHeight="false" outlineLevel="0" collapsed="false">
      <c r="A962" s="3" t="s">
        <v>2477</v>
      </c>
      <c r="B962" s="3" t="n">
        <v>6.6</v>
      </c>
      <c r="C962" s="6" t="s">
        <v>2478</v>
      </c>
      <c r="D962" s="3" t="n">
        <v>0</v>
      </c>
      <c r="E962" s="3" t="n">
        <v>6</v>
      </c>
      <c r="F962" s="3"/>
      <c r="G962" s="3" t="n">
        <v>0</v>
      </c>
      <c r="H962" s="3" t="n">
        <v>670</v>
      </c>
      <c r="I962" s="3" t="s">
        <v>22</v>
      </c>
      <c r="J962" s="3" t="n">
        <v>0</v>
      </c>
      <c r="K962" s="3" t="n">
        <v>0</v>
      </c>
      <c r="L962" s="3" t="n">
        <v>0</v>
      </c>
      <c r="M962" s="3" t="s">
        <v>127</v>
      </c>
      <c r="N962" s="3" t="n">
        <v>33</v>
      </c>
      <c r="O962" s="3" t="n">
        <v>11.657</v>
      </c>
      <c r="P962" s="3" t="n">
        <v>-86.856</v>
      </c>
      <c r="Q962" s="3" t="s">
        <v>206</v>
      </c>
      <c r="R962" s="3"/>
      <c r="S962" s="3"/>
      <c r="T962" s="5" t="n">
        <f aca="false">IF(C962="","",DATE(VALUE(MID(C962,7,4)),VALUE(MID(C962,4,2)),VALUE(MID(C962,1,2)))+TIME(VALUE(MID(C962,12,2)),VALUE(MID(C962,15,2)),0))</f>
        <v>35127.6215277778</v>
      </c>
      <c r="U962" s="3" t="str">
        <f aca="false">IFERROR(IF(ISNUMBER(VALUE(TRIM(MID(A962,FIND("-",A962)+1,FIND("km",A962)-FIND("-",A962)-1)))),"Distance + direction + city","Named-region"),"Named-region")</f>
        <v>Distance + direction + city</v>
      </c>
      <c r="V962" s="3" t="str">
        <f aca="false">LOWER(M962)</f>
        <v>mwc</v>
      </c>
      <c r="W962" s="3" t="n">
        <f aca="false">COUNTIFS($A$2:$A$1001,A962,$C$2:$C$1001,C962)</f>
        <v>1</v>
      </c>
      <c r="X962" s="3" t="str">
        <f aca="false">IF(W962&gt;1,"Duplicate","Unique")</f>
        <v>Unique</v>
      </c>
      <c r="Y962" s="3" t="str">
        <f aca="false">IF(B962&lt;6.5,"&lt;6.5",IF(B962&lt;7,"6.5–6.9",IF(B962&lt;7.5,"7.0–7.4",IF(B962&lt;8,"7.5–7.9","8.0+"))))</f>
        <v>6.5–6.9</v>
      </c>
      <c r="Z962" s="3" t="n">
        <f aca="false">IF(T962="","",YEAR(T962))</f>
        <v>1996</v>
      </c>
    </row>
    <row r="963" customFormat="false" ht="13.8" hidden="false" customHeight="false" outlineLevel="0" collapsed="false">
      <c r="A963" s="3" t="s">
        <v>2479</v>
      </c>
      <c r="B963" s="3" t="n">
        <v>7.1</v>
      </c>
      <c r="C963" s="3" t="s">
        <v>2480</v>
      </c>
      <c r="D963" s="3" t="n">
        <v>0</v>
      </c>
      <c r="E963" s="3" t="n">
        <v>7</v>
      </c>
      <c r="F963" s="3"/>
      <c r="G963" s="3" t="n">
        <v>0</v>
      </c>
      <c r="H963" s="3" t="n">
        <v>776</v>
      </c>
      <c r="I963" s="3" t="s">
        <v>22</v>
      </c>
      <c r="J963" s="3" t="n">
        <v>0</v>
      </c>
      <c r="K963" s="3" t="n">
        <v>0</v>
      </c>
      <c r="L963" s="3" t="n">
        <v>0</v>
      </c>
      <c r="M963" s="3" t="s">
        <v>485</v>
      </c>
      <c r="N963" s="3" t="n">
        <v>21.1</v>
      </c>
      <c r="O963" s="3" t="n">
        <v>15.978</v>
      </c>
      <c r="P963" s="3" t="n">
        <v>-98.07</v>
      </c>
      <c r="Q963" s="3" t="s">
        <v>2481</v>
      </c>
      <c r="R963" s="3" t="s">
        <v>164</v>
      </c>
      <c r="S963" s="3" t="s">
        <v>165</v>
      </c>
      <c r="T963" s="5" t="n">
        <f aca="false">IF(C963="","",DATE(VALUE(MID(C963,7,4)),VALUE(MID(C963,4,2)),VALUE(MID(C963,1,2)))+TIME(VALUE(MID(C963,12,2)),VALUE(MID(C963,15,2)),0))</f>
        <v>35120.1305555556</v>
      </c>
      <c r="U963" s="3" t="str">
        <f aca="false">IFERROR(IF(ISNUMBER(VALUE(TRIM(MID(A963,FIND("-",A963)+1,FIND("km",A963)-FIND("-",A963)-1)))),"Distance + direction + city","Named-region"),"Named-region")</f>
        <v>Distance + direction + city</v>
      </c>
      <c r="V963" s="3" t="str">
        <f aca="false">LOWER(M963)</f>
        <v>mw</v>
      </c>
      <c r="W963" s="3" t="n">
        <f aca="false">COUNTIFS($A$2:$A$1001,A963,$C$2:$C$1001,C963)</f>
        <v>1</v>
      </c>
      <c r="X963" s="3" t="str">
        <f aca="false">IF(W963&gt;1,"Duplicate","Unique")</f>
        <v>Unique</v>
      </c>
      <c r="Y963" s="3" t="str">
        <f aca="false">IF(B963&lt;6.5,"&lt;6.5",IF(B963&lt;7,"6.5–6.9",IF(B963&lt;7.5,"7.0–7.4",IF(B963&lt;8,"7.5–7.9","8.0+"))))</f>
        <v>7.0–7.4</v>
      </c>
      <c r="Z963" s="3" t="n">
        <f aca="false">IF(T963="","",YEAR(T963))</f>
        <v>1996</v>
      </c>
    </row>
    <row r="964" customFormat="false" ht="13.8" hidden="false" customHeight="false" outlineLevel="0" collapsed="false">
      <c r="A964" s="3" t="s">
        <v>2482</v>
      </c>
      <c r="B964" s="3" t="n">
        <v>7.5</v>
      </c>
      <c r="C964" s="3" t="s">
        <v>2483</v>
      </c>
      <c r="D964" s="3" t="n">
        <v>0</v>
      </c>
      <c r="E964" s="3" t="n">
        <v>6</v>
      </c>
      <c r="F964" s="3"/>
      <c r="G964" s="3" t="n">
        <v>0</v>
      </c>
      <c r="H964" s="3" t="n">
        <v>865</v>
      </c>
      <c r="I964" s="3" t="s">
        <v>22</v>
      </c>
      <c r="J964" s="3" t="n">
        <v>0</v>
      </c>
      <c r="K964" s="3" t="n">
        <v>0</v>
      </c>
      <c r="L964" s="3" t="n">
        <v>0</v>
      </c>
      <c r="M964" s="3" t="s">
        <v>485</v>
      </c>
      <c r="N964" s="3" t="n">
        <v>10</v>
      </c>
      <c r="O964" s="3" t="n">
        <v>-9.593</v>
      </c>
      <c r="P964" s="3" t="n">
        <v>-79.587</v>
      </c>
      <c r="Q964" s="3" t="s">
        <v>2484</v>
      </c>
      <c r="R964" s="3"/>
      <c r="S964" s="3" t="s">
        <v>199</v>
      </c>
      <c r="T964" s="5" t="n">
        <f aca="false">IF(C964="","",DATE(VALUE(MID(C964,7,4)),VALUE(MID(C964,4,2)),VALUE(MID(C964,1,2)))+TIME(VALUE(MID(C964,12,2)),VALUE(MID(C964,15,2)),0))</f>
        <v>35116.5354166667</v>
      </c>
      <c r="U964" s="3" t="str">
        <f aca="false">IFERROR(IF(ISNUMBER(VALUE(TRIM(MID(A964,FIND("-",A964)+1,FIND("km",A964)-FIND("-",A964)-1)))),"Distance + direction + city","Named-region"),"Named-region")</f>
        <v>Distance + direction + city</v>
      </c>
      <c r="V964" s="3" t="str">
        <f aca="false">LOWER(M964)</f>
        <v>mw</v>
      </c>
      <c r="W964" s="3" t="n">
        <f aca="false">COUNTIFS($A$2:$A$1001,A964,$C$2:$C$1001,C964)</f>
        <v>1</v>
      </c>
      <c r="X964" s="3" t="str">
        <f aca="false">IF(W964&gt;1,"Duplicate","Unique")</f>
        <v>Unique</v>
      </c>
      <c r="Y964" s="3" t="str">
        <f aca="false">IF(B964&lt;6.5,"&lt;6.5",IF(B964&lt;7,"6.5–6.9",IF(B964&lt;7.5,"7.0–7.4",IF(B964&lt;8,"7.5–7.9","8.0+"))))</f>
        <v>7.5–7.9</v>
      </c>
      <c r="Z964" s="3" t="n">
        <f aca="false">IF(T964="","",YEAR(T964))</f>
        <v>1996</v>
      </c>
    </row>
    <row r="965" customFormat="false" ht="13.8" hidden="false" customHeight="false" outlineLevel="0" collapsed="false">
      <c r="A965" s="3" t="s">
        <v>2485</v>
      </c>
      <c r="B965" s="3" t="n">
        <v>6.5</v>
      </c>
      <c r="C965" s="3" t="s">
        <v>2486</v>
      </c>
      <c r="D965" s="3" t="n">
        <v>0</v>
      </c>
      <c r="E965" s="3" t="n">
        <v>6</v>
      </c>
      <c r="F965" s="3"/>
      <c r="G965" s="3" t="n">
        <v>0</v>
      </c>
      <c r="H965" s="3" t="n">
        <v>650</v>
      </c>
      <c r="I965" s="3" t="s">
        <v>22</v>
      </c>
      <c r="J965" s="3" t="n">
        <v>0</v>
      </c>
      <c r="K965" s="3" t="n">
        <v>0</v>
      </c>
      <c r="L965" s="3" t="n">
        <v>0</v>
      </c>
      <c r="M965" s="3" t="s">
        <v>485</v>
      </c>
      <c r="N965" s="3" t="n">
        <v>31.9</v>
      </c>
      <c r="O965" s="3" t="n">
        <v>-0.917</v>
      </c>
      <c r="P965" s="3" t="n">
        <v>136.225</v>
      </c>
      <c r="Q965" s="3" t="s">
        <v>1442</v>
      </c>
      <c r="R965" s="3"/>
      <c r="S965" s="3" t="s">
        <v>68</v>
      </c>
      <c r="T965" s="5" t="n">
        <f aca="false">IF(C965="","",DATE(VALUE(MID(C965,7,4)),VALUE(MID(C965,4,2)),VALUE(MID(C965,1,2)))+TIME(VALUE(MID(C965,12,2)),VALUE(MID(C965,15,2)),0))</f>
        <v>35112.8458333333</v>
      </c>
      <c r="U965" s="3" t="str">
        <f aca="false">IFERROR(IF(ISNUMBER(VALUE(TRIM(MID(A965,FIND("-",A965)+1,FIND("km",A965)-FIND("-",A965)-1)))),"Distance + direction + city","Named-region"),"Named-region")</f>
        <v>Distance + direction + city</v>
      </c>
      <c r="V965" s="3" t="str">
        <f aca="false">LOWER(M965)</f>
        <v>mw</v>
      </c>
      <c r="W965" s="3" t="n">
        <f aca="false">COUNTIFS($A$2:$A$1001,A965,$C$2:$C$1001,C965)</f>
        <v>1</v>
      </c>
      <c r="X965" s="3" t="str">
        <f aca="false">IF(W965&gt;1,"Duplicate","Unique")</f>
        <v>Unique</v>
      </c>
      <c r="Y965" s="3" t="str">
        <f aca="false">IF(B965&lt;6.5,"&lt;6.5",IF(B965&lt;7,"6.5–6.9",IF(B965&lt;7.5,"7.0–7.4",IF(B965&lt;8,"7.5–7.9","8.0+"))))</f>
        <v>6.5–6.9</v>
      </c>
      <c r="Z965" s="3" t="n">
        <f aca="false">IF(T965="","",YEAR(T965))</f>
        <v>1996</v>
      </c>
    </row>
    <row r="966" customFormat="false" ht="13.8" hidden="false" customHeight="false" outlineLevel="0" collapsed="false">
      <c r="A966" s="3" t="s">
        <v>2487</v>
      </c>
      <c r="B966" s="3" t="n">
        <v>6.5</v>
      </c>
      <c r="C966" s="3" t="s">
        <v>2488</v>
      </c>
      <c r="D966" s="3" t="n">
        <v>0</v>
      </c>
      <c r="E966" s="3" t="n">
        <v>6</v>
      </c>
      <c r="F966" s="3"/>
      <c r="G966" s="3" t="n">
        <v>0</v>
      </c>
      <c r="H966" s="3" t="n">
        <v>650</v>
      </c>
      <c r="I966" s="3" t="s">
        <v>22</v>
      </c>
      <c r="J966" s="3" t="n">
        <v>0</v>
      </c>
      <c r="K966" s="3" t="n">
        <v>0</v>
      </c>
      <c r="L966" s="3" t="n">
        <v>0</v>
      </c>
      <c r="M966" s="3" t="s">
        <v>485</v>
      </c>
      <c r="N966" s="3" t="n">
        <v>19.2</v>
      </c>
      <c r="O966" s="3" t="n">
        <v>-0.567</v>
      </c>
      <c r="P966" s="3" t="n">
        <v>135.84</v>
      </c>
      <c r="Q966" s="3" t="s">
        <v>2489</v>
      </c>
      <c r="R966" s="3"/>
      <c r="S966" s="3" t="s">
        <v>68</v>
      </c>
      <c r="T966" s="5" t="n">
        <f aca="false">IF(C966="","",DATE(VALUE(MID(C966,7,4)),VALUE(MID(C966,4,2)),VALUE(MID(C966,1,2)))+TIME(VALUE(MID(C966,12,2)),VALUE(MID(C966,15,2)),0))</f>
        <v>35112.5979166667</v>
      </c>
      <c r="U966" s="3" t="str">
        <f aca="false">IFERROR(IF(ISNUMBER(VALUE(TRIM(MID(A966,FIND("-",A966)+1,FIND("km",A966)-FIND("-",A966)-1)))),"Distance + direction + city","Named-region"),"Named-region")</f>
        <v>Distance + direction + city</v>
      </c>
      <c r="V966" s="3" t="str">
        <f aca="false">LOWER(M966)</f>
        <v>mw</v>
      </c>
      <c r="W966" s="3" t="n">
        <f aca="false">COUNTIFS($A$2:$A$1001,A966,$C$2:$C$1001,C966)</f>
        <v>1</v>
      </c>
      <c r="X966" s="3" t="str">
        <f aca="false">IF(W966&gt;1,"Duplicate","Unique")</f>
        <v>Unique</v>
      </c>
      <c r="Y966" s="3" t="str">
        <f aca="false">IF(B966&lt;6.5,"&lt;6.5",IF(B966&lt;7,"6.5–6.9",IF(B966&lt;7.5,"7.0–7.4",IF(B966&lt;8,"7.5–7.9","8.0+"))))</f>
        <v>6.5–6.9</v>
      </c>
      <c r="Z966" s="3" t="n">
        <f aca="false">IF(T966="","",YEAR(T966))</f>
        <v>1996</v>
      </c>
    </row>
    <row r="967" customFormat="false" ht="13.8" hidden="false" customHeight="false" outlineLevel="0" collapsed="false">
      <c r="A967" s="3" t="s">
        <v>2490</v>
      </c>
      <c r="B967" s="3" t="n">
        <v>8.09</v>
      </c>
      <c r="C967" s="3" t="s">
        <v>2491</v>
      </c>
      <c r="D967" s="3" t="n">
        <v>0</v>
      </c>
      <c r="E967" s="3" t="n">
        <v>8</v>
      </c>
      <c r="F967" s="3"/>
      <c r="G967" s="3" t="n">
        <v>0</v>
      </c>
      <c r="H967" s="3" t="n">
        <v>1007</v>
      </c>
      <c r="I967" s="3" t="s">
        <v>1293</v>
      </c>
      <c r="J967" s="3" t="n">
        <v>0</v>
      </c>
      <c r="K967" s="3" t="n">
        <v>0</v>
      </c>
      <c r="L967" s="3" t="n">
        <v>0</v>
      </c>
      <c r="M967" s="3" t="s">
        <v>23</v>
      </c>
      <c r="N967" s="3" t="n">
        <v>33</v>
      </c>
      <c r="O967" s="3" t="n">
        <v>-0.891</v>
      </c>
      <c r="P967" s="3" t="n">
        <v>136.952</v>
      </c>
      <c r="Q967" s="3" t="s">
        <v>1442</v>
      </c>
      <c r="R967" s="3"/>
      <c r="S967" s="3"/>
      <c r="T967" s="5" t="n">
        <f aca="false">IF(C967="","",DATE(VALUE(MID(C967,7,4)),VALUE(MID(C967,4,2)),VALUE(MID(C967,1,2)))+TIME(VALUE(MID(C967,12,2)),VALUE(MID(C967,15,2)),0))</f>
        <v>35112.2493055556</v>
      </c>
      <c r="U967" s="3" t="str">
        <f aca="false">IFERROR(IF(ISNUMBER(VALUE(TRIM(MID(A967,FIND("-",A967)+1,FIND("km",A967)-FIND("-",A967)-1)))),"Distance + direction + city","Named-region"),"Named-region")</f>
        <v>Distance + direction + city</v>
      </c>
      <c r="V967" s="3" t="str">
        <f aca="false">LOWER(M967)</f>
        <v>mww</v>
      </c>
      <c r="W967" s="3" t="n">
        <f aca="false">COUNTIFS($A$2:$A$1001,A967,$C$2:$C$1001,C967)</f>
        <v>1</v>
      </c>
      <c r="X967" s="3" t="str">
        <f aca="false">IF(W967&gt;1,"Duplicate","Unique")</f>
        <v>Unique</v>
      </c>
      <c r="Y967" s="3" t="str">
        <f aca="false">IF(B967&lt;6.5,"&lt;6.5",IF(B967&lt;7,"6.5–6.9",IF(B967&lt;7.5,"7.0–7.4",IF(B967&lt;8,"7.5–7.9","8.0+"))))</f>
        <v>8.0+</v>
      </c>
      <c r="Z967" s="3" t="n">
        <f aca="false">IF(T967="","",YEAR(T967))</f>
        <v>1996</v>
      </c>
    </row>
    <row r="968" customFormat="false" ht="13.8" hidden="false" customHeight="false" outlineLevel="0" collapsed="false">
      <c r="A968" s="3" t="s">
        <v>2492</v>
      </c>
      <c r="B968" s="3" t="n">
        <v>6.7</v>
      </c>
      <c r="C968" s="3" t="s">
        <v>2493</v>
      </c>
      <c r="D968" s="3" t="n">
        <v>0</v>
      </c>
      <c r="E968" s="3" t="n">
        <v>4</v>
      </c>
      <c r="F968" s="3"/>
      <c r="G968" s="3" t="n">
        <v>0</v>
      </c>
      <c r="H968" s="3" t="n">
        <v>691</v>
      </c>
      <c r="I968" s="3" t="s">
        <v>22</v>
      </c>
      <c r="J968" s="3" t="n">
        <v>0</v>
      </c>
      <c r="K968" s="3" t="n">
        <v>0</v>
      </c>
      <c r="L968" s="3" t="n">
        <v>0</v>
      </c>
      <c r="M968" s="3" t="s">
        <v>485</v>
      </c>
      <c r="N968" s="3" t="n">
        <v>40.8</v>
      </c>
      <c r="O968" s="3" t="n">
        <v>37.353</v>
      </c>
      <c r="P968" s="3" t="n">
        <v>142.38</v>
      </c>
      <c r="Q968" s="3" t="s">
        <v>217</v>
      </c>
      <c r="R968" s="3"/>
      <c r="S968" s="3"/>
      <c r="T968" s="5" t="n">
        <f aca="false">IF(C968="","",DATE(VALUE(MID(C968,7,4)),VALUE(MID(C968,4,2)),VALUE(MID(C968,1,2)))+TIME(VALUE(MID(C968,12,2)),VALUE(MID(C968,15,2)),0))</f>
        <v>35111.6402777778</v>
      </c>
      <c r="U968" s="3" t="str">
        <f aca="false">IFERROR(IF(ISNUMBER(VALUE(TRIM(MID(A968,FIND("-",A968)+1,FIND("km",A968)-FIND("-",A968)-1)))),"Distance + direction + city","Named-region"),"Named-region")</f>
        <v>Distance + direction + city</v>
      </c>
      <c r="V968" s="3" t="str">
        <f aca="false">LOWER(M968)</f>
        <v>mw</v>
      </c>
      <c r="W968" s="3" t="n">
        <f aca="false">COUNTIFS($A$2:$A$1001,A968,$C$2:$C$1001,C968)</f>
        <v>1</v>
      </c>
      <c r="X968" s="3" t="str">
        <f aca="false">IF(W968&gt;1,"Duplicate","Unique")</f>
        <v>Unique</v>
      </c>
      <c r="Y968" s="3" t="str">
        <f aca="false">IF(B968&lt;6.5,"&lt;6.5",IF(B968&lt;7,"6.5–6.9",IF(B968&lt;7.5,"7.0–7.4",IF(B968&lt;8,"7.5–7.9","8.0+"))))</f>
        <v>6.5–6.9</v>
      </c>
      <c r="Z968" s="3" t="n">
        <f aca="false">IF(T968="","",YEAR(T968))</f>
        <v>1996</v>
      </c>
    </row>
    <row r="969" customFormat="false" ht="13.8" hidden="false" customHeight="false" outlineLevel="0" collapsed="false">
      <c r="A969" s="3" t="s">
        <v>2494</v>
      </c>
      <c r="B969" s="3" t="n">
        <v>7.2</v>
      </c>
      <c r="C969" s="6" t="s">
        <v>2495</v>
      </c>
      <c r="D969" s="3" t="n">
        <v>0</v>
      </c>
      <c r="E969" s="3" t="n">
        <v>6</v>
      </c>
      <c r="F969" s="3"/>
      <c r="G969" s="3" t="n">
        <v>0</v>
      </c>
      <c r="H969" s="3" t="n">
        <v>798</v>
      </c>
      <c r="I969" s="3" t="s">
        <v>22</v>
      </c>
      <c r="J969" s="3" t="n">
        <v>0</v>
      </c>
      <c r="K969" s="3" t="n">
        <v>0</v>
      </c>
      <c r="L969" s="3" t="n">
        <v>0</v>
      </c>
      <c r="M969" s="3" t="s">
        <v>485</v>
      </c>
      <c r="N969" s="3" t="n">
        <v>42.6</v>
      </c>
      <c r="O969" s="3" t="n">
        <v>45.324</v>
      </c>
      <c r="P969" s="3" t="n">
        <v>149.892</v>
      </c>
      <c r="Q969" s="3" t="s">
        <v>427</v>
      </c>
      <c r="R969" s="3"/>
      <c r="S969" s="3"/>
      <c r="T969" s="5" t="n">
        <f aca="false">IF(C969="","",DATE(VALUE(MID(C969,7,4)),VALUE(MID(C969,4,2)),VALUE(MID(C969,1,2)))+TIME(VALUE(MID(C969,12,2)),VALUE(MID(C969,15,2)),0))</f>
        <v>35102.9</v>
      </c>
      <c r="U969" s="3" t="str">
        <f aca="false">IFERROR(IF(ISNUMBER(VALUE(TRIM(MID(A969,FIND("-",A969)+1,FIND("km",A969)-FIND("-",A969)-1)))),"Distance + direction + city","Named-region"),"Named-region")</f>
        <v>Distance + direction + city</v>
      </c>
      <c r="V969" s="3" t="str">
        <f aca="false">LOWER(M969)</f>
        <v>mw</v>
      </c>
      <c r="W969" s="3" t="n">
        <f aca="false">COUNTIFS($A$2:$A$1001,A969,$C$2:$C$1001,C969)</f>
        <v>1</v>
      </c>
      <c r="X969" s="3" t="str">
        <f aca="false">IF(W969&gt;1,"Duplicate","Unique")</f>
        <v>Unique</v>
      </c>
      <c r="Y969" s="3" t="str">
        <f aca="false">IF(B969&lt;6.5,"&lt;6.5",IF(B969&lt;7,"6.5–6.9",IF(B969&lt;7.5,"7.0–7.4",IF(B969&lt;8,"7.5–7.9","8.0+"))))</f>
        <v>7.0–7.4</v>
      </c>
      <c r="Z969" s="3" t="n">
        <f aca="false">IF(T969="","",YEAR(T969))</f>
        <v>1996</v>
      </c>
    </row>
    <row r="970" customFormat="false" ht="13.8" hidden="false" customHeight="false" outlineLevel="0" collapsed="false">
      <c r="A970" s="3" t="s">
        <v>2496</v>
      </c>
      <c r="B970" s="3" t="n">
        <v>6.6</v>
      </c>
      <c r="C970" s="6" t="s">
        <v>2497</v>
      </c>
      <c r="D970" s="3" t="n">
        <v>0</v>
      </c>
      <c r="E970" s="3" t="n">
        <v>10</v>
      </c>
      <c r="F970" s="3"/>
      <c r="G970" s="3" t="n">
        <v>0</v>
      </c>
      <c r="H970" s="3" t="n">
        <v>670</v>
      </c>
      <c r="I970" s="3" t="s">
        <v>22</v>
      </c>
      <c r="J970" s="3" t="n">
        <v>0</v>
      </c>
      <c r="K970" s="3" t="n">
        <v>0</v>
      </c>
      <c r="L970" s="3" t="n">
        <v>0</v>
      </c>
      <c r="M970" s="3" t="s">
        <v>485</v>
      </c>
      <c r="N970" s="3" t="n">
        <v>11.1</v>
      </c>
      <c r="O970" s="3" t="n">
        <v>27.291</v>
      </c>
      <c r="P970" s="3" t="n">
        <v>100.276</v>
      </c>
      <c r="Q970" s="3" t="s">
        <v>2498</v>
      </c>
      <c r="R970" s="3" t="s">
        <v>80</v>
      </c>
      <c r="S970" s="3" t="s">
        <v>184</v>
      </c>
      <c r="T970" s="5" t="n">
        <f aca="false">IF(C970="","",DATE(VALUE(MID(C970,7,4)),VALUE(MID(C970,4,2)),VALUE(MID(C970,1,2)))+TIME(VALUE(MID(C970,12,2)),VALUE(MID(C970,15,2)),0))</f>
        <v>35098.4680555556</v>
      </c>
      <c r="U970" s="3" t="str">
        <f aca="false">IFERROR(IF(ISNUMBER(VALUE(TRIM(MID(A970,FIND("-",A970)+1,FIND("km",A970)-FIND("-",A970)-1)))),"Distance + direction + city","Named-region"),"Named-region")</f>
        <v>Distance + direction + city</v>
      </c>
      <c r="V970" s="3" t="str">
        <f aca="false">LOWER(M970)</f>
        <v>mw</v>
      </c>
      <c r="W970" s="3" t="n">
        <f aca="false">COUNTIFS($A$2:$A$1001,A970,$C$2:$C$1001,C970)</f>
        <v>1</v>
      </c>
      <c r="X970" s="3" t="str">
        <f aca="false">IF(W970&gt;1,"Duplicate","Unique")</f>
        <v>Unique</v>
      </c>
      <c r="Y970" s="3" t="str">
        <f aca="false">IF(B970&lt;6.5,"&lt;6.5",IF(B970&lt;7,"6.5–6.9",IF(B970&lt;7.5,"7.0–7.4",IF(B970&lt;8,"7.5–7.9","8.0+"))))</f>
        <v>6.5–6.9</v>
      </c>
      <c r="Z970" s="3" t="n">
        <f aca="false">IF(T970="","",YEAR(T970))</f>
        <v>1996</v>
      </c>
    </row>
    <row r="971" customFormat="false" ht="13.8" hidden="false" customHeight="false" outlineLevel="0" collapsed="false">
      <c r="A971" s="3" t="s">
        <v>2499</v>
      </c>
      <c r="B971" s="3" t="n">
        <v>6.6</v>
      </c>
      <c r="C971" s="6" t="s">
        <v>2500</v>
      </c>
      <c r="D971" s="3" t="n">
        <v>0</v>
      </c>
      <c r="E971" s="3" t="n">
        <v>7</v>
      </c>
      <c r="F971" s="3"/>
      <c r="G971" s="3" t="n">
        <v>0</v>
      </c>
      <c r="H971" s="3" t="n">
        <v>670</v>
      </c>
      <c r="I971" s="3" t="s">
        <v>22</v>
      </c>
      <c r="J971" s="3" t="n">
        <v>0</v>
      </c>
      <c r="K971" s="3" t="n">
        <v>0</v>
      </c>
      <c r="L971" s="3" t="n">
        <v>0</v>
      </c>
      <c r="M971" s="3" t="s">
        <v>1370</v>
      </c>
      <c r="N971" s="3" t="n">
        <v>33</v>
      </c>
      <c r="O971" s="3" t="n">
        <v>53.826</v>
      </c>
      <c r="P971" s="3" t="n">
        <v>159.586</v>
      </c>
      <c r="Q971" s="3" t="s">
        <v>2501</v>
      </c>
      <c r="R971" s="3" t="s">
        <v>80</v>
      </c>
      <c r="S971" s="3" t="s">
        <v>428</v>
      </c>
      <c r="T971" s="5" t="n">
        <f aca="false">IF(C971="","",DATE(VALUE(MID(C971,7,4)),VALUE(MID(C971,4,2)),VALUE(MID(C971,1,2)))+TIME(VALUE(MID(C971,12,2)),VALUE(MID(C971,15,2)),0))</f>
        <v>35065.4145833333</v>
      </c>
      <c r="U971" s="3" t="str">
        <f aca="false">IFERROR(IF(ISNUMBER(VALUE(TRIM(MID(A971,FIND("-",A971)+1,FIND("km",A971)-FIND("-",A971)-1)))),"Distance + direction + city","Named-region"),"Named-region")</f>
        <v>Distance + direction + city</v>
      </c>
      <c r="V971" s="3" t="str">
        <f aca="false">LOWER(M971)</f>
        <v>ms</v>
      </c>
      <c r="W971" s="3" t="n">
        <f aca="false">COUNTIFS($A$2:$A$1001,A971,$C$2:$C$1001,C971)</f>
        <v>1</v>
      </c>
      <c r="X971" s="3" t="str">
        <f aca="false">IF(W971&gt;1,"Duplicate","Unique")</f>
        <v>Unique</v>
      </c>
      <c r="Y971" s="3" t="str">
        <f aca="false">IF(B971&lt;6.5,"&lt;6.5",IF(B971&lt;7,"6.5–6.9",IF(B971&lt;7.5,"7.0–7.4",IF(B971&lt;8,"7.5–7.9","8.0+"))))</f>
        <v>6.5–6.9</v>
      </c>
      <c r="Z971" s="3" t="n">
        <f aca="false">IF(T971="","",YEAR(T971))</f>
        <v>1996</v>
      </c>
    </row>
    <row r="972" customFormat="false" ht="13.8" hidden="false" customHeight="false" outlineLevel="0" collapsed="false">
      <c r="A972" s="3" t="s">
        <v>2502</v>
      </c>
      <c r="B972" s="3" t="n">
        <v>7.9</v>
      </c>
      <c r="C972" s="6" t="s">
        <v>2503</v>
      </c>
      <c r="D972" s="3" t="n">
        <v>0</v>
      </c>
      <c r="E972" s="3" t="n">
        <v>8</v>
      </c>
      <c r="F972" s="3"/>
      <c r="G972" s="3" t="n">
        <v>0</v>
      </c>
      <c r="H972" s="3" t="n">
        <v>960</v>
      </c>
      <c r="I972" s="3" t="s">
        <v>22</v>
      </c>
      <c r="J972" s="3" t="n">
        <v>0</v>
      </c>
      <c r="K972" s="3" t="n">
        <v>0</v>
      </c>
      <c r="L972" s="3" t="n">
        <v>0</v>
      </c>
      <c r="M972" s="3" t="s">
        <v>485</v>
      </c>
      <c r="N972" s="3" t="n">
        <v>24</v>
      </c>
      <c r="O972" s="3" t="n">
        <v>0.729</v>
      </c>
      <c r="P972" s="3" t="n">
        <v>119.931</v>
      </c>
      <c r="Q972" s="3" t="s">
        <v>574</v>
      </c>
      <c r="R972" s="3"/>
      <c r="S972" s="3" t="s">
        <v>68</v>
      </c>
      <c r="T972" s="5" t="n">
        <f aca="false">IF(C972="","",DATE(VALUE(MID(C972,7,4)),VALUE(MID(C972,4,2)),VALUE(MID(C972,1,2)))+TIME(VALUE(MID(C972,12,2)),VALUE(MID(C972,15,2)),0))</f>
        <v>35065.3368055556</v>
      </c>
      <c r="U972" s="3" t="str">
        <f aca="false">IFERROR(IF(ISNUMBER(VALUE(TRIM(MID(A972,FIND("-",A972)+1,FIND("km",A972)-FIND("-",A972)-1)))),"Distance + direction + city","Named-region"),"Named-region")</f>
        <v>Distance + direction + city</v>
      </c>
      <c r="V972" s="3" t="str">
        <f aca="false">LOWER(M972)</f>
        <v>mw</v>
      </c>
      <c r="W972" s="3" t="n">
        <f aca="false">COUNTIFS($A$2:$A$1001,A972,$C$2:$C$1001,C972)</f>
        <v>1</v>
      </c>
      <c r="X972" s="3" t="str">
        <f aca="false">IF(W972&gt;1,"Duplicate","Unique")</f>
        <v>Unique</v>
      </c>
      <c r="Y972" s="3" t="str">
        <f aca="false">IF(B972&lt;6.5,"&lt;6.5",IF(B972&lt;7,"6.5–6.9",IF(B972&lt;7.5,"7.0–7.4",IF(B972&lt;8,"7.5–7.9","8.0+"))))</f>
        <v>7.5–7.9</v>
      </c>
      <c r="Z972" s="3" t="n">
        <f aca="false">IF(T972="","",YEAR(T972))</f>
        <v>1996</v>
      </c>
    </row>
    <row r="973" customFormat="false" ht="13.8" hidden="false" customHeight="false" outlineLevel="0" collapsed="false">
      <c r="A973" s="3" t="s">
        <v>2504</v>
      </c>
      <c r="B973" s="3" t="n">
        <v>7.1</v>
      </c>
      <c r="C973" s="3" t="s">
        <v>2505</v>
      </c>
      <c r="D973" s="3" t="n">
        <v>0</v>
      </c>
      <c r="E973" s="3" t="n">
        <v>6</v>
      </c>
      <c r="F973" s="3"/>
      <c r="G973" s="3" t="n">
        <v>0</v>
      </c>
      <c r="H973" s="3" t="n">
        <v>776</v>
      </c>
      <c r="I973" s="3" t="s">
        <v>22</v>
      </c>
      <c r="J973" s="3" t="n">
        <v>0</v>
      </c>
      <c r="K973" s="3" t="n">
        <v>0</v>
      </c>
      <c r="L973" s="3" t="n">
        <v>0</v>
      </c>
      <c r="M973" s="3" t="s">
        <v>485</v>
      </c>
      <c r="N973" s="3" t="n">
        <v>141.9</v>
      </c>
      <c r="O973" s="3" t="n">
        <v>-6.903</v>
      </c>
      <c r="P973" s="3" t="n">
        <v>129.151</v>
      </c>
      <c r="Q973" s="3" t="s">
        <v>248</v>
      </c>
      <c r="R973" s="3"/>
      <c r="S973" s="3" t="s">
        <v>68</v>
      </c>
      <c r="T973" s="5" t="n">
        <f aca="false">IF(C973="","",DATE(VALUE(MID(C973,7,4)),VALUE(MID(C973,4,2)),VALUE(MID(C973,1,2)))+TIME(VALUE(MID(C973,12,2)),VALUE(MID(C973,15,2)),0))</f>
        <v>35058.1965277778</v>
      </c>
      <c r="U973" s="3" t="str">
        <f aca="false">IFERROR(IF(ISNUMBER(VALUE(TRIM(MID(A973,FIND("-",A973)+1,FIND("km",A973)-FIND("-",A973)-1)))),"Distance + direction + city","Named-region"),"Named-region")</f>
        <v>Distance + direction + city</v>
      </c>
      <c r="V973" s="3" t="str">
        <f aca="false">LOWER(M973)</f>
        <v>mw</v>
      </c>
      <c r="W973" s="3" t="n">
        <f aca="false">COUNTIFS($A$2:$A$1001,A973,$C$2:$C$1001,C973)</f>
        <v>1</v>
      </c>
      <c r="X973" s="3" t="str">
        <f aca="false">IF(W973&gt;1,"Duplicate","Unique")</f>
        <v>Unique</v>
      </c>
      <c r="Y973" s="3" t="str">
        <f aca="false">IF(B973&lt;6.5,"&lt;6.5",IF(B973&lt;7,"6.5–6.9",IF(B973&lt;7.5,"7.0–7.4",IF(B973&lt;8,"7.5–7.9","8.0+"))))</f>
        <v>7.0–7.4</v>
      </c>
      <c r="Z973" s="3" t="n">
        <f aca="false">IF(T973="","",YEAR(T973))</f>
        <v>1995</v>
      </c>
    </row>
    <row r="974" customFormat="false" ht="13.8" hidden="false" customHeight="false" outlineLevel="0" collapsed="false">
      <c r="A974" s="3" t="s">
        <v>2506</v>
      </c>
      <c r="B974" s="3" t="n">
        <v>6.5</v>
      </c>
      <c r="C974" s="3" t="s">
        <v>2507</v>
      </c>
      <c r="D974" s="3" t="n">
        <v>0</v>
      </c>
      <c r="E974" s="3" t="n">
        <v>6</v>
      </c>
      <c r="F974" s="3"/>
      <c r="G974" s="3" t="n">
        <v>0</v>
      </c>
      <c r="H974" s="3" t="n">
        <v>650</v>
      </c>
      <c r="I974" s="3" t="s">
        <v>22</v>
      </c>
      <c r="J974" s="3" t="n">
        <v>0</v>
      </c>
      <c r="K974" s="3" t="n">
        <v>0</v>
      </c>
      <c r="L974" s="3" t="n">
        <v>0</v>
      </c>
      <c r="M974" s="3" t="s">
        <v>154</v>
      </c>
      <c r="N974" s="3" t="n">
        <v>63.4</v>
      </c>
      <c r="O974" s="3" t="n">
        <v>-3.703</v>
      </c>
      <c r="P974" s="3" t="n">
        <v>140.233</v>
      </c>
      <c r="Q974" s="3" t="s">
        <v>926</v>
      </c>
      <c r="R974" s="3"/>
      <c r="S974" s="3" t="s">
        <v>68</v>
      </c>
      <c r="T974" s="5" t="n">
        <f aca="false">IF(C974="","",DATE(VALUE(MID(C974,7,4)),VALUE(MID(C974,4,2)),VALUE(MID(C974,1,2)))+TIME(VALUE(MID(C974,12,2)),VALUE(MID(C974,15,2)),0))</f>
        <v>35052.9777777778</v>
      </c>
      <c r="U974" s="3" t="str">
        <f aca="false">IFERROR(IF(ISNUMBER(VALUE(TRIM(MID(A974,FIND("-",A974)+1,FIND("km",A974)-FIND("-",A974)-1)))),"Distance + direction + city","Named-region"),"Named-region")</f>
        <v>Distance + direction + city</v>
      </c>
      <c r="V974" s="3" t="str">
        <f aca="false">LOWER(M974)</f>
        <v>mwb</v>
      </c>
      <c r="W974" s="3" t="n">
        <f aca="false">COUNTIFS($A$2:$A$1001,A974,$C$2:$C$1001,C974)</f>
        <v>1</v>
      </c>
      <c r="X974" s="3" t="str">
        <f aca="false">IF(W974&gt;1,"Duplicate","Unique")</f>
        <v>Unique</v>
      </c>
      <c r="Y974" s="3" t="str">
        <f aca="false">IF(B974&lt;6.5,"&lt;6.5",IF(B974&lt;7,"6.5–6.9",IF(B974&lt;7.5,"7.0–7.4",IF(B974&lt;8,"7.5–7.9","8.0+"))))</f>
        <v>6.5–6.9</v>
      </c>
      <c r="Z974" s="3" t="n">
        <f aca="false">IF(T974="","",YEAR(T974))</f>
        <v>1995</v>
      </c>
    </row>
    <row r="975" customFormat="false" ht="13.8" hidden="false" customHeight="false" outlineLevel="0" collapsed="false">
      <c r="A975" s="3" t="s">
        <v>2508</v>
      </c>
      <c r="B975" s="3" t="n">
        <v>7.9</v>
      </c>
      <c r="C975" s="6" t="s">
        <v>2509</v>
      </c>
      <c r="D975" s="3" t="n">
        <v>0</v>
      </c>
      <c r="E975" s="3" t="n">
        <v>6</v>
      </c>
      <c r="F975" s="3"/>
      <c r="G975" s="3" t="n">
        <v>0</v>
      </c>
      <c r="H975" s="3" t="n">
        <v>960</v>
      </c>
      <c r="I975" s="3" t="s">
        <v>22</v>
      </c>
      <c r="J975" s="3" t="n">
        <v>0</v>
      </c>
      <c r="K975" s="3" t="n">
        <v>0</v>
      </c>
      <c r="L975" s="3" t="n">
        <v>0</v>
      </c>
      <c r="M975" s="3" t="s">
        <v>485</v>
      </c>
      <c r="N975" s="3" t="n">
        <v>33</v>
      </c>
      <c r="O975" s="3" t="n">
        <v>44.663</v>
      </c>
      <c r="P975" s="3" t="n">
        <v>149.3</v>
      </c>
      <c r="Q975" s="3" t="s">
        <v>427</v>
      </c>
      <c r="R975" s="3"/>
      <c r="S975" s="3"/>
      <c r="T975" s="5" t="n">
        <f aca="false">IF(C975="","",DATE(VALUE(MID(C975,7,4)),VALUE(MID(C975,4,2)),VALUE(MID(C975,1,2)))+TIME(VALUE(MID(C975,12,2)),VALUE(MID(C975,15,2)),0))</f>
        <v>35036.7506944445</v>
      </c>
      <c r="U975" s="3" t="str">
        <f aca="false">IFERROR(IF(ISNUMBER(VALUE(TRIM(MID(A975,FIND("-",A975)+1,FIND("km",A975)-FIND("-",A975)-1)))),"Distance + direction + city","Named-region"),"Named-region")</f>
        <v>Distance + direction + city</v>
      </c>
      <c r="V975" s="3" t="str">
        <f aca="false">LOWER(M975)</f>
        <v>mw</v>
      </c>
      <c r="W975" s="3" t="n">
        <f aca="false">COUNTIFS($A$2:$A$1001,A975,$C$2:$C$1001,C975)</f>
        <v>1</v>
      </c>
      <c r="X975" s="3" t="str">
        <f aca="false">IF(W975&gt;1,"Duplicate","Unique")</f>
        <v>Unique</v>
      </c>
      <c r="Y975" s="3" t="str">
        <f aca="false">IF(B975&lt;6.5,"&lt;6.5",IF(B975&lt;7,"6.5–6.9",IF(B975&lt;7.5,"7.0–7.4",IF(B975&lt;8,"7.5–7.9","8.0+"))))</f>
        <v>7.5–7.9</v>
      </c>
      <c r="Z975" s="3" t="n">
        <f aca="false">IF(T975="","",YEAR(T975))</f>
        <v>1995</v>
      </c>
    </row>
    <row r="976" customFormat="false" ht="13.8" hidden="false" customHeight="false" outlineLevel="0" collapsed="false">
      <c r="A976" s="3" t="s">
        <v>2510</v>
      </c>
      <c r="B976" s="3" t="n">
        <v>7.2</v>
      </c>
      <c r="C976" s="3" t="s">
        <v>2511</v>
      </c>
      <c r="D976" s="3" t="n">
        <v>0</v>
      </c>
      <c r="E976" s="3" t="n">
        <v>9</v>
      </c>
      <c r="F976" s="3"/>
      <c r="G976" s="3" t="n">
        <v>0</v>
      </c>
      <c r="H976" s="3" t="n">
        <v>798</v>
      </c>
      <c r="I976" s="3" t="s">
        <v>22</v>
      </c>
      <c r="J976" s="3" t="n">
        <v>0</v>
      </c>
      <c r="K976" s="3" t="n">
        <v>0</v>
      </c>
      <c r="L976" s="3" t="n">
        <v>0</v>
      </c>
      <c r="M976" s="3" t="s">
        <v>485</v>
      </c>
      <c r="N976" s="3" t="n">
        <v>10</v>
      </c>
      <c r="O976" s="3" t="n">
        <v>28.826</v>
      </c>
      <c r="P976" s="3" t="n">
        <v>34.799</v>
      </c>
      <c r="Q976" s="3" t="s">
        <v>2512</v>
      </c>
      <c r="R976" s="3" t="s">
        <v>80</v>
      </c>
      <c r="S976" s="3" t="s">
        <v>2513</v>
      </c>
      <c r="T976" s="5" t="n">
        <f aca="false">IF(C976="","",DATE(VALUE(MID(C976,7,4)),VALUE(MID(C976,4,2)),VALUE(MID(C976,1,2)))+TIME(VALUE(MID(C976,12,2)),VALUE(MID(C976,15,2)),0))</f>
        <v>35025.1770833333</v>
      </c>
      <c r="U976" s="3" t="str">
        <f aca="false">IFERROR(IF(ISNUMBER(VALUE(TRIM(MID(A976,FIND("-",A976)+1,FIND("km",A976)-FIND("-",A976)-1)))),"Distance + direction + city","Named-region"),"Named-region")</f>
        <v>Distance + direction + city</v>
      </c>
      <c r="V976" s="3" t="str">
        <f aca="false">LOWER(M976)</f>
        <v>mw</v>
      </c>
      <c r="W976" s="3" t="n">
        <f aca="false">COUNTIFS($A$2:$A$1001,A976,$C$2:$C$1001,C976)</f>
        <v>1</v>
      </c>
      <c r="X976" s="3" t="str">
        <f aca="false">IF(W976&gt;1,"Duplicate","Unique")</f>
        <v>Unique</v>
      </c>
      <c r="Y976" s="3" t="str">
        <f aca="false">IF(B976&lt;6.5,"&lt;6.5",IF(B976&lt;7,"6.5–6.9",IF(B976&lt;7.5,"7.0–7.4",IF(B976&lt;8,"7.5–7.9","8.0+"))))</f>
        <v>7.0–7.4</v>
      </c>
      <c r="Z976" s="3" t="n">
        <f aca="false">IF(T976="","",YEAR(T976))</f>
        <v>1995</v>
      </c>
    </row>
    <row r="977" customFormat="false" ht="13.8" hidden="false" customHeight="false" outlineLevel="0" collapsed="false">
      <c r="A977" s="3" t="s">
        <v>2514</v>
      </c>
      <c r="B977" s="3" t="n">
        <v>6.7</v>
      </c>
      <c r="C977" s="6" t="s">
        <v>2515</v>
      </c>
      <c r="D977" s="3" t="n">
        <v>0</v>
      </c>
      <c r="E977" s="3" t="n">
        <v>7</v>
      </c>
      <c r="F977" s="3"/>
      <c r="G977" s="3" t="n">
        <v>0</v>
      </c>
      <c r="H977" s="3" t="n">
        <v>691</v>
      </c>
      <c r="I977" s="3" t="s">
        <v>22</v>
      </c>
      <c r="J977" s="3" t="n">
        <v>0</v>
      </c>
      <c r="K977" s="3" t="n">
        <v>0</v>
      </c>
      <c r="L977" s="3" t="n">
        <v>0</v>
      </c>
      <c r="M977" s="3" t="s">
        <v>485</v>
      </c>
      <c r="N977" s="3" t="n">
        <v>19.9</v>
      </c>
      <c r="O977" s="3" t="n">
        <v>-28.906</v>
      </c>
      <c r="P977" s="3" t="n">
        <v>-71.417</v>
      </c>
      <c r="Q977" s="3" t="s">
        <v>370</v>
      </c>
      <c r="R977" s="3"/>
      <c r="S977" s="3" t="s">
        <v>373</v>
      </c>
      <c r="T977" s="5" t="n">
        <f aca="false">IF(C977="","",DATE(VALUE(MID(C977,7,4)),VALUE(MID(C977,4,2)),VALUE(MID(C977,1,2)))+TIME(VALUE(MID(C977,12,2)),VALUE(MID(C977,15,2)),0))</f>
        <v>35004.0243055556</v>
      </c>
      <c r="U977" s="3" t="str">
        <f aca="false">IFERROR(IF(ISNUMBER(VALUE(TRIM(MID(A977,FIND("-",A977)+1,FIND("km",A977)-FIND("-",A977)-1)))),"Distance + direction + city","Named-region"),"Named-region")</f>
        <v>Distance + direction + city</v>
      </c>
      <c r="V977" s="3" t="str">
        <f aca="false">LOWER(M977)</f>
        <v>mw</v>
      </c>
      <c r="W977" s="3" t="n">
        <f aca="false">COUNTIFS($A$2:$A$1001,A977,$C$2:$C$1001,C977)</f>
        <v>1</v>
      </c>
      <c r="X977" s="3" t="str">
        <f aca="false">IF(W977&gt;1,"Duplicate","Unique")</f>
        <v>Unique</v>
      </c>
      <c r="Y977" s="3" t="str">
        <f aca="false">IF(B977&lt;6.5,"&lt;6.5",IF(B977&lt;7,"6.5–6.9",IF(B977&lt;7.5,"7.0–7.4",IF(B977&lt;8,"7.5–7.9","8.0+"))))</f>
        <v>6.5–6.9</v>
      </c>
      <c r="Z977" s="3" t="n">
        <f aca="false">IF(T977="","",YEAR(T977))</f>
        <v>1995</v>
      </c>
    </row>
    <row r="978" customFormat="false" ht="13.8" hidden="false" customHeight="false" outlineLevel="0" collapsed="false">
      <c r="A978" s="3" t="s">
        <v>2516</v>
      </c>
      <c r="B978" s="3" t="n">
        <v>7.2</v>
      </c>
      <c r="C978" s="3" t="s">
        <v>2517</v>
      </c>
      <c r="D978" s="3" t="n">
        <v>0</v>
      </c>
      <c r="E978" s="3" t="n">
        <v>6</v>
      </c>
      <c r="F978" s="3"/>
      <c r="G978" s="3" t="n">
        <v>0</v>
      </c>
      <c r="H978" s="3" t="n">
        <v>798</v>
      </c>
      <c r="I978" s="3" t="s">
        <v>22</v>
      </c>
      <c r="J978" s="3" t="n">
        <v>0</v>
      </c>
      <c r="K978" s="3" t="n">
        <v>0</v>
      </c>
      <c r="L978" s="3" t="n">
        <v>0</v>
      </c>
      <c r="M978" s="3" t="s">
        <v>485</v>
      </c>
      <c r="N978" s="3" t="n">
        <v>159.3</v>
      </c>
      <c r="O978" s="3" t="n">
        <v>16.84</v>
      </c>
      <c r="P978" s="3" t="n">
        <v>-93.469</v>
      </c>
      <c r="Q978" s="3" t="s">
        <v>2518</v>
      </c>
      <c r="R978" s="3"/>
      <c r="S978" s="3" t="s">
        <v>165</v>
      </c>
      <c r="T978" s="5" t="n">
        <f aca="false">IF(C978="","",DATE(VALUE(MID(C978,7,4)),VALUE(MID(C978,4,2)),VALUE(MID(C978,1,2)))+TIME(VALUE(MID(C978,12,2)),VALUE(MID(C978,15,2)),0))</f>
        <v>34993.1097222222</v>
      </c>
      <c r="U978" s="3" t="str">
        <f aca="false">IFERROR(IF(ISNUMBER(VALUE(TRIM(MID(A978,FIND("-",A978)+1,FIND("km",A978)-FIND("-",A978)-1)))),"Distance + direction + city","Named-region"),"Named-region")</f>
        <v>Distance + direction + city</v>
      </c>
      <c r="V978" s="3" t="str">
        <f aca="false">LOWER(M978)</f>
        <v>mw</v>
      </c>
      <c r="W978" s="3" t="n">
        <f aca="false">COUNTIFS($A$2:$A$1001,A978,$C$2:$C$1001,C978)</f>
        <v>1</v>
      </c>
      <c r="X978" s="3" t="str">
        <f aca="false">IF(W978&gt;1,"Duplicate","Unique")</f>
        <v>Unique</v>
      </c>
      <c r="Y978" s="3" t="str">
        <f aca="false">IF(B978&lt;6.5,"&lt;6.5",IF(B978&lt;7,"6.5–6.9",IF(B978&lt;7.5,"7.0–7.4",IF(B978&lt;8,"7.5–7.9","8.0+"))))</f>
        <v>7.0–7.4</v>
      </c>
      <c r="Z978" s="3" t="n">
        <f aca="false">IF(T978="","",YEAR(T978))</f>
        <v>1995</v>
      </c>
    </row>
    <row r="979" customFormat="false" ht="13.8" hidden="false" customHeight="false" outlineLevel="0" collapsed="false">
      <c r="A979" s="3" t="s">
        <v>2519</v>
      </c>
      <c r="B979" s="3" t="n">
        <v>6.8</v>
      </c>
      <c r="C979" s="3" t="s">
        <v>2520</v>
      </c>
      <c r="D979" s="3" t="n">
        <v>0</v>
      </c>
      <c r="E979" s="3" t="n">
        <v>6</v>
      </c>
      <c r="F979" s="3"/>
      <c r="G979" s="3" t="n">
        <v>0</v>
      </c>
      <c r="H979" s="3" t="n">
        <v>711</v>
      </c>
      <c r="I979" s="3" t="s">
        <v>22</v>
      </c>
      <c r="J979" s="3" t="n">
        <v>0</v>
      </c>
      <c r="K979" s="3" t="n">
        <v>0</v>
      </c>
      <c r="L979" s="3" t="n">
        <v>0</v>
      </c>
      <c r="M979" s="3" t="s">
        <v>485</v>
      </c>
      <c r="N979" s="3" t="n">
        <v>19.7</v>
      </c>
      <c r="O979" s="3" t="n">
        <v>28.094</v>
      </c>
      <c r="P979" s="3" t="n">
        <v>130.148</v>
      </c>
      <c r="Q979" s="3" t="s">
        <v>401</v>
      </c>
      <c r="R979" s="3"/>
      <c r="S979" s="3"/>
      <c r="T979" s="5" t="n">
        <f aca="false">IF(C979="","",DATE(VALUE(MID(C979,7,4)),VALUE(MID(C979,4,2)),VALUE(MID(C979,1,2)))+TIME(VALUE(MID(C979,12,2)),VALUE(MID(C979,15,2)),0))</f>
        <v>34991.1118055556</v>
      </c>
      <c r="U979" s="3" t="str">
        <f aca="false">IFERROR(IF(ISNUMBER(VALUE(TRIM(MID(A979,FIND("-",A979)+1,FIND("km",A979)-FIND("-",A979)-1)))),"Distance + direction + city","Named-region"),"Named-region")</f>
        <v>Distance + direction + city</v>
      </c>
      <c r="V979" s="3" t="str">
        <f aca="false">LOWER(M979)</f>
        <v>mw</v>
      </c>
      <c r="W979" s="3" t="n">
        <f aca="false">COUNTIFS($A$2:$A$1001,A979,$C$2:$C$1001,C979)</f>
        <v>1</v>
      </c>
      <c r="X979" s="3" t="str">
        <f aca="false">IF(W979&gt;1,"Duplicate","Unique")</f>
        <v>Unique</v>
      </c>
      <c r="Y979" s="3" t="str">
        <f aca="false">IF(B979&lt;6.5,"&lt;6.5",IF(B979&lt;7,"6.5–6.9",IF(B979&lt;7.5,"7.0–7.4",IF(B979&lt;8,"7.5–7.9","8.0+"))))</f>
        <v>6.5–6.9</v>
      </c>
      <c r="Z979" s="3" t="n">
        <f aca="false">IF(T979="","",YEAR(T979))</f>
        <v>1995</v>
      </c>
    </row>
    <row r="980" customFormat="false" ht="13.8" hidden="false" customHeight="false" outlineLevel="0" collapsed="false">
      <c r="A980" s="3" t="s">
        <v>2521</v>
      </c>
      <c r="B980" s="3" t="n">
        <v>7.1</v>
      </c>
      <c r="C980" s="3" t="s">
        <v>2522</v>
      </c>
      <c r="D980" s="3" t="n">
        <v>0</v>
      </c>
      <c r="E980" s="3" t="n">
        <v>6</v>
      </c>
      <c r="F980" s="3"/>
      <c r="G980" s="3" t="n">
        <v>0</v>
      </c>
      <c r="H980" s="3" t="n">
        <v>776</v>
      </c>
      <c r="I980" s="3" t="s">
        <v>22</v>
      </c>
      <c r="J980" s="3" t="n">
        <v>0</v>
      </c>
      <c r="K980" s="3" t="n">
        <v>0</v>
      </c>
      <c r="L980" s="3" t="n">
        <v>0</v>
      </c>
      <c r="M980" s="3" t="s">
        <v>485</v>
      </c>
      <c r="N980" s="3" t="n">
        <v>28.4</v>
      </c>
      <c r="O980" s="3" t="n">
        <v>27.929</v>
      </c>
      <c r="P980" s="3" t="n">
        <v>130.175</v>
      </c>
      <c r="Q980" s="3" t="s">
        <v>401</v>
      </c>
      <c r="R980" s="3"/>
      <c r="S980" s="3"/>
      <c r="T980" s="5" t="n">
        <f aca="false">IF(C980="","",DATE(VALUE(MID(C980,7,4)),VALUE(MID(C980,4,2)),VALUE(MID(C980,1,2)))+TIME(VALUE(MID(C980,12,2)),VALUE(MID(C980,15,2)),0))</f>
        <v>34990.4423611111</v>
      </c>
      <c r="U980" s="3" t="str">
        <f aca="false">IFERROR(IF(ISNUMBER(VALUE(TRIM(MID(A980,FIND("-",A980)+1,FIND("km",A980)-FIND("-",A980)-1)))),"Distance + direction + city","Named-region"),"Named-region")</f>
        <v>Distance + direction + city</v>
      </c>
      <c r="V980" s="3" t="str">
        <f aca="false">LOWER(M980)</f>
        <v>mw</v>
      </c>
      <c r="W980" s="3" t="n">
        <f aca="false">COUNTIFS($A$2:$A$1001,A980,$C$2:$C$1001,C980)</f>
        <v>1</v>
      </c>
      <c r="X980" s="3" t="str">
        <f aca="false">IF(W980&gt;1,"Duplicate","Unique")</f>
        <v>Unique</v>
      </c>
      <c r="Y980" s="3" t="str">
        <f aca="false">IF(B980&lt;6.5,"&lt;6.5",IF(B980&lt;7,"6.5–6.9",IF(B980&lt;7.5,"7.0–7.4",IF(B980&lt;8,"7.5–7.9","8.0+"))))</f>
        <v>7.0–7.4</v>
      </c>
      <c r="Z980" s="3" t="n">
        <f aca="false">IF(T980="","",YEAR(T980))</f>
        <v>1995</v>
      </c>
    </row>
    <row r="981" customFormat="false" ht="13.8" hidden="false" customHeight="false" outlineLevel="0" collapsed="false">
      <c r="A981" s="3" t="s">
        <v>2523</v>
      </c>
      <c r="B981" s="3" t="n">
        <v>8</v>
      </c>
      <c r="C981" s="6" t="s">
        <v>2524</v>
      </c>
      <c r="D981" s="3" t="n">
        <v>0</v>
      </c>
      <c r="E981" s="3" t="n">
        <v>8</v>
      </c>
      <c r="F981" s="3"/>
      <c r="G981" s="3" t="n">
        <v>0</v>
      </c>
      <c r="H981" s="3" t="n">
        <v>985</v>
      </c>
      <c r="I981" s="3" t="s">
        <v>22</v>
      </c>
      <c r="J981" s="3" t="n">
        <v>0</v>
      </c>
      <c r="K981" s="3" t="n">
        <v>0</v>
      </c>
      <c r="L981" s="3" t="n">
        <v>0</v>
      </c>
      <c r="M981" s="3" t="s">
        <v>485</v>
      </c>
      <c r="N981" s="3" t="n">
        <v>33</v>
      </c>
      <c r="O981" s="3" t="n">
        <v>19.055</v>
      </c>
      <c r="P981" s="3" t="n">
        <v>-104.205</v>
      </c>
      <c r="Q981" s="3" t="s">
        <v>2525</v>
      </c>
      <c r="R981" s="3" t="s">
        <v>164</v>
      </c>
      <c r="S981" s="3" t="s">
        <v>165</v>
      </c>
      <c r="T981" s="5" t="n">
        <f aca="false">IF(C981="","",DATE(VALUE(MID(C981,7,4)),VALUE(MID(C981,4,2)),VALUE(MID(C981,1,2)))+TIME(VALUE(MID(C981,12,2)),VALUE(MID(C981,15,2)),0))</f>
        <v>34981.6493055556</v>
      </c>
      <c r="U981" s="3" t="str">
        <f aca="false">IFERROR(IF(ISNUMBER(VALUE(TRIM(MID(A981,FIND("-",A981)+1,FIND("km",A981)-FIND("-",A981)-1)))),"Distance + direction + city","Named-region"),"Named-region")</f>
        <v>Distance + direction + city</v>
      </c>
      <c r="V981" s="3" t="str">
        <f aca="false">LOWER(M981)</f>
        <v>mw</v>
      </c>
      <c r="W981" s="3" t="n">
        <f aca="false">COUNTIFS($A$2:$A$1001,A981,$C$2:$C$1001,C981)</f>
        <v>1</v>
      </c>
      <c r="X981" s="3" t="str">
        <f aca="false">IF(W981&gt;1,"Duplicate","Unique")</f>
        <v>Unique</v>
      </c>
      <c r="Y981" s="3" t="str">
        <f aca="false">IF(B981&lt;6.5,"&lt;6.5",IF(B981&lt;7,"6.5–6.9",IF(B981&lt;7.5,"7.0–7.4",IF(B981&lt;8,"7.5–7.9","8.0+"))))</f>
        <v>8.0+</v>
      </c>
      <c r="Z981" s="3" t="n">
        <f aca="false">IF(T981="","",YEAR(T981))</f>
        <v>1995</v>
      </c>
    </row>
    <row r="982" customFormat="false" ht="13.8" hidden="false" customHeight="false" outlineLevel="0" collapsed="false">
      <c r="A982" s="3" t="s">
        <v>2526</v>
      </c>
      <c r="B982" s="3" t="n">
        <v>6.8</v>
      </c>
      <c r="C982" s="6" t="s">
        <v>2527</v>
      </c>
      <c r="D982" s="3" t="n">
        <v>0</v>
      </c>
      <c r="E982" s="3" t="n">
        <v>7</v>
      </c>
      <c r="F982" s="3"/>
      <c r="G982" s="3" t="n">
        <v>0</v>
      </c>
      <c r="H982" s="3" t="n">
        <v>711</v>
      </c>
      <c r="I982" s="3" t="s">
        <v>22</v>
      </c>
      <c r="J982" s="3" t="n">
        <v>0</v>
      </c>
      <c r="K982" s="3" t="n">
        <v>0</v>
      </c>
      <c r="L982" s="3" t="n">
        <v>0</v>
      </c>
      <c r="M982" s="3" t="s">
        <v>485</v>
      </c>
      <c r="N982" s="3" t="n">
        <v>33</v>
      </c>
      <c r="O982" s="3" t="n">
        <v>-2.045</v>
      </c>
      <c r="P982" s="3" t="n">
        <v>101.436</v>
      </c>
      <c r="Q982" s="3" t="s">
        <v>809</v>
      </c>
      <c r="R982" s="3"/>
      <c r="S982" s="3" t="s">
        <v>68</v>
      </c>
      <c r="T982" s="5" t="n">
        <f aca="false">IF(C982="","",DATE(VALUE(MID(C982,7,4)),VALUE(MID(C982,4,2)),VALUE(MID(C982,1,2)))+TIME(VALUE(MID(C982,12,2)),VALUE(MID(C982,15,2)),0))</f>
        <v>34978.75625</v>
      </c>
      <c r="U982" s="3" t="str">
        <f aca="false">IFERROR(IF(ISNUMBER(VALUE(TRIM(MID(A982,FIND("-",A982)+1,FIND("km",A982)-FIND("-",A982)-1)))),"Distance + direction + city","Named-region"),"Named-region")</f>
        <v>Distance + direction + city</v>
      </c>
      <c r="V982" s="3" t="str">
        <f aca="false">LOWER(M982)</f>
        <v>mw</v>
      </c>
      <c r="W982" s="3" t="n">
        <f aca="false">COUNTIFS($A$2:$A$1001,A982,$C$2:$C$1001,C982)</f>
        <v>1</v>
      </c>
      <c r="X982" s="3" t="str">
        <f aca="false">IF(W982&gt;1,"Duplicate","Unique")</f>
        <v>Unique</v>
      </c>
      <c r="Y982" s="3" t="str">
        <f aca="false">IF(B982&lt;6.5,"&lt;6.5",IF(B982&lt;7,"6.5–6.9",IF(B982&lt;7.5,"7.0–7.4",IF(B982&lt;8,"7.5–7.9","8.0+"))))</f>
        <v>6.5–6.9</v>
      </c>
      <c r="Z982" s="3" t="n">
        <f aca="false">IF(T982="","",YEAR(T982))</f>
        <v>1995</v>
      </c>
    </row>
    <row r="983" customFormat="false" ht="13.8" hidden="false" customHeight="false" outlineLevel="0" collapsed="false">
      <c r="A983" s="3" t="s">
        <v>2528</v>
      </c>
      <c r="B983" s="3" t="n">
        <v>6.5</v>
      </c>
      <c r="C983" s="6" t="s">
        <v>2529</v>
      </c>
      <c r="D983" s="3" t="n">
        <v>0</v>
      </c>
      <c r="E983" s="3" t="n">
        <v>7</v>
      </c>
      <c r="F983" s="3"/>
      <c r="G983" s="3" t="n">
        <v>0</v>
      </c>
      <c r="H983" s="3" t="n">
        <v>650</v>
      </c>
      <c r="I983" s="3" t="s">
        <v>22</v>
      </c>
      <c r="J983" s="3" t="n">
        <v>0</v>
      </c>
      <c r="K983" s="3" t="n">
        <v>0</v>
      </c>
      <c r="L983" s="3" t="n">
        <v>0</v>
      </c>
      <c r="M983" s="3" t="s">
        <v>485</v>
      </c>
      <c r="N983" s="3" t="n">
        <v>16.7</v>
      </c>
      <c r="O983" s="3" t="n">
        <v>-2.778</v>
      </c>
      <c r="P983" s="3" t="n">
        <v>-77.851</v>
      </c>
      <c r="Q983" s="3" t="s">
        <v>2530</v>
      </c>
      <c r="R983" s="3" t="s">
        <v>33</v>
      </c>
      <c r="S983" s="3" t="s">
        <v>96</v>
      </c>
      <c r="T983" s="5" t="n">
        <f aca="false">IF(C983="","",DATE(VALUE(MID(C983,7,4)),VALUE(MID(C983,4,2)),VALUE(MID(C983,1,2)))+TIME(VALUE(MID(C983,12,2)),VALUE(MID(C983,15,2)),0))</f>
        <v>34975.5305555556</v>
      </c>
      <c r="U983" s="3" t="str">
        <f aca="false">IFERROR(IF(ISNUMBER(VALUE(TRIM(MID(A983,FIND("-",A983)+1,FIND("km",A983)-FIND("-",A983)-1)))),"Distance + direction + city","Named-region"),"Named-region")</f>
        <v>Distance + direction + city</v>
      </c>
      <c r="V983" s="3" t="str">
        <f aca="false">LOWER(M983)</f>
        <v>mw</v>
      </c>
      <c r="W983" s="3" t="n">
        <f aca="false">COUNTIFS($A$2:$A$1001,A983,$C$2:$C$1001,C983)</f>
        <v>1</v>
      </c>
      <c r="X983" s="3" t="str">
        <f aca="false">IF(W983&gt;1,"Duplicate","Unique")</f>
        <v>Unique</v>
      </c>
      <c r="Y983" s="3" t="str">
        <f aca="false">IF(B983&lt;6.5,"&lt;6.5",IF(B983&lt;7,"6.5–6.9",IF(B983&lt;7.5,"7.0–7.4",IF(B983&lt;8,"7.5–7.9","8.0+"))))</f>
        <v>6.5–6.9</v>
      </c>
      <c r="Z983" s="3" t="n">
        <f aca="false">IF(T983="","",YEAR(T983))</f>
        <v>1995</v>
      </c>
    </row>
    <row r="984" customFormat="false" ht="13.8" hidden="false" customHeight="false" outlineLevel="0" collapsed="false">
      <c r="A984" s="3" t="s">
        <v>2531</v>
      </c>
      <c r="B984" s="3" t="n">
        <v>7</v>
      </c>
      <c r="C984" s="6" t="s">
        <v>2532</v>
      </c>
      <c r="D984" s="3" t="n">
        <v>0</v>
      </c>
      <c r="E984" s="3" t="n">
        <v>7</v>
      </c>
      <c r="F984" s="3"/>
      <c r="G984" s="3" t="n">
        <v>0</v>
      </c>
      <c r="H984" s="3" t="n">
        <v>754</v>
      </c>
      <c r="I984" s="3" t="s">
        <v>22</v>
      </c>
      <c r="J984" s="3" t="n">
        <v>0</v>
      </c>
      <c r="K984" s="3" t="n">
        <v>0</v>
      </c>
      <c r="L984" s="3" t="n">
        <v>0</v>
      </c>
      <c r="M984" s="3" t="s">
        <v>485</v>
      </c>
      <c r="N984" s="3" t="n">
        <v>24.4</v>
      </c>
      <c r="O984" s="3" t="n">
        <v>-2.75</v>
      </c>
      <c r="P984" s="3" t="n">
        <v>-77.881</v>
      </c>
      <c r="Q984" s="3" t="s">
        <v>2530</v>
      </c>
      <c r="R984" s="3" t="s">
        <v>33</v>
      </c>
      <c r="S984" s="3" t="s">
        <v>96</v>
      </c>
      <c r="T984" s="5" t="n">
        <f aca="false">IF(C984="","",DATE(VALUE(MID(C984,7,4)),VALUE(MID(C984,4,2)),VALUE(MID(C984,1,2)))+TIME(VALUE(MID(C984,12,2)),VALUE(MID(C984,15,2)),0))</f>
        <v>34975.0770833333</v>
      </c>
      <c r="U984" s="3" t="str">
        <f aca="false">IFERROR(IF(ISNUMBER(VALUE(TRIM(MID(A984,FIND("-",A984)+1,FIND("km",A984)-FIND("-",A984)-1)))),"Distance + direction + city","Named-region"),"Named-region")</f>
        <v>Distance + direction + city</v>
      </c>
      <c r="V984" s="3" t="str">
        <f aca="false">LOWER(M984)</f>
        <v>mw</v>
      </c>
      <c r="W984" s="3" t="n">
        <f aca="false">COUNTIFS($A$2:$A$1001,A984,$C$2:$C$1001,C984)</f>
        <v>1</v>
      </c>
      <c r="X984" s="3" t="str">
        <f aca="false">IF(W984&gt;1,"Duplicate","Unique")</f>
        <v>Unique</v>
      </c>
      <c r="Y984" s="3" t="str">
        <f aca="false">IF(B984&lt;6.5,"&lt;6.5",IF(B984&lt;7,"6.5–6.9",IF(B984&lt;7.5,"7.0–7.4",IF(B984&lt;8,"7.5–7.9","8.0+"))))</f>
        <v>7.0–7.4</v>
      </c>
      <c r="Z984" s="3" t="n">
        <f aca="false">IF(T984="","",YEAR(T984))</f>
        <v>1995</v>
      </c>
    </row>
    <row r="985" customFormat="false" ht="13.8" hidden="false" customHeight="false" outlineLevel="0" collapsed="false">
      <c r="A985" s="3" t="s">
        <v>2533</v>
      </c>
      <c r="B985" s="3" t="n">
        <v>6.5</v>
      </c>
      <c r="C985" s="3" t="s">
        <v>2534</v>
      </c>
      <c r="D985" s="3" t="n">
        <v>0</v>
      </c>
      <c r="E985" s="3" t="n">
        <v>5</v>
      </c>
      <c r="F985" s="3"/>
      <c r="G985" s="3" t="n">
        <v>0</v>
      </c>
      <c r="H985" s="3" t="n">
        <v>650</v>
      </c>
      <c r="I985" s="3" t="s">
        <v>22</v>
      </c>
      <c r="J985" s="3" t="n">
        <v>0</v>
      </c>
      <c r="K985" s="3" t="n">
        <v>0</v>
      </c>
      <c r="L985" s="3" t="n">
        <v>0</v>
      </c>
      <c r="M985" s="3" t="s">
        <v>154</v>
      </c>
      <c r="N985" s="3" t="n">
        <v>59.9</v>
      </c>
      <c r="O985" s="3" t="n">
        <v>-10.68</v>
      </c>
      <c r="P985" s="3" t="n">
        <v>-78.581</v>
      </c>
      <c r="Q985" s="3" t="s">
        <v>2535</v>
      </c>
      <c r="R985" s="3"/>
      <c r="S985" s="3" t="s">
        <v>199</v>
      </c>
      <c r="T985" s="5" t="n">
        <f aca="false">IF(C985="","",DATE(VALUE(MID(C985,7,4)),VALUE(MID(C985,4,2)),VALUE(MID(C985,1,2)))+TIME(VALUE(MID(C985,12,2)),VALUE(MID(C985,15,2)),0))</f>
        <v>34965.9381944445</v>
      </c>
      <c r="U985" s="3" t="str">
        <f aca="false">IFERROR(IF(ISNUMBER(VALUE(TRIM(MID(A985,FIND("-",A985)+1,FIND("km",A985)-FIND("-",A985)-1)))),"Distance + direction + city","Named-region"),"Named-region")</f>
        <v>Distance + direction + city</v>
      </c>
      <c r="V985" s="3" t="str">
        <f aca="false">LOWER(M985)</f>
        <v>mwb</v>
      </c>
      <c r="W985" s="3" t="n">
        <f aca="false">COUNTIFS($A$2:$A$1001,A985,$C$2:$C$1001,C985)</f>
        <v>1</v>
      </c>
      <c r="X985" s="3" t="str">
        <f aca="false">IF(W985&gt;1,"Duplicate","Unique")</f>
        <v>Unique</v>
      </c>
      <c r="Y985" s="3" t="str">
        <f aca="false">IF(B985&lt;6.5,"&lt;6.5",IF(B985&lt;7,"6.5–6.9",IF(B985&lt;7.5,"7.0–7.4",IF(B985&lt;8,"7.5–7.9","8.0+"))))</f>
        <v>6.5–6.9</v>
      </c>
      <c r="Z985" s="3" t="n">
        <f aca="false">IF(T985="","",YEAR(T985))</f>
        <v>1995</v>
      </c>
    </row>
    <row r="986" customFormat="false" ht="13.8" hidden="false" customHeight="false" outlineLevel="0" collapsed="false">
      <c r="A986" s="3" t="s">
        <v>2536</v>
      </c>
      <c r="B986" s="3" t="n">
        <v>7.4</v>
      </c>
      <c r="C986" s="3" t="s">
        <v>2537</v>
      </c>
      <c r="D986" s="3" t="n">
        <v>0</v>
      </c>
      <c r="E986" s="3" t="n">
        <v>7</v>
      </c>
      <c r="F986" s="3"/>
      <c r="G986" s="3" t="n">
        <v>0</v>
      </c>
      <c r="H986" s="3" t="n">
        <v>842</v>
      </c>
      <c r="I986" s="3" t="s">
        <v>22</v>
      </c>
      <c r="J986" s="3" t="n">
        <v>0</v>
      </c>
      <c r="K986" s="3" t="n">
        <v>0</v>
      </c>
      <c r="L986" s="3" t="n">
        <v>0</v>
      </c>
      <c r="M986" s="3" t="s">
        <v>154</v>
      </c>
      <c r="N986" s="3" t="n">
        <v>23</v>
      </c>
      <c r="O986" s="3" t="n">
        <v>16.779</v>
      </c>
      <c r="P986" s="3" t="n">
        <v>-98.597</v>
      </c>
      <c r="Q986" s="3" t="s">
        <v>2538</v>
      </c>
      <c r="R986" s="3" t="s">
        <v>164</v>
      </c>
      <c r="S986" s="3" t="s">
        <v>165</v>
      </c>
      <c r="T986" s="5" t="n">
        <f aca="false">IF(C986="","",DATE(VALUE(MID(C986,7,4)),VALUE(MID(C986,4,2)),VALUE(MID(C986,1,2)))+TIME(VALUE(MID(C986,12,2)),VALUE(MID(C986,15,2)),0))</f>
        <v>34956.5861111111</v>
      </c>
      <c r="U986" s="3" t="str">
        <f aca="false">IFERROR(IF(ISNUMBER(VALUE(TRIM(MID(A986,FIND("-",A986)+1,FIND("km",A986)-FIND("-",A986)-1)))),"Distance + direction + city","Named-region"),"Named-region")</f>
        <v>Distance + direction + city</v>
      </c>
      <c r="V986" s="3" t="str">
        <f aca="false">LOWER(M986)</f>
        <v>mwb</v>
      </c>
      <c r="W986" s="3" t="n">
        <f aca="false">COUNTIFS($A$2:$A$1001,A986,$C$2:$C$1001,C986)</f>
        <v>1</v>
      </c>
      <c r="X986" s="3" t="str">
        <f aca="false">IF(W986&gt;1,"Duplicate","Unique")</f>
        <v>Unique</v>
      </c>
      <c r="Y986" s="3" t="str">
        <f aca="false">IF(B986&lt;6.5,"&lt;6.5",IF(B986&lt;7,"6.5–6.9",IF(B986&lt;7.5,"7.0–7.4",IF(B986&lt;8,"7.5–7.9","8.0+"))))</f>
        <v>7.0–7.4</v>
      </c>
      <c r="Z986" s="3" t="n">
        <f aca="false">IF(T986="","",YEAR(T986))</f>
        <v>1995</v>
      </c>
    </row>
    <row r="987" customFormat="false" ht="13.8" hidden="false" customHeight="false" outlineLevel="0" collapsed="false">
      <c r="A987" s="3" t="s">
        <v>2539</v>
      </c>
      <c r="B987" s="3" t="n">
        <v>6.6</v>
      </c>
      <c r="C987" s="3" t="s">
        <v>2540</v>
      </c>
      <c r="D987" s="3" t="n">
        <v>0</v>
      </c>
      <c r="E987" s="3" t="n">
        <v>5</v>
      </c>
      <c r="F987" s="3"/>
      <c r="G987" s="3" t="n">
        <v>0</v>
      </c>
      <c r="H987" s="3" t="n">
        <v>670</v>
      </c>
      <c r="I987" s="3" t="s">
        <v>22</v>
      </c>
      <c r="J987" s="3" t="n">
        <v>0</v>
      </c>
      <c r="K987" s="3" t="n">
        <v>0</v>
      </c>
      <c r="L987" s="3" t="n">
        <v>0</v>
      </c>
      <c r="M987" s="3" t="s">
        <v>154</v>
      </c>
      <c r="N987" s="3" t="n">
        <v>12.2</v>
      </c>
      <c r="O987" s="3" t="n">
        <v>26.092</v>
      </c>
      <c r="P987" s="3" t="n">
        <v>-110.284</v>
      </c>
      <c r="Q987" s="3" t="s">
        <v>1118</v>
      </c>
      <c r="R987" s="3"/>
      <c r="S987" s="3"/>
      <c r="T987" s="5" t="n">
        <f aca="false">IF(C987="","",DATE(VALUE(MID(C987,7,4)),VALUE(MID(C987,4,2)),VALUE(MID(C987,1,2)))+TIME(VALUE(MID(C987,12,2)),VALUE(MID(C987,15,2)),0))</f>
        <v>34939.4486111111</v>
      </c>
      <c r="U987" s="3" t="str">
        <f aca="false">IFERROR(IF(ISNUMBER(VALUE(TRIM(MID(A987,FIND("-",A987)+1,FIND("km",A987)-FIND("-",A987)-1)))),"Distance + direction + city","Named-region"),"Named-region")</f>
        <v>Distance + direction + city</v>
      </c>
      <c r="V987" s="3" t="str">
        <f aca="false">LOWER(M987)</f>
        <v>mwb</v>
      </c>
      <c r="W987" s="3" t="n">
        <f aca="false">COUNTIFS($A$2:$A$1001,A987,$C$2:$C$1001,C987)</f>
        <v>1</v>
      </c>
      <c r="X987" s="3" t="str">
        <f aca="false">IF(W987&gt;1,"Duplicate","Unique")</f>
        <v>Unique</v>
      </c>
      <c r="Y987" s="3" t="str">
        <f aca="false">IF(B987&lt;6.5,"&lt;6.5",IF(B987&lt;7,"6.5–6.9",IF(B987&lt;7.5,"7.0–7.4",IF(B987&lt;8,"7.5–7.9","8.0+"))))</f>
        <v>6.5–6.9</v>
      </c>
      <c r="Z987" s="3" t="n">
        <f aca="false">IF(T987="","",YEAR(T987))</f>
        <v>1995</v>
      </c>
    </row>
    <row r="988" customFormat="false" ht="13.8" hidden="false" customHeight="false" outlineLevel="0" collapsed="false">
      <c r="A988" s="3" t="s">
        <v>2541</v>
      </c>
      <c r="B988" s="3" t="n">
        <v>6.6</v>
      </c>
      <c r="C988" s="3" t="s">
        <v>2542</v>
      </c>
      <c r="D988" s="3" t="n">
        <v>0</v>
      </c>
      <c r="E988" s="3" t="n">
        <v>6</v>
      </c>
      <c r="F988" s="3"/>
      <c r="G988" s="3" t="n">
        <v>0</v>
      </c>
      <c r="H988" s="3" t="n">
        <v>670</v>
      </c>
      <c r="I988" s="3" t="s">
        <v>22</v>
      </c>
      <c r="J988" s="3" t="n">
        <v>0</v>
      </c>
      <c r="K988" s="3" t="n">
        <v>0</v>
      </c>
      <c r="L988" s="3" t="n">
        <v>0</v>
      </c>
      <c r="M988" s="3" t="s">
        <v>485</v>
      </c>
      <c r="N988" s="3" t="n">
        <v>119.6</v>
      </c>
      <c r="O988" s="3" t="n">
        <v>5.139</v>
      </c>
      <c r="P988" s="3" t="n">
        <v>-75.577</v>
      </c>
      <c r="Q988" s="3" t="s">
        <v>2543</v>
      </c>
      <c r="R988" s="3" t="s">
        <v>33</v>
      </c>
      <c r="S988" s="3" t="s">
        <v>54</v>
      </c>
      <c r="T988" s="5" t="n">
        <f aca="false">IF(C988="","",DATE(VALUE(MID(C988,7,4)),VALUE(MID(C988,4,2)),VALUE(MID(C988,1,2)))+TIME(VALUE(MID(C988,12,2)),VALUE(MID(C988,15,2)),0))</f>
        <v>34930.9048611111</v>
      </c>
      <c r="U988" s="3" t="str">
        <f aca="false">IFERROR(IF(ISNUMBER(VALUE(TRIM(MID(A988,FIND("-",A988)+1,FIND("km",A988)-FIND("-",A988)-1)))),"Distance + direction + city","Named-region"),"Named-region")</f>
        <v>Distance + direction + city</v>
      </c>
      <c r="V988" s="3" t="str">
        <f aca="false">LOWER(M988)</f>
        <v>mw</v>
      </c>
      <c r="W988" s="3" t="n">
        <f aca="false">COUNTIFS($A$2:$A$1001,A988,$C$2:$C$1001,C988)</f>
        <v>1</v>
      </c>
      <c r="X988" s="3" t="str">
        <f aca="false">IF(W988&gt;1,"Duplicate","Unique")</f>
        <v>Unique</v>
      </c>
      <c r="Y988" s="3" t="str">
        <f aca="false">IF(B988&lt;6.5,"&lt;6.5",IF(B988&lt;7,"6.5–6.9",IF(B988&lt;7.5,"7.0–7.4",IF(B988&lt;8,"7.5–7.9","8.0+"))))</f>
        <v>6.5–6.9</v>
      </c>
      <c r="Z988" s="3" t="n">
        <f aca="false">IF(T988="","",YEAR(T988))</f>
        <v>1995</v>
      </c>
    </row>
    <row r="989" customFormat="false" ht="13.8" hidden="false" customHeight="false" outlineLevel="0" collapsed="false">
      <c r="A989" s="3" t="s">
        <v>2544</v>
      </c>
      <c r="B989" s="3" t="n">
        <v>7.2</v>
      </c>
      <c r="C989" s="3" t="s">
        <v>2545</v>
      </c>
      <c r="D989" s="3" t="n">
        <v>0</v>
      </c>
      <c r="E989" s="3" t="n">
        <v>6</v>
      </c>
      <c r="F989" s="3"/>
      <c r="G989" s="3" t="n">
        <v>0</v>
      </c>
      <c r="H989" s="3" t="n">
        <v>798</v>
      </c>
      <c r="I989" s="3" t="s">
        <v>22</v>
      </c>
      <c r="J989" s="3" t="n">
        <v>0</v>
      </c>
      <c r="K989" s="3" t="n">
        <v>0</v>
      </c>
      <c r="L989" s="3" t="n">
        <v>0</v>
      </c>
      <c r="M989" s="3" t="s">
        <v>485</v>
      </c>
      <c r="N989" s="3" t="n">
        <v>33</v>
      </c>
      <c r="O989" s="3" t="n">
        <v>-5.771</v>
      </c>
      <c r="P989" s="3" t="n">
        <v>154.347</v>
      </c>
      <c r="Q989" s="3" t="s">
        <v>736</v>
      </c>
      <c r="R989" s="3"/>
      <c r="S989" s="3"/>
      <c r="T989" s="5" t="n">
        <f aca="false">IF(C989="","",DATE(VALUE(MID(C989,7,4)),VALUE(MID(C989,4,2)),VALUE(MID(C989,1,2)))+TIME(VALUE(MID(C989,12,2)),VALUE(MID(C989,15,2)),0))</f>
        <v>34927.9652777778</v>
      </c>
      <c r="U989" s="3" t="str">
        <f aca="false">IFERROR(IF(ISNUMBER(VALUE(TRIM(MID(A989,FIND("-",A989)+1,FIND("km",A989)-FIND("-",A989)-1)))),"Distance + direction + city","Named-region"),"Named-region")</f>
        <v>Distance + direction + city</v>
      </c>
      <c r="V989" s="3" t="str">
        <f aca="false">LOWER(M989)</f>
        <v>mw</v>
      </c>
      <c r="W989" s="3" t="n">
        <f aca="false">COUNTIFS($A$2:$A$1001,A989,$C$2:$C$1001,C989)</f>
        <v>1</v>
      </c>
      <c r="X989" s="3" t="str">
        <f aca="false">IF(W989&gt;1,"Duplicate","Unique")</f>
        <v>Unique</v>
      </c>
      <c r="Y989" s="3" t="str">
        <f aca="false">IF(B989&lt;6.5,"&lt;6.5",IF(B989&lt;7,"6.5–6.9",IF(B989&lt;7.5,"7.0–7.4",IF(B989&lt;8,"7.5–7.9","8.0+"))))</f>
        <v>7.0–7.4</v>
      </c>
      <c r="Z989" s="3" t="n">
        <f aca="false">IF(T989="","",YEAR(T989))</f>
        <v>1995</v>
      </c>
    </row>
    <row r="990" customFormat="false" ht="13.8" hidden="false" customHeight="false" outlineLevel="0" collapsed="false">
      <c r="A990" s="3" t="s">
        <v>2546</v>
      </c>
      <c r="B990" s="3" t="n">
        <v>6.6</v>
      </c>
      <c r="C990" s="3" t="s">
        <v>2547</v>
      </c>
      <c r="D990" s="3" t="n">
        <v>0</v>
      </c>
      <c r="E990" s="3" t="n">
        <v>4</v>
      </c>
      <c r="F990" s="3"/>
      <c r="G990" s="3" t="n">
        <v>0</v>
      </c>
      <c r="H990" s="3" t="n">
        <v>670</v>
      </c>
      <c r="I990" s="3" t="s">
        <v>22</v>
      </c>
      <c r="J990" s="3" t="n">
        <v>0</v>
      </c>
      <c r="K990" s="3" t="n">
        <v>0</v>
      </c>
      <c r="L990" s="3" t="n">
        <v>0</v>
      </c>
      <c r="M990" s="3" t="s">
        <v>485</v>
      </c>
      <c r="N990" s="3" t="n">
        <v>18.7</v>
      </c>
      <c r="O990" s="3" t="n">
        <v>-5.429</v>
      </c>
      <c r="P990" s="3" t="n">
        <v>153.773</v>
      </c>
      <c r="Q990" s="3" t="s">
        <v>625</v>
      </c>
      <c r="R990" s="3"/>
      <c r="S990" s="3"/>
      <c r="T990" s="5" t="n">
        <f aca="false">IF(C990="","",DATE(VALUE(MID(C990,7,4)),VALUE(MID(C990,4,2)),VALUE(MID(C990,1,2)))+TIME(VALUE(MID(C990,12,2)),VALUE(MID(C990,15,2)),0))</f>
        <v>34927.6833333333</v>
      </c>
      <c r="U990" s="3" t="str">
        <f aca="false">IFERROR(IF(ISNUMBER(VALUE(TRIM(MID(A990,FIND("-",A990)+1,FIND("km",A990)-FIND("-",A990)-1)))),"Distance + direction + city","Named-region"),"Named-region")</f>
        <v>Distance + direction + city</v>
      </c>
      <c r="V990" s="3" t="str">
        <f aca="false">LOWER(M990)</f>
        <v>mw</v>
      </c>
      <c r="W990" s="3" t="n">
        <f aca="false">COUNTIFS($A$2:$A$1001,A990,$C$2:$C$1001,C990)</f>
        <v>1</v>
      </c>
      <c r="X990" s="3" t="str">
        <f aca="false">IF(W990&gt;1,"Duplicate","Unique")</f>
        <v>Unique</v>
      </c>
      <c r="Y990" s="3" t="str">
        <f aca="false">IF(B990&lt;6.5,"&lt;6.5",IF(B990&lt;7,"6.5–6.9",IF(B990&lt;7.5,"7.0–7.4",IF(B990&lt;8,"7.5–7.9","8.0+"))))</f>
        <v>6.5–6.9</v>
      </c>
      <c r="Z990" s="3" t="n">
        <f aca="false">IF(T990="","",YEAR(T990))</f>
        <v>1995</v>
      </c>
    </row>
    <row r="991" customFormat="false" ht="13.8" hidden="false" customHeight="false" outlineLevel="0" collapsed="false">
      <c r="A991" s="3" t="s">
        <v>2548</v>
      </c>
      <c r="B991" s="3" t="n">
        <v>7.7</v>
      </c>
      <c r="C991" s="3" t="s">
        <v>2549</v>
      </c>
      <c r="D991" s="3" t="n">
        <v>0</v>
      </c>
      <c r="E991" s="3" t="n">
        <v>6</v>
      </c>
      <c r="F991" s="3"/>
      <c r="G991" s="3" t="n">
        <v>0</v>
      </c>
      <c r="H991" s="3" t="n">
        <v>912</v>
      </c>
      <c r="I991" s="3" t="s">
        <v>22</v>
      </c>
      <c r="J991" s="3" t="n">
        <v>0</v>
      </c>
      <c r="K991" s="3" t="n">
        <v>0</v>
      </c>
      <c r="L991" s="3" t="n">
        <v>0</v>
      </c>
      <c r="M991" s="3" t="s">
        <v>485</v>
      </c>
      <c r="N991" s="3" t="n">
        <v>30.1</v>
      </c>
      <c r="O991" s="3" t="n">
        <v>-5.799</v>
      </c>
      <c r="P991" s="3" t="n">
        <v>154.178</v>
      </c>
      <c r="Q991" s="3" t="s">
        <v>736</v>
      </c>
      <c r="R991" s="3"/>
      <c r="S991" s="3"/>
      <c r="T991" s="5" t="n">
        <f aca="false">IF(C991="","",DATE(VALUE(MID(C991,7,4)),VALUE(MID(C991,4,2)),VALUE(MID(C991,1,2)))+TIME(VALUE(MID(C991,12,2)),VALUE(MID(C991,15,2)),0))</f>
        <v>34927.4354166667</v>
      </c>
      <c r="U991" s="3" t="str">
        <f aca="false">IFERROR(IF(ISNUMBER(VALUE(TRIM(MID(A991,FIND("-",A991)+1,FIND("km",A991)-FIND("-",A991)-1)))),"Distance + direction + city","Named-region"),"Named-region")</f>
        <v>Distance + direction + city</v>
      </c>
      <c r="V991" s="3" t="str">
        <f aca="false">LOWER(M991)</f>
        <v>mw</v>
      </c>
      <c r="W991" s="3" t="n">
        <f aca="false">COUNTIFS($A$2:$A$1001,A991,$C$2:$C$1001,C991)</f>
        <v>1</v>
      </c>
      <c r="X991" s="3" t="str">
        <f aca="false">IF(W991&gt;1,"Duplicate","Unique")</f>
        <v>Unique</v>
      </c>
      <c r="Y991" s="3" t="str">
        <f aca="false">IF(B991&lt;6.5,"&lt;6.5",IF(B991&lt;7,"6.5–6.9",IF(B991&lt;7.5,"7.0–7.4",IF(B991&lt;8,"7.5–7.9","8.0+"))))</f>
        <v>7.5–7.9</v>
      </c>
      <c r="Z991" s="3" t="n">
        <f aca="false">IF(T991="","",YEAR(T991))</f>
        <v>1995</v>
      </c>
    </row>
    <row r="992" customFormat="false" ht="13.8" hidden="false" customHeight="false" outlineLevel="0" collapsed="false">
      <c r="A992" s="3" t="s">
        <v>2550</v>
      </c>
      <c r="B992" s="3" t="n">
        <v>6.7</v>
      </c>
      <c r="C992" s="3" t="s">
        <v>2551</v>
      </c>
      <c r="D992" s="3" t="n">
        <v>0</v>
      </c>
      <c r="E992" s="3" t="n">
        <v>6</v>
      </c>
      <c r="F992" s="3"/>
      <c r="G992" s="3" t="n">
        <v>0</v>
      </c>
      <c r="H992" s="3" t="n">
        <v>691</v>
      </c>
      <c r="I992" s="3" t="s">
        <v>22</v>
      </c>
      <c r="J992" s="3" t="n">
        <v>0</v>
      </c>
      <c r="K992" s="3" t="n">
        <v>0</v>
      </c>
      <c r="L992" s="3" t="n">
        <v>0</v>
      </c>
      <c r="M992" s="3" t="s">
        <v>485</v>
      </c>
      <c r="N992" s="3" t="n">
        <v>127.9</v>
      </c>
      <c r="O992" s="3" t="n">
        <v>-4.836</v>
      </c>
      <c r="P992" s="3" t="n">
        <v>151.515</v>
      </c>
      <c r="Q992" s="3" t="s">
        <v>625</v>
      </c>
      <c r="R992" s="3"/>
      <c r="S992" s="3" t="s">
        <v>85</v>
      </c>
      <c r="T992" s="5" t="n">
        <f aca="false">IF(C992="","",DATE(VALUE(MID(C992,7,4)),VALUE(MID(C992,4,2)),VALUE(MID(C992,1,2)))+TIME(VALUE(MID(C992,12,2)),VALUE(MID(C992,15,2)),0))</f>
        <v>34925.1923611111</v>
      </c>
      <c r="U992" s="3" t="str">
        <f aca="false">IFERROR(IF(ISNUMBER(VALUE(TRIM(MID(A992,FIND("-",A992)+1,FIND("km",A992)-FIND("-",A992)-1)))),"Distance + direction + city","Named-region"),"Named-region")</f>
        <v>Distance + direction + city</v>
      </c>
      <c r="V992" s="3" t="str">
        <f aca="false">LOWER(M992)</f>
        <v>mw</v>
      </c>
      <c r="W992" s="3" t="n">
        <f aca="false">COUNTIFS($A$2:$A$1001,A992,$C$2:$C$1001,C992)</f>
        <v>1</v>
      </c>
      <c r="X992" s="3" t="str">
        <f aca="false">IF(W992&gt;1,"Duplicate","Unique")</f>
        <v>Unique</v>
      </c>
      <c r="Y992" s="3" t="str">
        <f aca="false">IF(B992&lt;6.5,"&lt;6.5",IF(B992&lt;7,"6.5–6.9",IF(B992&lt;7.5,"7.0–7.4",IF(B992&lt;8,"7.5–7.9","8.0+"))))</f>
        <v>6.5–6.9</v>
      </c>
      <c r="Z992" s="3" t="n">
        <f aca="false">IF(T992="","",YEAR(T992))</f>
        <v>1995</v>
      </c>
    </row>
    <row r="993" customFormat="false" ht="13.8" hidden="false" customHeight="false" outlineLevel="0" collapsed="false">
      <c r="A993" s="3" t="s">
        <v>2552</v>
      </c>
      <c r="B993" s="3" t="n">
        <v>8</v>
      </c>
      <c r="C993" s="3" t="s">
        <v>2553</v>
      </c>
      <c r="D993" s="3" t="n">
        <v>0</v>
      </c>
      <c r="E993" s="3" t="n">
        <v>8</v>
      </c>
      <c r="F993" s="3"/>
      <c r="G993" s="3" t="n">
        <v>0</v>
      </c>
      <c r="H993" s="3" t="n">
        <v>985</v>
      </c>
      <c r="I993" s="3" t="s">
        <v>22</v>
      </c>
      <c r="J993" s="3" t="n">
        <v>0</v>
      </c>
      <c r="K993" s="3" t="n">
        <v>0</v>
      </c>
      <c r="L993" s="3" t="n">
        <v>0</v>
      </c>
      <c r="M993" s="3" t="s">
        <v>485</v>
      </c>
      <c r="N993" s="3" t="n">
        <v>45.6</v>
      </c>
      <c r="O993" s="3" t="n">
        <v>-23.34</v>
      </c>
      <c r="P993" s="3" t="n">
        <v>-70.294</v>
      </c>
      <c r="Q993" s="3" t="s">
        <v>1630</v>
      </c>
      <c r="R993" s="3" t="s">
        <v>33</v>
      </c>
      <c r="S993" s="3" t="s">
        <v>373</v>
      </c>
      <c r="T993" s="5" t="n">
        <f aca="false">IF(C993="","",DATE(VALUE(MID(C993,7,4)),VALUE(MID(C993,4,2)),VALUE(MID(C993,1,2)))+TIME(VALUE(MID(C993,12,2)),VALUE(MID(C993,15,2)),0))</f>
        <v>34910.2159722222</v>
      </c>
      <c r="U993" s="3" t="str">
        <f aca="false">IFERROR(IF(ISNUMBER(VALUE(TRIM(MID(A993,FIND("-",A993)+1,FIND("km",A993)-FIND("-",A993)-1)))),"Distance + direction + city","Named-region"),"Named-region")</f>
        <v>Distance + direction + city</v>
      </c>
      <c r="V993" s="3" t="str">
        <f aca="false">LOWER(M993)</f>
        <v>mw</v>
      </c>
      <c r="W993" s="3" t="n">
        <f aca="false">COUNTIFS($A$2:$A$1001,A993,$C$2:$C$1001,C993)</f>
        <v>1</v>
      </c>
      <c r="X993" s="3" t="str">
        <f aca="false">IF(W993&gt;1,"Duplicate","Unique")</f>
        <v>Unique</v>
      </c>
      <c r="Y993" s="3" t="str">
        <f aca="false">IF(B993&lt;6.5,"&lt;6.5",IF(B993&lt;7,"6.5–6.9",IF(B993&lt;7.5,"7.0–7.4",IF(B993&lt;8,"7.5–7.9","8.0+"))))</f>
        <v>8.0+</v>
      </c>
      <c r="Z993" s="3" t="n">
        <f aca="false">IF(T993="","",YEAR(T993))</f>
        <v>1995</v>
      </c>
    </row>
    <row r="994" customFormat="false" ht="13.8" hidden="false" customHeight="false" outlineLevel="0" collapsed="false">
      <c r="A994" s="3" t="s">
        <v>2554</v>
      </c>
      <c r="B994" s="3" t="n">
        <v>6.8</v>
      </c>
      <c r="C994" s="6" t="s">
        <v>2555</v>
      </c>
      <c r="D994" s="3" t="n">
        <v>0</v>
      </c>
      <c r="E994" s="3" t="n">
        <v>8</v>
      </c>
      <c r="F994" s="3"/>
      <c r="G994" s="3" t="n">
        <v>0</v>
      </c>
      <c r="H994" s="3" t="n">
        <v>711</v>
      </c>
      <c r="I994" s="3" t="s">
        <v>22</v>
      </c>
      <c r="J994" s="3" t="n">
        <v>0</v>
      </c>
      <c r="K994" s="3" t="n">
        <v>0</v>
      </c>
      <c r="L994" s="3" t="n">
        <v>0</v>
      </c>
      <c r="M994" s="3" t="s">
        <v>485</v>
      </c>
      <c r="N994" s="3" t="n">
        <v>12.5</v>
      </c>
      <c r="O994" s="3" t="n">
        <v>21.966</v>
      </c>
      <c r="P994" s="3" t="n">
        <v>99.196</v>
      </c>
      <c r="Q994" s="3" t="s">
        <v>2556</v>
      </c>
      <c r="R994" s="3" t="s">
        <v>80</v>
      </c>
      <c r="S994" s="3" t="s">
        <v>801</v>
      </c>
      <c r="T994" s="5" t="n">
        <f aca="false">IF(C994="","",DATE(VALUE(MID(C994,7,4)),VALUE(MID(C994,4,2)),VALUE(MID(C994,1,2)))+TIME(VALUE(MID(C994,12,2)),VALUE(MID(C994,15,2)),0))</f>
        <v>34891.9069444445</v>
      </c>
      <c r="U994" s="3" t="str">
        <f aca="false">IFERROR(IF(ISNUMBER(VALUE(TRIM(MID(A994,FIND("-",A994)+1,FIND("km",A994)-FIND("-",A994)-1)))),"Distance + direction + city","Named-region"),"Named-region")</f>
        <v>Distance + direction + city</v>
      </c>
      <c r="V994" s="3" t="str">
        <f aca="false">LOWER(M994)</f>
        <v>mw</v>
      </c>
      <c r="W994" s="3" t="n">
        <f aca="false">COUNTIFS($A$2:$A$1001,A994,$C$2:$C$1001,C994)</f>
        <v>1</v>
      </c>
      <c r="X994" s="3" t="str">
        <f aca="false">IF(W994&gt;1,"Duplicate","Unique")</f>
        <v>Unique</v>
      </c>
      <c r="Y994" s="3" t="str">
        <f aca="false">IF(B994&lt;6.5,"&lt;6.5",IF(B994&lt;7,"6.5–6.9",IF(B994&lt;7.5,"7.0–7.4",IF(B994&lt;8,"7.5–7.9","8.0+"))))</f>
        <v>6.5–6.9</v>
      </c>
      <c r="Z994" s="3" t="n">
        <f aca="false">IF(T994="","",YEAR(T994))</f>
        <v>1995</v>
      </c>
    </row>
    <row r="995" customFormat="false" ht="13.8" hidden="false" customHeight="false" outlineLevel="0" collapsed="false">
      <c r="A995" s="3" t="s">
        <v>2557</v>
      </c>
      <c r="B995" s="3" t="n">
        <v>6.6</v>
      </c>
      <c r="C995" s="3" t="s">
        <v>2558</v>
      </c>
      <c r="D995" s="3" t="n">
        <v>0</v>
      </c>
      <c r="E995" s="3" t="n">
        <v>5</v>
      </c>
      <c r="F995" s="3"/>
      <c r="G995" s="3" t="n">
        <v>0</v>
      </c>
      <c r="H995" s="3" t="n">
        <v>670</v>
      </c>
      <c r="I995" s="3" t="s">
        <v>22</v>
      </c>
      <c r="J995" s="3" t="n">
        <v>0</v>
      </c>
      <c r="K995" s="3" t="n">
        <v>0</v>
      </c>
      <c r="L995" s="3" t="n">
        <v>0</v>
      </c>
      <c r="M995" s="3" t="s">
        <v>485</v>
      </c>
      <c r="N995" s="3" t="n">
        <v>139.4</v>
      </c>
      <c r="O995" s="3" t="n">
        <v>-19.544</v>
      </c>
      <c r="P995" s="3" t="n">
        <v>169.287</v>
      </c>
      <c r="Q995" s="3" t="s">
        <v>177</v>
      </c>
      <c r="R995" s="3"/>
      <c r="S995" s="3" t="s">
        <v>25</v>
      </c>
      <c r="T995" s="5" t="n">
        <f aca="false">IF(C995="","",DATE(VALUE(MID(C995,7,4)),VALUE(MID(C995,4,2)),VALUE(MID(C995,1,2)))+TIME(VALUE(MID(C995,12,2)),VALUE(MID(C995,15,2)),0))</f>
        <v>34879.5166666667</v>
      </c>
      <c r="U995" s="3" t="str">
        <f aca="false">IFERROR(IF(ISNUMBER(VALUE(TRIM(MID(A995,FIND("-",A995)+1,FIND("km",A995)-FIND("-",A995)-1)))),"Distance + direction + city","Named-region"),"Named-region")</f>
        <v>Distance + direction + city</v>
      </c>
      <c r="V995" s="3" t="str">
        <f aca="false">LOWER(M995)</f>
        <v>mw</v>
      </c>
      <c r="W995" s="3" t="n">
        <f aca="false">COUNTIFS($A$2:$A$1001,A995,$C$2:$C$1001,C995)</f>
        <v>1</v>
      </c>
      <c r="X995" s="3" t="str">
        <f aca="false">IF(W995&gt;1,"Duplicate","Unique")</f>
        <v>Unique</v>
      </c>
      <c r="Y995" s="3" t="str">
        <f aca="false">IF(B995&lt;6.5,"&lt;6.5",IF(B995&lt;7,"6.5–6.9",IF(B995&lt;7.5,"7.0–7.4",IF(B995&lt;8,"7.5–7.9","8.0+"))))</f>
        <v>6.5–6.9</v>
      </c>
      <c r="Z995" s="3" t="n">
        <f aca="false">IF(T995="","",YEAR(T995))</f>
        <v>1995</v>
      </c>
    </row>
    <row r="996" customFormat="false" ht="13.8" hidden="false" customHeight="false" outlineLevel="0" collapsed="false">
      <c r="A996" s="3" t="s">
        <v>2559</v>
      </c>
      <c r="B996" s="3" t="n">
        <v>6.5</v>
      </c>
      <c r="C996" s="3" t="s">
        <v>2560</v>
      </c>
      <c r="D996" s="3" t="n">
        <v>0</v>
      </c>
      <c r="E996" s="3" t="n">
        <v>7</v>
      </c>
      <c r="F996" s="3"/>
      <c r="G996" s="3" t="n">
        <v>0</v>
      </c>
      <c r="H996" s="3" t="n">
        <v>650</v>
      </c>
      <c r="I996" s="3" t="s">
        <v>22</v>
      </c>
      <c r="J996" s="3" t="n">
        <v>0</v>
      </c>
      <c r="K996" s="3" t="n">
        <v>0</v>
      </c>
      <c r="L996" s="3" t="n">
        <v>0</v>
      </c>
      <c r="M996" s="3" t="s">
        <v>485</v>
      </c>
      <c r="N996" s="3" t="n">
        <v>14.2</v>
      </c>
      <c r="O996" s="3" t="n">
        <v>38.401</v>
      </c>
      <c r="P996" s="3" t="n">
        <v>22.283</v>
      </c>
      <c r="Q996" s="3" t="s">
        <v>2561</v>
      </c>
      <c r="R996" s="3" t="s">
        <v>361</v>
      </c>
      <c r="S996" s="3" t="s">
        <v>362</v>
      </c>
      <c r="T996" s="5" t="n">
        <f aca="false">IF(C996="","",DATE(VALUE(MID(C996,7,4)),VALUE(MID(C996,4,2)),VALUE(MID(C996,1,2)))+TIME(VALUE(MID(C996,12,2)),VALUE(MID(C996,15,2)),0))</f>
        <v>34865.0104166667</v>
      </c>
      <c r="U996" s="3" t="str">
        <f aca="false">IFERROR(IF(ISNUMBER(VALUE(TRIM(MID(A996,FIND("-",A996)+1,FIND("km",A996)-FIND("-",A996)-1)))),"Distance + direction + city","Named-region"),"Named-region")</f>
        <v>Distance + direction + city</v>
      </c>
      <c r="V996" s="3" t="str">
        <f aca="false">LOWER(M996)</f>
        <v>mw</v>
      </c>
      <c r="W996" s="3" t="n">
        <f aca="false">COUNTIFS($A$2:$A$1001,A996,$C$2:$C$1001,C996)</f>
        <v>1</v>
      </c>
      <c r="X996" s="3" t="str">
        <f aca="false">IF(W996&gt;1,"Duplicate","Unique")</f>
        <v>Unique</v>
      </c>
      <c r="Y996" s="3" t="str">
        <f aca="false">IF(B996&lt;6.5,"&lt;6.5",IF(B996&lt;7,"6.5–6.9",IF(B996&lt;7.5,"7.0–7.4",IF(B996&lt;8,"7.5–7.9","8.0+"))))</f>
        <v>6.5–6.9</v>
      </c>
      <c r="Z996" s="3" t="n">
        <f aca="false">IF(T996="","",YEAR(T996))</f>
        <v>1995</v>
      </c>
    </row>
    <row r="997" customFormat="false" ht="13.8" hidden="false" customHeight="false" outlineLevel="0" collapsed="false">
      <c r="A997" s="3" t="s">
        <v>2562</v>
      </c>
      <c r="B997" s="3" t="n">
        <v>7.1</v>
      </c>
      <c r="C997" s="3" t="s">
        <v>2563</v>
      </c>
      <c r="D997" s="3" t="n">
        <v>0</v>
      </c>
      <c r="E997" s="3" t="n">
        <v>9</v>
      </c>
      <c r="F997" s="3"/>
      <c r="G997" s="3" t="n">
        <v>0</v>
      </c>
      <c r="H997" s="3" t="n">
        <v>776</v>
      </c>
      <c r="I997" s="3" t="s">
        <v>22</v>
      </c>
      <c r="J997" s="3" t="n">
        <v>0</v>
      </c>
      <c r="K997" s="3" t="n">
        <v>0</v>
      </c>
      <c r="L997" s="3" t="n">
        <v>0</v>
      </c>
      <c r="M997" s="3" t="s">
        <v>154</v>
      </c>
      <c r="N997" s="3" t="n">
        <v>11</v>
      </c>
      <c r="O997" s="3" t="n">
        <v>52.629</v>
      </c>
      <c r="P997" s="3" t="n">
        <v>142.827</v>
      </c>
      <c r="Q997" s="3" t="s">
        <v>2564</v>
      </c>
      <c r="R997" s="3" t="s">
        <v>80</v>
      </c>
      <c r="S997" s="3" t="s">
        <v>428</v>
      </c>
      <c r="T997" s="5" t="n">
        <f aca="false">IF(C997="","",DATE(VALUE(MID(C997,7,4)),VALUE(MID(C997,4,2)),VALUE(MID(C997,1,2)))+TIME(VALUE(MID(C997,12,2)),VALUE(MID(C997,15,2)),0))</f>
        <v>34846.54375</v>
      </c>
      <c r="U997" s="3" t="str">
        <f aca="false">IFERROR(IF(ISNUMBER(VALUE(TRIM(MID(A997,FIND("-",A997)+1,FIND("km",A997)-FIND("-",A997)-1)))),"Distance + direction + city","Named-region"),"Named-region")</f>
        <v>Distance + direction + city</v>
      </c>
      <c r="V997" s="3" t="str">
        <f aca="false">LOWER(M997)</f>
        <v>mwb</v>
      </c>
      <c r="W997" s="3" t="n">
        <f aca="false">COUNTIFS($A$2:$A$1001,A997,$C$2:$C$1001,C997)</f>
        <v>1</v>
      </c>
      <c r="X997" s="3" t="str">
        <f aca="false">IF(W997&gt;1,"Duplicate","Unique")</f>
        <v>Unique</v>
      </c>
      <c r="Y997" s="3" t="str">
        <f aca="false">IF(B997&lt;6.5,"&lt;6.5",IF(B997&lt;7,"6.5–6.9",IF(B997&lt;7.5,"7.0–7.4",IF(B997&lt;8,"7.5–7.9","8.0+"))))</f>
        <v>7.0–7.4</v>
      </c>
      <c r="Z997" s="3" t="n">
        <f aca="false">IF(T997="","",YEAR(T997))</f>
        <v>1995</v>
      </c>
    </row>
    <row r="998" customFormat="false" ht="13.8" hidden="false" customHeight="false" outlineLevel="0" collapsed="false">
      <c r="A998" s="3" t="s">
        <v>2565</v>
      </c>
      <c r="B998" s="3" t="n">
        <v>7.7</v>
      </c>
      <c r="C998" s="3" t="s">
        <v>2566</v>
      </c>
      <c r="D998" s="3" t="n">
        <v>0</v>
      </c>
      <c r="E998" s="3" t="n">
        <v>4</v>
      </c>
      <c r="F998" s="3"/>
      <c r="G998" s="3" t="n">
        <v>0</v>
      </c>
      <c r="H998" s="3" t="n">
        <v>912</v>
      </c>
      <c r="I998" s="3" t="s">
        <v>22</v>
      </c>
      <c r="J998" s="3" t="n">
        <v>0</v>
      </c>
      <c r="K998" s="3" t="n">
        <v>0</v>
      </c>
      <c r="L998" s="3" t="n">
        <v>0</v>
      </c>
      <c r="M998" s="3" t="s">
        <v>485</v>
      </c>
      <c r="N998" s="3" t="n">
        <v>20.2</v>
      </c>
      <c r="O998" s="3" t="n">
        <v>-23.008</v>
      </c>
      <c r="P998" s="3" t="n">
        <v>169.9</v>
      </c>
      <c r="Q998" s="3" t="s">
        <v>2567</v>
      </c>
      <c r="R998" s="3"/>
      <c r="S998" s="3"/>
      <c r="T998" s="5" t="n">
        <f aca="false">IF(C998="","",DATE(VALUE(MID(C998,7,4)),VALUE(MID(C998,4,2)),VALUE(MID(C998,1,2)))+TIME(VALUE(MID(C998,12,2)),VALUE(MID(C998,15,2)),0))</f>
        <v>34835.8416666667</v>
      </c>
      <c r="U998" s="3" t="str">
        <f aca="false">IFERROR(IF(ISNUMBER(VALUE(TRIM(MID(A998,FIND("-",A998)+1,FIND("km",A998)-FIND("-",A998)-1)))),"Distance + direction + city","Named-region"),"Named-region")</f>
        <v>Distance + direction + city</v>
      </c>
      <c r="V998" s="3" t="str">
        <f aca="false">LOWER(M998)</f>
        <v>mw</v>
      </c>
      <c r="W998" s="3" t="n">
        <f aca="false">COUNTIFS($A$2:$A$1001,A998,$C$2:$C$1001,C998)</f>
        <v>1</v>
      </c>
      <c r="X998" s="3" t="str">
        <f aca="false">IF(W998&gt;1,"Duplicate","Unique")</f>
        <v>Unique</v>
      </c>
      <c r="Y998" s="3" t="str">
        <f aca="false">IF(B998&lt;6.5,"&lt;6.5",IF(B998&lt;7,"6.5–6.9",IF(B998&lt;7.5,"7.0–7.4",IF(B998&lt;8,"7.5–7.9","8.0+"))))</f>
        <v>7.5–7.9</v>
      </c>
      <c r="Z998" s="3" t="n">
        <f aca="false">IF(T998="","",YEAR(T998))</f>
        <v>1995</v>
      </c>
    </row>
    <row r="999" customFormat="false" ht="13.8" hidden="false" customHeight="false" outlineLevel="0" collapsed="false">
      <c r="A999" s="3" t="s">
        <v>2568</v>
      </c>
      <c r="B999" s="3" t="n">
        <v>6.9</v>
      </c>
      <c r="C999" s="3" t="s">
        <v>2569</v>
      </c>
      <c r="D999" s="3" t="n">
        <v>0</v>
      </c>
      <c r="E999" s="3" t="n">
        <v>6</v>
      </c>
      <c r="F999" s="3"/>
      <c r="G999" s="3" t="n">
        <v>0</v>
      </c>
      <c r="H999" s="3" t="n">
        <v>732</v>
      </c>
      <c r="I999" s="3" t="s">
        <v>22</v>
      </c>
      <c r="J999" s="3" t="n">
        <v>0</v>
      </c>
      <c r="K999" s="3" t="n">
        <v>0</v>
      </c>
      <c r="L999" s="3" t="n">
        <v>0</v>
      </c>
      <c r="M999" s="3" t="s">
        <v>485</v>
      </c>
      <c r="N999" s="3" t="n">
        <v>11.2</v>
      </c>
      <c r="O999" s="3" t="n">
        <v>-8.378</v>
      </c>
      <c r="P999" s="3" t="n">
        <v>125.127</v>
      </c>
      <c r="Q999" s="3" t="s">
        <v>896</v>
      </c>
      <c r="R999" s="3"/>
      <c r="S999" s="3" t="s">
        <v>68</v>
      </c>
      <c r="T999" s="5" t="n">
        <f aca="false">IF(C999="","",DATE(VALUE(MID(C999,7,4)),VALUE(MID(C999,4,2)),VALUE(MID(C999,1,2)))+TIME(VALUE(MID(C999,12,2)),VALUE(MID(C999,15,2)),0))</f>
        <v>34833.48125</v>
      </c>
      <c r="U999" s="3" t="str">
        <f aca="false">IFERROR(IF(ISNUMBER(VALUE(TRIM(MID(A999,FIND("-",A999)+1,FIND("km",A999)-FIND("-",A999)-1)))),"Distance + direction + city","Named-region"),"Named-region")</f>
        <v>Distance + direction + city</v>
      </c>
      <c r="V999" s="3" t="str">
        <f aca="false">LOWER(M999)</f>
        <v>mw</v>
      </c>
      <c r="W999" s="3" t="n">
        <f aca="false">COUNTIFS($A$2:$A$1001,A999,$C$2:$C$1001,C999)</f>
        <v>1</v>
      </c>
      <c r="X999" s="3" t="str">
        <f aca="false">IF(W999&gt;1,"Duplicate","Unique")</f>
        <v>Unique</v>
      </c>
      <c r="Y999" s="3" t="str">
        <f aca="false">IF(B999&lt;6.5,"&lt;6.5",IF(B999&lt;7,"6.5–6.9",IF(B999&lt;7.5,"7.0–7.4",IF(B999&lt;8,"7.5–7.9","8.0+"))))</f>
        <v>6.5–6.9</v>
      </c>
      <c r="Z999" s="3" t="n">
        <f aca="false">IF(T999="","",YEAR(T999))</f>
        <v>1995</v>
      </c>
    </row>
    <row r="1000" customFormat="false" ht="13.8" hidden="false" customHeight="false" outlineLevel="0" collapsed="false">
      <c r="A1000" s="3" t="s">
        <v>2570</v>
      </c>
      <c r="B1000" s="3" t="n">
        <v>6.6</v>
      </c>
      <c r="C1000" s="3" t="s">
        <v>2571</v>
      </c>
      <c r="D1000" s="3" t="n">
        <v>0</v>
      </c>
      <c r="E1000" s="3" t="n">
        <v>9</v>
      </c>
      <c r="F1000" s="3"/>
      <c r="G1000" s="3" t="n">
        <v>0</v>
      </c>
      <c r="H1000" s="3" t="n">
        <v>670</v>
      </c>
      <c r="I1000" s="3" t="s">
        <v>22</v>
      </c>
      <c r="J1000" s="3" t="n">
        <v>0</v>
      </c>
      <c r="K1000" s="3" t="n">
        <v>0</v>
      </c>
      <c r="L1000" s="3" t="n">
        <v>0</v>
      </c>
      <c r="M1000" s="3" t="s">
        <v>485</v>
      </c>
      <c r="N1000" s="3" t="n">
        <v>14</v>
      </c>
      <c r="O1000" s="3" t="n">
        <v>40.149</v>
      </c>
      <c r="P1000" s="3" t="n">
        <v>21.695</v>
      </c>
      <c r="Q1000" s="3" t="s">
        <v>2572</v>
      </c>
      <c r="R1000" s="3" t="s">
        <v>361</v>
      </c>
      <c r="S1000" s="3" t="s">
        <v>362</v>
      </c>
      <c r="T1000" s="5" t="n">
        <f aca="false">IF(C1000="","",DATE(VALUE(MID(C1000,7,4)),VALUE(MID(C1000,4,2)),VALUE(MID(C1000,1,2)))+TIME(VALUE(MID(C1000,12,2)),VALUE(MID(C1000,15,2)),0))</f>
        <v>34832.3659722222</v>
      </c>
      <c r="U1000" s="3" t="str">
        <f aca="false">IFERROR(IF(ISNUMBER(VALUE(TRIM(MID(A1000,FIND("-",A1000)+1,FIND("km",A1000)-FIND("-",A1000)-1)))),"Distance + direction + city","Named-region"),"Named-region")</f>
        <v>Distance + direction + city</v>
      </c>
      <c r="V1000" s="3" t="str">
        <f aca="false">LOWER(M1000)</f>
        <v>mw</v>
      </c>
      <c r="W1000" s="3" t="n">
        <f aca="false">COUNTIFS($A$2:$A$1001,A1000,$C$2:$C$1001,C1000)</f>
        <v>1</v>
      </c>
      <c r="X1000" s="3" t="str">
        <f aca="false">IF(W1000&gt;1,"Duplicate","Unique")</f>
        <v>Unique</v>
      </c>
      <c r="Y1000" s="3" t="str">
        <f aca="false">IF(B1000&lt;6.5,"&lt;6.5",IF(B1000&lt;7,"6.5–6.9",IF(B1000&lt;7.5,"7.0–7.4",IF(B1000&lt;8,"7.5–7.9","8.0+"))))</f>
        <v>6.5–6.9</v>
      </c>
      <c r="Z1000" s="3" t="n">
        <f aca="false">IF(T1000="","",YEAR(T1000))</f>
        <v>1995</v>
      </c>
    </row>
    <row r="1001" customFormat="false" ht="13.8" hidden="false" customHeight="false" outlineLevel="0" collapsed="false">
      <c r="A1001" s="3" t="s">
        <v>2573</v>
      </c>
      <c r="B1001" s="3" t="n">
        <v>7.1</v>
      </c>
      <c r="C1001" s="6" t="s">
        <v>2574</v>
      </c>
      <c r="D1001" s="3" t="n">
        <v>0</v>
      </c>
      <c r="E1001" s="3" t="n">
        <v>7</v>
      </c>
      <c r="F1001" s="3"/>
      <c r="G1001" s="3" t="n">
        <v>0</v>
      </c>
      <c r="H1001" s="3" t="n">
        <v>776</v>
      </c>
      <c r="I1001" s="3" t="s">
        <v>22</v>
      </c>
      <c r="J1001" s="3" t="n">
        <v>0</v>
      </c>
      <c r="K1001" s="3" t="n">
        <v>0</v>
      </c>
      <c r="L1001" s="3" t="n">
        <v>0</v>
      </c>
      <c r="M1001" s="3" t="s">
        <v>485</v>
      </c>
      <c r="N1001" s="3" t="n">
        <v>16</v>
      </c>
      <c r="O1001" s="3" t="n">
        <v>12.626</v>
      </c>
      <c r="P1001" s="3" t="n">
        <v>125.297</v>
      </c>
      <c r="Q1001" s="3" t="s">
        <v>2575</v>
      </c>
      <c r="R1001" s="3"/>
      <c r="S1001" s="3" t="s">
        <v>191</v>
      </c>
      <c r="T1001" s="5" t="n">
        <f aca="false">IF(C1001="","",DATE(VALUE(MID(C1001,7,4)),VALUE(MID(C1001,4,2)),VALUE(MID(C1001,1,2)))+TIME(VALUE(MID(C1001,12,2)),VALUE(MID(C1001,15,2)),0))</f>
        <v>34824.1618055556</v>
      </c>
      <c r="U1001" s="3" t="str">
        <f aca="false">IFERROR(IF(ISNUMBER(VALUE(TRIM(MID(A1001,FIND("-",A1001)+1,FIND("km",A1001)-FIND("-",A1001)-1)))),"Distance + direction + city","Named-region"),"Named-region")</f>
        <v>Distance + direction + city</v>
      </c>
      <c r="V1001" s="3" t="str">
        <f aca="false">LOWER(M1001)</f>
        <v>mw</v>
      </c>
      <c r="W1001" s="3" t="n">
        <f aca="false">COUNTIFS($A$2:$A$1001,A1001,$C$2:$C$1001,C1001)</f>
        <v>1</v>
      </c>
      <c r="X1001" s="3" t="str">
        <f aca="false">IF(W1001&gt;1,"Duplicate","Unique")</f>
        <v>Unique</v>
      </c>
      <c r="Y1001" s="3" t="str">
        <f aca="false">IF(B1001&lt;6.5,"&lt;6.5",IF(B1001&lt;7,"6.5–6.9",IF(B1001&lt;7.5,"7.0–7.4",IF(B1001&lt;8,"7.5–7.9","8.0+"))))</f>
        <v>7.0–7.4</v>
      </c>
      <c r="Z1001" s="3" t="n">
        <f aca="false">IF(T1001="","",YEAR(T1001))</f>
        <v>1995</v>
      </c>
    </row>
  </sheetData>
  <autoFilter ref="A1:Z1001"/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8"/>
    <col collapsed="false" customWidth="true" hidden="false" outlineLevel="0" max="8" min="4" style="1" width="22"/>
  </cols>
  <sheetData>
    <row r="1" customFormat="false" ht="19.7" hidden="false" customHeight="false" outlineLevel="0" collapsed="false">
      <c r="A1" s="7" t="s">
        <v>2583</v>
      </c>
      <c r="B1" s="7"/>
      <c r="C1" s="7"/>
      <c r="D1" s="7"/>
      <c r="E1" s="7"/>
      <c r="F1" s="7"/>
      <c r="G1" s="7"/>
      <c r="H1" s="7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2584</v>
      </c>
      <c r="B3" s="8" t="s">
        <v>2585</v>
      </c>
      <c r="C3" s="8" t="s">
        <v>2586</v>
      </c>
      <c r="D3" s="8"/>
      <c r="E3" s="8"/>
      <c r="F3" s="8"/>
      <c r="G3" s="8"/>
      <c r="H3" s="8"/>
    </row>
    <row r="4" customFormat="false" ht="13.8" hidden="false" customHeight="false" outlineLevel="0" collapsed="false">
      <c r="A4" s="3" t="s">
        <v>2587</v>
      </c>
      <c r="B4" s="3" t="n">
        <f aca="false">COUNTA(Working_Data!A2:A1001)</f>
        <v>1000</v>
      </c>
      <c r="C4" s="3" t="s">
        <v>2588</v>
      </c>
    </row>
    <row r="5" customFormat="false" ht="13.8" hidden="false" customHeight="false" outlineLevel="0" collapsed="false">
      <c r="A5" s="3" t="s">
        <v>2589</v>
      </c>
      <c r="B5" s="3" t="n">
        <f aca="false">MIN(Working_Data!B2:B1001)</f>
        <v>6.5</v>
      </c>
      <c r="C5" s="3" t="s">
        <v>2590</v>
      </c>
    </row>
    <row r="6" customFormat="false" ht="13.8" hidden="false" customHeight="false" outlineLevel="0" collapsed="false">
      <c r="A6" s="3" t="s">
        <v>2591</v>
      </c>
      <c r="B6" s="3" t="n">
        <f aca="false">MAX(Working_Data!B2:B1001)</f>
        <v>9.1</v>
      </c>
      <c r="C6" s="3" t="s">
        <v>2590</v>
      </c>
    </row>
    <row r="7" customFormat="false" ht="13.8" hidden="false" customHeight="false" outlineLevel="0" collapsed="false">
      <c r="A7" s="3" t="s">
        <v>2592</v>
      </c>
      <c r="B7" s="3" t="n">
        <f aca="false">AVERAGE(Working_Data!B2:B1001)</f>
        <v>6.94015</v>
      </c>
      <c r="C7" s="3" t="s">
        <v>2592</v>
      </c>
    </row>
    <row r="8" customFormat="false" ht="13.8" hidden="false" customHeight="false" outlineLevel="0" collapsed="false">
      <c r="A8" s="3" t="s">
        <v>2593</v>
      </c>
      <c r="B8" s="3" t="n">
        <f aca="false">MIN(Working_Data!N2:N1001)</f>
        <v>2.7</v>
      </c>
      <c r="C8" s="3" t="s">
        <v>2594</v>
      </c>
    </row>
    <row r="9" customFormat="false" ht="13.8" hidden="false" customHeight="false" outlineLevel="0" collapsed="false">
      <c r="A9" s="3" t="s">
        <v>2595</v>
      </c>
      <c r="B9" s="3" t="n">
        <f aca="false">MAX(Working_Data!N2:N1001)</f>
        <v>670.81</v>
      </c>
      <c r="C9" s="3" t="s">
        <v>2594</v>
      </c>
    </row>
    <row r="10" customFormat="false" ht="13.8" hidden="false" customHeight="false" outlineLevel="0" collapsed="false">
      <c r="A10" s="3" t="s">
        <v>2596</v>
      </c>
      <c r="B10" s="3" t="n">
        <f aca="false">AVERAGE(Working_Data!N2:N1001)</f>
        <v>74.612541</v>
      </c>
      <c r="C10" s="3" t="s">
        <v>2596</v>
      </c>
    </row>
    <row r="11" customFormat="false" ht="13.8" hidden="false" customHeight="false" outlineLevel="0" collapsed="false">
      <c r="A11" s="3" t="s">
        <v>2597</v>
      </c>
      <c r="B11" s="3" t="n">
        <f aca="false">COUNTBLANK(Working_Data!F2:F1001)</f>
        <v>551</v>
      </c>
      <c r="C11" s="3" t="s">
        <v>2598</v>
      </c>
    </row>
    <row r="12" customFormat="false" ht="13.8" hidden="false" customHeight="false" outlineLevel="0" collapsed="false">
      <c r="A12" s="3" t="s">
        <v>2599</v>
      </c>
      <c r="B12" s="3" t="n">
        <f aca="false">COUNTBLANK(Working_Data!R2:R1001)</f>
        <v>716</v>
      </c>
      <c r="C12" s="3" t="s">
        <v>2600</v>
      </c>
    </row>
    <row r="13" customFormat="false" ht="13.8" hidden="false" customHeight="false" outlineLevel="0" collapsed="false">
      <c r="A13" s="3" t="s">
        <v>2601</v>
      </c>
      <c r="B13" s="3" t="n">
        <f aca="false">COUNTBLANK(Working_Data!S2:S1001)</f>
        <v>349</v>
      </c>
      <c r="C13" s="3" t="s">
        <v>2602</v>
      </c>
    </row>
    <row r="14" customFormat="false" ht="13.8" hidden="false" customHeight="false" outlineLevel="0" collapsed="false">
      <c r="A14" s="3" t="s">
        <v>2603</v>
      </c>
      <c r="B14" s="3" t="n">
        <f aca="false">COUNTBLANK(Working_Data!Q2:Q1001)</f>
        <v>6</v>
      </c>
      <c r="C14" s="3" t="s">
        <v>2604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>
      <c r="A17" s="8" t="s">
        <v>2605</v>
      </c>
      <c r="B17" s="8" t="s">
        <v>2606</v>
      </c>
      <c r="D17" s="8" t="s">
        <v>2607</v>
      </c>
      <c r="E17" s="8" t="s">
        <v>2606</v>
      </c>
      <c r="G17" s="8" t="s">
        <v>2608</v>
      </c>
      <c r="H17" s="8" t="s">
        <v>2606</v>
      </c>
    </row>
    <row r="18" customFormat="false" ht="13.8" hidden="false" customHeight="false" outlineLevel="0" collapsed="false">
      <c r="A18" s="3" t="s">
        <v>40</v>
      </c>
      <c r="B18" s="3" t="n">
        <f aca="false">COUNTIF(Working_Data!M2:M1001,A18)</f>
        <v>5</v>
      </c>
      <c r="D18" s="3" t="s">
        <v>2609</v>
      </c>
      <c r="E18" s="3" t="n">
        <f aca="false">COUNTIF(Working_Data!F2:F1001,"")</f>
        <v>551</v>
      </c>
      <c r="G18" s="3" t="s">
        <v>2610</v>
      </c>
      <c r="H18" s="3" t="n">
        <f aca="false">COUNTIF(Working_Data!Y2:Y1001,G18)</f>
        <v>0</v>
      </c>
    </row>
    <row r="19" customFormat="false" ht="13.8" hidden="false" customHeight="false" outlineLevel="0" collapsed="false">
      <c r="A19" s="3" t="s">
        <v>1374</v>
      </c>
      <c r="B19" s="3" t="n">
        <f aca="false">COUNTIF(Working_Data!M2:M1001,A19)</f>
        <v>4</v>
      </c>
      <c r="D19" s="3" t="s">
        <v>21</v>
      </c>
      <c r="E19" s="3" t="n">
        <f aca="false">COUNTIF(Working_Data!F2:F1001,D19)</f>
        <v>353</v>
      </c>
      <c r="G19" s="3" t="s">
        <v>2611</v>
      </c>
      <c r="H19" s="3" t="n">
        <f aca="false">COUNTIF(Working_Data!Y2:Y1001,G19)</f>
        <v>627</v>
      </c>
    </row>
    <row r="20" customFormat="false" ht="13.8" hidden="false" customHeight="false" outlineLevel="0" collapsed="false">
      <c r="A20" s="3" t="s">
        <v>1732</v>
      </c>
      <c r="B20" s="3" t="n">
        <f aca="false">COUNTIF(Working_Data!M2:M1001,A20)</f>
        <v>2</v>
      </c>
      <c r="D20" s="3" t="s">
        <v>28</v>
      </c>
      <c r="E20" s="3" t="n">
        <f aca="false">COUNTIF(Working_Data!F2:F1001,D20)</f>
        <v>59</v>
      </c>
      <c r="G20" s="3" t="s">
        <v>2612</v>
      </c>
      <c r="H20" s="3" t="n">
        <f aca="false">COUNTIF(Working_Data!Y2:Y1001,G20)</f>
        <v>229</v>
      </c>
    </row>
    <row r="21" customFormat="false" ht="13.8" hidden="false" customHeight="false" outlineLevel="0" collapsed="false">
      <c r="A21" s="3" t="s">
        <v>408</v>
      </c>
      <c r="B21" s="3" t="n">
        <f aca="false">COUNTIF(Working_Data!M2:M1001,A21)</f>
        <v>1</v>
      </c>
      <c r="D21" s="3" t="s">
        <v>95</v>
      </c>
      <c r="E21" s="3" t="n">
        <f aca="false">COUNTIF(Working_Data!F2:F1001,D21)</f>
        <v>24</v>
      </c>
      <c r="G21" s="3" t="s">
        <v>2613</v>
      </c>
      <c r="H21" s="3" t="n">
        <f aca="false">COUNTIF(Working_Data!Y2:Y1001,G21)</f>
        <v>112</v>
      </c>
    </row>
    <row r="22" customFormat="false" ht="13.8" hidden="false" customHeight="false" outlineLevel="0" collapsed="false">
      <c r="A22" s="3" t="s">
        <v>1370</v>
      </c>
      <c r="B22" s="3" t="n">
        <f aca="false">COUNTIF(Working_Data!M2:M1001,A22)</f>
        <v>3</v>
      </c>
      <c r="D22" s="3" t="s">
        <v>121</v>
      </c>
      <c r="E22" s="3" t="n">
        <f aca="false">COUNTIF(Working_Data!F2:F1001,D22)</f>
        <v>13</v>
      </c>
      <c r="G22" s="3" t="s">
        <v>2614</v>
      </c>
      <c r="H22" s="3" t="n">
        <f aca="false">COUNTIF(Working_Data!Y2:Y1001,G22)</f>
        <v>32</v>
      </c>
    </row>
    <row r="23" customFormat="false" ht="13.8" hidden="false" customHeight="false" outlineLevel="0" collapsed="false">
      <c r="A23" s="3" t="s">
        <v>485</v>
      </c>
      <c r="B23" s="3" t="n">
        <f aca="false">COUNTIF(Working_Data!M2:M1001,A23)</f>
        <v>51</v>
      </c>
    </row>
    <row r="24" customFormat="false" ht="13.8" hidden="false" customHeight="false" outlineLevel="0" collapsed="false">
      <c r="A24" s="3" t="s">
        <v>154</v>
      </c>
      <c r="B24" s="3" t="n">
        <f aca="false">COUNTIF(Working_Data!M2:M1001,A24)</f>
        <v>100</v>
      </c>
    </row>
    <row r="25" customFormat="false" ht="13.8" hidden="false" customHeight="false" outlineLevel="0" collapsed="false">
      <c r="A25" s="3" t="s">
        <v>127</v>
      </c>
      <c r="B25" s="3" t="n">
        <f aca="false">COUNTIF(Working_Data!M2:M1001,A25)</f>
        <v>332</v>
      </c>
    </row>
    <row r="26" customFormat="false" ht="13.8" hidden="false" customHeight="false" outlineLevel="0" collapsed="false">
      <c r="A26" s="3" t="s">
        <v>23</v>
      </c>
      <c r="B26" s="3" t="n">
        <f aca="false">COUNTIF(Working_Data!M2:M1001,A26)</f>
        <v>502</v>
      </c>
    </row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A29" s="8" t="s">
        <v>2582</v>
      </c>
      <c r="B29" s="8" t="s">
        <v>2615</v>
      </c>
    </row>
    <row r="30" customFormat="false" ht="13.8" hidden="false" customHeight="false" outlineLevel="0" collapsed="false">
      <c r="A30" s="3" t="n">
        <v>1995</v>
      </c>
      <c r="B30" s="3" t="n">
        <f aca="false">COUNTIF(Working_Data!Z2:Z1001,A30)</f>
        <v>29</v>
      </c>
    </row>
    <row r="31" customFormat="false" ht="13.8" hidden="false" customHeight="false" outlineLevel="0" collapsed="false">
      <c r="A31" s="3" t="n">
        <v>1996</v>
      </c>
      <c r="B31" s="3" t="n">
        <f aca="false">COUNTIF(Working_Data!Z2:Z1001,A31)</f>
        <v>35</v>
      </c>
    </row>
    <row r="32" customFormat="false" ht="13.8" hidden="false" customHeight="false" outlineLevel="0" collapsed="false">
      <c r="A32" s="3" t="n">
        <v>1997</v>
      </c>
      <c r="B32" s="3" t="n">
        <f aca="false">COUNTIF(Working_Data!Z2:Z1001,A32)</f>
        <v>28</v>
      </c>
    </row>
    <row r="33" customFormat="false" ht="13.8" hidden="false" customHeight="false" outlineLevel="0" collapsed="false">
      <c r="A33" s="3" t="n">
        <v>1998</v>
      </c>
      <c r="B33" s="3" t="n">
        <f aca="false">COUNTIF(Working_Data!Z2:Z1001,A33)</f>
        <v>23</v>
      </c>
    </row>
    <row r="34" customFormat="false" ht="13.8" hidden="false" customHeight="false" outlineLevel="0" collapsed="false">
      <c r="A34" s="3" t="n">
        <v>1999</v>
      </c>
      <c r="B34" s="3" t="n">
        <f aca="false">COUNTIF(Working_Data!Z2:Z1001,A34)</f>
        <v>33</v>
      </c>
    </row>
    <row r="35" customFormat="false" ht="13.8" hidden="false" customHeight="false" outlineLevel="0" collapsed="false">
      <c r="A35" s="3" t="n">
        <v>2000</v>
      </c>
      <c r="B35" s="3" t="n">
        <f aca="false">COUNTIF(Working_Data!Z2:Z1001,A35)</f>
        <v>35</v>
      </c>
    </row>
    <row r="36" customFormat="false" ht="13.8" hidden="false" customHeight="false" outlineLevel="0" collapsed="false">
      <c r="A36" s="3" t="n">
        <v>2001</v>
      </c>
      <c r="B36" s="3" t="n">
        <f aca="false">COUNTIF(Working_Data!Z2:Z1001,A36)</f>
        <v>28</v>
      </c>
    </row>
    <row r="37" customFormat="false" ht="13.8" hidden="false" customHeight="false" outlineLevel="0" collapsed="false">
      <c r="A37" s="3" t="n">
        <v>2002</v>
      </c>
      <c r="B37" s="3" t="n">
        <f aca="false">COUNTIF(Working_Data!Z2:Z1001,A37)</f>
        <v>25</v>
      </c>
    </row>
    <row r="38" customFormat="false" ht="13.8" hidden="false" customHeight="false" outlineLevel="0" collapsed="false">
      <c r="A38" s="3" t="n">
        <v>2003</v>
      </c>
      <c r="B38" s="3" t="n">
        <f aca="false">COUNTIF(Working_Data!Z2:Z1001,A38)</f>
        <v>31</v>
      </c>
    </row>
    <row r="39" customFormat="false" ht="13.8" hidden="false" customHeight="false" outlineLevel="0" collapsed="false">
      <c r="A39" s="3" t="n">
        <v>2004</v>
      </c>
      <c r="B39" s="3" t="n">
        <f aca="false">COUNTIF(Working_Data!Z2:Z1001,A39)</f>
        <v>32</v>
      </c>
    </row>
    <row r="40" customFormat="false" ht="13.8" hidden="false" customHeight="false" outlineLevel="0" collapsed="false">
      <c r="A40" s="3" t="n">
        <v>2005</v>
      </c>
      <c r="B40" s="3" t="n">
        <f aca="false">COUNTIF(Working_Data!Z2:Z1001,A40)</f>
        <v>28</v>
      </c>
    </row>
    <row r="41" customFormat="false" ht="13.8" hidden="false" customHeight="false" outlineLevel="0" collapsed="false">
      <c r="A41" s="3" t="n">
        <v>2006</v>
      </c>
      <c r="B41" s="3" t="n">
        <f aca="false">COUNTIF(Working_Data!Z2:Z1001,A41)</f>
        <v>26</v>
      </c>
    </row>
    <row r="42" customFormat="false" ht="13.8" hidden="false" customHeight="false" outlineLevel="0" collapsed="false">
      <c r="A42" s="3" t="n">
        <v>2007</v>
      </c>
      <c r="B42" s="3" t="n">
        <f aca="false">COUNTIF(Working_Data!Z2:Z1001,A42)</f>
        <v>37</v>
      </c>
    </row>
    <row r="43" customFormat="false" ht="13.8" hidden="false" customHeight="false" outlineLevel="0" collapsed="false">
      <c r="A43" s="3" t="n">
        <v>2008</v>
      </c>
      <c r="B43" s="3" t="n">
        <f aca="false">COUNTIF(Working_Data!Z2:Z1001,A43)</f>
        <v>25</v>
      </c>
    </row>
    <row r="44" customFormat="false" ht="13.8" hidden="false" customHeight="false" outlineLevel="0" collapsed="false">
      <c r="A44" s="3" t="n">
        <v>2009</v>
      </c>
      <c r="B44" s="3" t="n">
        <f aca="false">COUNTIF(Working_Data!Z2:Z1001,A44)</f>
        <v>26</v>
      </c>
    </row>
    <row r="45" customFormat="false" ht="13.8" hidden="false" customHeight="false" outlineLevel="0" collapsed="false">
      <c r="A45" s="3" t="n">
        <v>2010</v>
      </c>
      <c r="B45" s="3" t="n">
        <f aca="false">COUNTIF(Working_Data!Z2:Z1001,A45)</f>
        <v>41</v>
      </c>
    </row>
    <row r="46" customFormat="false" ht="13.8" hidden="false" customHeight="false" outlineLevel="0" collapsed="false">
      <c r="A46" s="3" t="n">
        <v>2011</v>
      </c>
      <c r="B46" s="3" t="n">
        <f aca="false">COUNTIF(Working_Data!Z2:Z1001,A46)</f>
        <v>34</v>
      </c>
    </row>
    <row r="47" customFormat="false" ht="13.8" hidden="false" customHeight="false" outlineLevel="0" collapsed="false">
      <c r="A47" s="3" t="n">
        <v>2012</v>
      </c>
      <c r="B47" s="3" t="n">
        <f aca="false">COUNTIF(Working_Data!Z2:Z1001,A47)</f>
        <v>31</v>
      </c>
    </row>
    <row r="48" customFormat="false" ht="13.8" hidden="false" customHeight="false" outlineLevel="0" collapsed="false">
      <c r="A48" s="3" t="n">
        <v>2013</v>
      </c>
      <c r="B48" s="3" t="n">
        <f aca="false">COUNTIF(Working_Data!Z2:Z1001,A48)</f>
        <v>53</v>
      </c>
    </row>
    <row r="49" customFormat="false" ht="13.8" hidden="false" customHeight="false" outlineLevel="0" collapsed="false">
      <c r="A49" s="3" t="n">
        <v>2014</v>
      </c>
      <c r="B49" s="3" t="n">
        <f aca="false">COUNTIF(Working_Data!Z2:Z1001,A49)</f>
        <v>48</v>
      </c>
    </row>
    <row r="50" customFormat="false" ht="13.8" hidden="false" customHeight="false" outlineLevel="0" collapsed="false">
      <c r="A50" s="3" t="n">
        <v>2015</v>
      </c>
      <c r="B50" s="3" t="n">
        <f aca="false">COUNTIF(Working_Data!Z2:Z1001,A50)</f>
        <v>53</v>
      </c>
    </row>
    <row r="51" customFormat="false" ht="13.8" hidden="false" customHeight="false" outlineLevel="0" collapsed="false">
      <c r="A51" s="3" t="n">
        <v>2016</v>
      </c>
      <c r="B51" s="3" t="n">
        <f aca="false">COUNTIF(Working_Data!Z2:Z1001,A51)</f>
        <v>43</v>
      </c>
    </row>
    <row r="52" customFormat="false" ht="13.8" hidden="false" customHeight="false" outlineLevel="0" collapsed="false">
      <c r="A52" s="3" t="n">
        <v>2017</v>
      </c>
      <c r="B52" s="3" t="n">
        <f aca="false">COUNTIF(Working_Data!Z2:Z1001,A52)</f>
        <v>36</v>
      </c>
    </row>
    <row r="53" customFormat="false" ht="13.8" hidden="false" customHeight="false" outlineLevel="0" collapsed="false">
      <c r="A53" s="3" t="n">
        <v>2018</v>
      </c>
      <c r="B53" s="3" t="n">
        <f aca="false">COUNTIF(Working_Data!Z2:Z1001,A53)</f>
        <v>43</v>
      </c>
    </row>
    <row r="54" customFormat="false" ht="13.8" hidden="false" customHeight="false" outlineLevel="0" collapsed="false">
      <c r="A54" s="3" t="n">
        <v>2019</v>
      </c>
      <c r="B54" s="3" t="n">
        <f aca="false">COUNTIF(Working_Data!Z2:Z1001,A54)</f>
        <v>33</v>
      </c>
    </row>
    <row r="55" customFormat="false" ht="13.8" hidden="false" customHeight="false" outlineLevel="0" collapsed="false">
      <c r="A55" s="3" t="n">
        <v>2020</v>
      </c>
      <c r="B55" s="3" t="n">
        <f aca="false">COUNTIF(Working_Data!Z2:Z1001,A55)</f>
        <v>27</v>
      </c>
    </row>
    <row r="56" customFormat="false" ht="13.8" hidden="false" customHeight="false" outlineLevel="0" collapsed="false">
      <c r="A56" s="3" t="n">
        <v>2021</v>
      </c>
      <c r="B56" s="3" t="n">
        <f aca="false">COUNTIF(Working_Data!Z2:Z1001,A56)</f>
        <v>42</v>
      </c>
    </row>
    <row r="57" customFormat="false" ht="13.8" hidden="false" customHeight="false" outlineLevel="0" collapsed="false">
      <c r="A57" s="3" t="n">
        <v>2022</v>
      </c>
      <c r="B57" s="3" t="n">
        <f aca="false">COUNTIF(Working_Data!Z2:Z1001,A57)</f>
        <v>41</v>
      </c>
    </row>
    <row r="58" customFormat="false" ht="13.8" hidden="false" customHeight="false" outlineLevel="0" collapsed="false">
      <c r="A58" s="3" t="n">
        <v>2023</v>
      </c>
      <c r="B58" s="3" t="n">
        <f aca="false">COUNTIF(Working_Data!Z2:Z1001,A58)</f>
        <v>34</v>
      </c>
    </row>
  </sheetData>
  <mergeCells count="1">
    <mergeCell ref="A1:H1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30"/>
  </cols>
  <sheetData>
    <row r="1" customFormat="false" ht="19.7" hidden="false" customHeight="false" outlineLevel="0" collapsed="false">
      <c r="A1" s="7" t="s">
        <v>2616</v>
      </c>
      <c r="B1" s="7"/>
      <c r="C1" s="7"/>
      <c r="D1" s="7"/>
      <c r="E1" s="7"/>
      <c r="F1" s="7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2617</v>
      </c>
      <c r="B3" s="8" t="s">
        <v>2618</v>
      </c>
      <c r="C3" s="8" t="s">
        <v>2619</v>
      </c>
      <c r="D3" s="8" t="s">
        <v>2620</v>
      </c>
      <c r="E3" s="8" t="s">
        <v>2621</v>
      </c>
      <c r="F3" s="8" t="s">
        <v>2622</v>
      </c>
    </row>
    <row r="4" customFormat="false" ht="13.8" hidden="false" customHeight="false" outlineLevel="0" collapsed="false">
      <c r="A4" s="3" t="s">
        <v>0</v>
      </c>
      <c r="B4" s="3" t="s">
        <v>2623</v>
      </c>
      <c r="C4" s="3" t="n">
        <f aca="false">COUNTBLANK(Working_Data!B2:B1001)</f>
        <v>0</v>
      </c>
      <c r="D4" s="9" t="n">
        <f aca="false">C4/1000</f>
        <v>0</v>
      </c>
      <c r="E4" s="9" t="n">
        <f aca="false">IFERROR(COUNTBLANK(Working_Data!F2:F1001)/1000,0)</f>
        <v>0.551</v>
      </c>
      <c r="F4" s="3" t="s">
        <v>2624</v>
      </c>
    </row>
    <row r="5" customFormat="false" ht="13.8" hidden="false" customHeight="false" outlineLevel="0" collapsed="false">
      <c r="A5" s="3" t="s">
        <v>1</v>
      </c>
      <c r="B5" s="3" t="s">
        <v>2625</v>
      </c>
      <c r="C5" s="3" t="n">
        <f aca="false">COUNTBLANK(Working_Data!C2:C1001)</f>
        <v>0</v>
      </c>
      <c r="D5" s="9" t="n">
        <f aca="false">C5/1000</f>
        <v>0</v>
      </c>
      <c r="E5" s="3" t="n">
        <f aca="false">COUNTBLANK(Working_Data!C2:C1001)</f>
        <v>0</v>
      </c>
      <c r="F5" s="3" t="s">
        <v>2624</v>
      </c>
    </row>
    <row r="6" customFormat="false" ht="13.8" hidden="false" customHeight="false" outlineLevel="0" collapsed="false">
      <c r="A6" s="3" t="s">
        <v>2</v>
      </c>
      <c r="B6" s="3" t="s">
        <v>2623</v>
      </c>
      <c r="C6" s="3" t="n">
        <f aca="false">COUNTBLANK(Working_Data!D2:D1001)</f>
        <v>0</v>
      </c>
      <c r="D6" s="9" t="n">
        <f aca="false">C6/1000</f>
        <v>0</v>
      </c>
      <c r="E6" s="3" t="n">
        <f aca="false">COUNTBLANK(Working_Data!D2:D1001)</f>
        <v>0</v>
      </c>
      <c r="F6" s="3" t="s">
        <v>2624</v>
      </c>
    </row>
    <row r="7" customFormat="false" ht="13.8" hidden="false" customHeight="false" outlineLevel="0" collapsed="false">
      <c r="A7" s="3" t="s">
        <v>3</v>
      </c>
      <c r="B7" s="3" t="s">
        <v>2625</v>
      </c>
      <c r="C7" s="3" t="n">
        <f aca="false">COUNTBLANK(Working_Data!E2:E1001)</f>
        <v>0</v>
      </c>
      <c r="D7" s="9" t="n">
        <f aca="false">C7/1000</f>
        <v>0</v>
      </c>
      <c r="E7" s="3" t="n">
        <f aca="false">COUNTBLANK(Working_Data!E2:E1001)</f>
        <v>0</v>
      </c>
      <c r="F7" s="3" t="s">
        <v>2624</v>
      </c>
    </row>
    <row r="8" customFormat="false" ht="13.8" hidden="false" customHeight="false" outlineLevel="0" collapsed="false">
      <c r="A8" s="3" t="s">
        <v>4</v>
      </c>
      <c r="B8" s="3" t="s">
        <v>2625</v>
      </c>
      <c r="C8" s="3" t="n">
        <f aca="false">COUNTBLANK(Working_Data!F2:F1001)</f>
        <v>551</v>
      </c>
      <c r="D8" s="9" t="n">
        <f aca="false">C8/1000</f>
        <v>0.551</v>
      </c>
      <c r="E8" s="3" t="n">
        <f aca="false">COUNTBLANK(Working_Data!F2:F1001)</f>
        <v>551</v>
      </c>
      <c r="F8" s="3" t="s">
        <v>2624</v>
      </c>
    </row>
    <row r="9" customFormat="false" ht="13.8" hidden="false" customHeight="false" outlineLevel="0" collapsed="false">
      <c r="A9" s="3" t="s">
        <v>5</v>
      </c>
      <c r="B9" s="3" t="s">
        <v>2626</v>
      </c>
      <c r="C9" s="3" t="n">
        <f aca="false">COUNTBLANK(Working_Data!G2:G1001)</f>
        <v>0</v>
      </c>
      <c r="D9" s="9" t="n">
        <f aca="false">C9/1000</f>
        <v>0</v>
      </c>
      <c r="E9" s="3" t="n">
        <f aca="false">COUNTBLANK(Working_Data!G2:G1001)</f>
        <v>0</v>
      </c>
      <c r="F9" s="3" t="s">
        <v>2624</v>
      </c>
    </row>
    <row r="10" customFormat="false" ht="13.8" hidden="false" customHeight="false" outlineLevel="0" collapsed="false">
      <c r="A10" s="3" t="s">
        <v>6</v>
      </c>
      <c r="B10" s="3" t="s">
        <v>2625</v>
      </c>
      <c r="C10" s="3" t="n">
        <f aca="false">COUNTBLANK(Working_Data!H2:H1001)</f>
        <v>0</v>
      </c>
      <c r="D10" s="9" t="n">
        <f aca="false">C10/1000</f>
        <v>0</v>
      </c>
      <c r="E10" s="3" t="n">
        <f aca="false">COUNTBLANK(Working_Data!H2:H1001)</f>
        <v>0</v>
      </c>
      <c r="F10" s="3" t="s">
        <v>2624</v>
      </c>
    </row>
    <row r="11" customFormat="false" ht="13.8" hidden="false" customHeight="false" outlineLevel="0" collapsed="false">
      <c r="A11" s="3" t="s">
        <v>7</v>
      </c>
      <c r="B11" s="3" t="s">
        <v>2625</v>
      </c>
      <c r="C11" s="3" t="n">
        <f aca="false">COUNTBLANK(Working_Data!I2:I1001)</f>
        <v>0</v>
      </c>
      <c r="D11" s="9" t="n">
        <f aca="false">C11/1000</f>
        <v>0</v>
      </c>
      <c r="E11" s="3" t="n">
        <f aca="false">COUNTBLANK(Working_Data!I2:I1001)</f>
        <v>0</v>
      </c>
      <c r="F11" s="3" t="s">
        <v>2624</v>
      </c>
    </row>
    <row r="12" customFormat="false" ht="13.8" hidden="false" customHeight="false" outlineLevel="0" collapsed="false">
      <c r="A12" s="3" t="s">
        <v>8</v>
      </c>
      <c r="B12" s="3" t="s">
        <v>2626</v>
      </c>
      <c r="C12" s="3" t="n">
        <f aca="false">COUNTBLANK(Working_Data!J2:J1001)</f>
        <v>0</v>
      </c>
      <c r="D12" s="9" t="n">
        <f aca="false">C12/1000</f>
        <v>0</v>
      </c>
      <c r="E12" s="3" t="n">
        <f aca="false">COUNTBLANK(Working_Data!J2:J1001)</f>
        <v>0</v>
      </c>
      <c r="F12" s="3" t="s">
        <v>2624</v>
      </c>
    </row>
    <row r="13" customFormat="false" ht="13.8" hidden="false" customHeight="false" outlineLevel="0" collapsed="false">
      <c r="A13" s="3" t="s">
        <v>9</v>
      </c>
      <c r="B13" s="3" t="s">
        <v>2625</v>
      </c>
      <c r="C13" s="3" t="n">
        <f aca="false">COUNTBLANK(Working_Data!K2:K1001)</f>
        <v>0</v>
      </c>
      <c r="D13" s="9" t="n">
        <f aca="false">C13/1000</f>
        <v>0</v>
      </c>
      <c r="E13" s="3" t="n">
        <f aca="false">COUNTBLANK(Working_Data!K2:K1001)</f>
        <v>0</v>
      </c>
      <c r="F13" s="3" t="s">
        <v>2624</v>
      </c>
    </row>
    <row r="14" customFormat="false" ht="13.8" hidden="false" customHeight="false" outlineLevel="0" collapsed="false">
      <c r="A14" s="3" t="s">
        <v>10</v>
      </c>
      <c r="B14" s="3" t="s">
        <v>2625</v>
      </c>
      <c r="C14" s="3" t="n">
        <f aca="false">COUNTBLANK(Working_Data!L2:L1001)</f>
        <v>0</v>
      </c>
      <c r="D14" s="9" t="n">
        <f aca="false">C14/1000</f>
        <v>0</v>
      </c>
      <c r="E14" s="3" t="n">
        <f aca="false">COUNTBLANK(Working_Data!L2:L1001)</f>
        <v>0</v>
      </c>
      <c r="F14" s="3" t="s">
        <v>2624</v>
      </c>
    </row>
    <row r="15" customFormat="false" ht="13.8" hidden="false" customHeight="false" outlineLevel="0" collapsed="false">
      <c r="A15" s="3" t="s">
        <v>11</v>
      </c>
      <c r="B15" s="3" t="s">
        <v>2625</v>
      </c>
      <c r="C15" s="3" t="n">
        <f aca="false">COUNTBLANK(Working_Data!M2:M1001)</f>
        <v>0</v>
      </c>
      <c r="D15" s="9" t="n">
        <f aca="false">C15/1000</f>
        <v>0</v>
      </c>
      <c r="E15" s="3" t="n">
        <f aca="false">COUNTBLANK(Working_Data!M2:M1001)</f>
        <v>0</v>
      </c>
      <c r="F15" s="3" t="s">
        <v>2624</v>
      </c>
    </row>
    <row r="16" customFormat="false" ht="13.8" hidden="false" customHeight="false" outlineLevel="0" collapsed="false">
      <c r="A16" s="3" t="s">
        <v>12</v>
      </c>
      <c r="B16" s="3" t="s">
        <v>2626</v>
      </c>
      <c r="C16" s="3" t="n">
        <f aca="false">COUNTBLANK(Working_Data!N2:N1001)</f>
        <v>0</v>
      </c>
      <c r="D16" s="9" t="n">
        <f aca="false">C16/1000</f>
        <v>0</v>
      </c>
      <c r="E16" s="3" t="n">
        <f aca="false">COUNTBLANK(Working_Data!N2:N1001)</f>
        <v>0</v>
      </c>
      <c r="F16" s="3" t="s">
        <v>2624</v>
      </c>
    </row>
    <row r="17" customFormat="false" ht="13.8" hidden="false" customHeight="false" outlineLevel="0" collapsed="false">
      <c r="A17" s="3" t="s">
        <v>13</v>
      </c>
      <c r="B17" s="3" t="s">
        <v>2625</v>
      </c>
      <c r="C17" s="3" t="n">
        <f aca="false">COUNTBLANK(Working_Data!O2:O1001)</f>
        <v>0</v>
      </c>
      <c r="D17" s="9" t="n">
        <f aca="false">C17/1000</f>
        <v>0</v>
      </c>
      <c r="E17" s="3" t="n">
        <f aca="false">COUNTBLANK(Working_Data!O2:O1001)</f>
        <v>0</v>
      </c>
      <c r="F17" s="3" t="s">
        <v>2624</v>
      </c>
    </row>
    <row r="18" customFormat="false" ht="13.8" hidden="false" customHeight="false" outlineLevel="0" collapsed="false">
      <c r="A18" s="3" t="s">
        <v>14</v>
      </c>
      <c r="B18" s="3" t="s">
        <v>2625</v>
      </c>
      <c r="C18" s="3" t="n">
        <f aca="false">COUNTBLANK(Working_Data!P2:P1001)</f>
        <v>0</v>
      </c>
      <c r="D18" s="9" t="n">
        <f aca="false">C18/1000</f>
        <v>0</v>
      </c>
      <c r="E18" s="3" t="n">
        <f aca="false">COUNTBLANK(Working_Data!P2:P1001)</f>
        <v>0</v>
      </c>
      <c r="F18" s="3" t="s">
        <v>2624</v>
      </c>
    </row>
    <row r="19" customFormat="false" ht="13.8" hidden="false" customHeight="false" outlineLevel="0" collapsed="false">
      <c r="A19" s="3" t="s">
        <v>15</v>
      </c>
      <c r="B19" s="3" t="s">
        <v>2625</v>
      </c>
      <c r="C19" s="3" t="n">
        <f aca="false">COUNTBLANK(Working_Data!Q2:Q1001)</f>
        <v>6</v>
      </c>
      <c r="D19" s="9" t="n">
        <f aca="false">C19/1000</f>
        <v>0.006</v>
      </c>
      <c r="E19" s="3" t="n">
        <f aca="false">COUNTBLANK(Working_Data!Q2:Q1001)</f>
        <v>6</v>
      </c>
      <c r="F19" s="3" t="s">
        <v>2624</v>
      </c>
    </row>
    <row r="20" customFormat="false" ht="13.8" hidden="false" customHeight="false" outlineLevel="0" collapsed="false">
      <c r="A20" s="3" t="s">
        <v>16</v>
      </c>
      <c r="B20" s="3" t="s">
        <v>2623</v>
      </c>
      <c r="C20" s="3" t="n">
        <f aca="false">COUNTBLANK(Working_Data!R2:R1001)</f>
        <v>716</v>
      </c>
      <c r="D20" s="9" t="n">
        <f aca="false">C20/1000</f>
        <v>0.716</v>
      </c>
      <c r="E20" s="3" t="n">
        <f aca="false">COUNTBLANK(Working_Data!R2:R1001)</f>
        <v>716</v>
      </c>
      <c r="F20" s="3" t="s">
        <v>2624</v>
      </c>
    </row>
    <row r="21" customFormat="false" ht="13.8" hidden="false" customHeight="false" outlineLevel="0" collapsed="false">
      <c r="A21" s="3" t="s">
        <v>17</v>
      </c>
      <c r="B21" s="3" t="s">
        <v>2626</v>
      </c>
      <c r="C21" s="3" t="n">
        <f aca="false">COUNTBLANK(Working_Data!S2:S1001)</f>
        <v>349</v>
      </c>
      <c r="D21" s="9" t="n">
        <f aca="false">C21/1000</f>
        <v>0.349</v>
      </c>
      <c r="E21" s="3" t="n">
        <f aca="false">COUNTBLANK(Working_Data!S2:S1001)</f>
        <v>349</v>
      </c>
      <c r="F21" s="3" t="s">
        <v>2624</v>
      </c>
    </row>
    <row r="22" customFormat="false" ht="13.8" hidden="false" customHeight="false" outlineLevel="0" collapsed="false">
      <c r="A22" s="3" t="s">
        <v>18</v>
      </c>
      <c r="B22" s="3" t="s">
        <v>2626</v>
      </c>
      <c r="C22" s="3" t="n">
        <f aca="false">COUNTBLANK(Working_Data!T2:T1001)</f>
        <v>0</v>
      </c>
      <c r="D22" s="9" t="n">
        <f aca="false">C22/1000</f>
        <v>0</v>
      </c>
      <c r="E22" s="3" t="n">
        <f aca="false">COUNTBLANK(Working_Data!T2:T1001)</f>
        <v>0</v>
      </c>
      <c r="F22" s="3" t="s">
        <v>2624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>
      <c r="A26" s="10" t="s">
        <v>2627</v>
      </c>
    </row>
    <row r="27" customFormat="false" ht="13.8" hidden="false" customHeight="false" outlineLevel="0" collapsed="false">
      <c r="A27" s="3" t="s">
        <v>2628</v>
      </c>
      <c r="B27" s="11" t="b">
        <f aca="false">ISNUMBER(Working_Data!C2)</f>
        <v>0</v>
      </c>
      <c r="C27" s="3" t="s">
        <v>2629</v>
      </c>
    </row>
    <row r="28" customFormat="false" ht="13.8" hidden="false" customHeight="false" outlineLevel="0" collapsed="false">
      <c r="A28" s="3" t="s">
        <v>2630</v>
      </c>
      <c r="B28" s="11" t="b">
        <f aca="false">ISNUMBER(Working_Data!T2)</f>
        <v>1</v>
      </c>
      <c r="C28" s="3" t="s">
        <v>2631</v>
      </c>
    </row>
    <row r="29" customFormat="false" ht="13.8" hidden="false" customHeight="false" outlineLevel="0" collapsed="false">
      <c r="A29" s="3" t="s">
        <v>2632</v>
      </c>
      <c r="B29" s="3" t="n">
        <f aca="false">COUNTIF(Working_Data!U2:U1001,"Distance + direction + city")</f>
        <v>869</v>
      </c>
      <c r="C29" s="3" t="s">
        <v>2633</v>
      </c>
    </row>
    <row r="30" customFormat="false" ht="13.8" hidden="false" customHeight="false" outlineLevel="0" collapsed="false">
      <c r="A30" s="3" t="s">
        <v>2634</v>
      </c>
      <c r="B30" s="3" t="n">
        <f aca="false">COUNTIF(Working_Data!U2:U1001,"Named-region")</f>
        <v>131</v>
      </c>
      <c r="C30" s="3" t="s">
        <v>2633</v>
      </c>
    </row>
    <row r="31" customFormat="false" ht="13.8" hidden="false" customHeight="false" outlineLevel="0" collapsed="false">
      <c r="A31" s="3" t="s">
        <v>2635</v>
      </c>
      <c r="B31" s="3" t="n">
        <f aca="false">COUNTIF(Working_Data!X2:X1001,"Duplicate")</f>
        <v>4</v>
      </c>
      <c r="C31" s="3" t="s">
        <v>2636</v>
      </c>
    </row>
    <row r="32" customFormat="false" ht="13.8" hidden="false" customHeight="false" outlineLevel="0" collapsed="false">
      <c r="A32" s="3" t="s">
        <v>2637</v>
      </c>
      <c r="B32" s="3" t="n">
        <f aca="false">COUNTIF(Working_Data!X2:X1001,"Unique")</f>
        <v>996</v>
      </c>
      <c r="C32" s="3" t="s">
        <v>2638</v>
      </c>
    </row>
    <row r="33" customFormat="false" ht="13.8" hidden="false" customHeight="false" outlineLevel="0" collapsed="false"/>
    <row r="34" customFormat="false" ht="13.8" hidden="false" customHeight="false" outlineLevel="0" collapsed="false">
      <c r="A34" s="3" t="s">
        <v>2639</v>
      </c>
      <c r="B34" s="3"/>
    </row>
    <row r="35" customFormat="false" ht="13.8" hidden="false" customHeight="false" outlineLevel="0" collapsed="false">
      <c r="A35" s="3" t="s">
        <v>2640</v>
      </c>
      <c r="B35" s="3" t="n">
        <f aca="false">COUNTA(Task1_Exploration!A18:A26)</f>
        <v>9</v>
      </c>
    </row>
    <row r="36" customFormat="false" ht="13.8" hidden="false" customHeight="false" outlineLevel="0" collapsed="false">
      <c r="A36" s="3" t="s">
        <v>2641</v>
      </c>
      <c r="B36" s="3" t="n">
        <f aca="false">SUMPRODUCT(1/COUNTIF(Working_Data!V2:V1001,Working_Data!V2:V1001))</f>
        <v>9</v>
      </c>
    </row>
  </sheetData>
  <mergeCells count="1">
    <mergeCell ref="A1:F1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8" min="1" style="1" width="25"/>
  </cols>
  <sheetData>
    <row r="1" customFormat="false" ht="19.7" hidden="false" customHeight="false" outlineLevel="0" collapsed="false">
      <c r="A1" s="7" t="s">
        <v>2642</v>
      </c>
      <c r="B1" s="7"/>
      <c r="C1" s="7"/>
      <c r="D1" s="7"/>
      <c r="E1" s="7"/>
      <c r="F1" s="7"/>
      <c r="G1" s="7"/>
      <c r="H1" s="7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2607</v>
      </c>
      <c r="B3" s="8" t="s">
        <v>2615</v>
      </c>
      <c r="D3" s="8" t="s">
        <v>2643</v>
      </c>
      <c r="E3" s="8" t="s">
        <v>2606</v>
      </c>
      <c r="G3" s="8" t="s">
        <v>2644</v>
      </c>
      <c r="H3" s="8" t="s">
        <v>2606</v>
      </c>
    </row>
    <row r="4" customFormat="false" ht="13.8" hidden="false" customHeight="false" outlineLevel="0" collapsed="false">
      <c r="A4" s="3" t="s">
        <v>2609</v>
      </c>
      <c r="B4" s="3" t="n">
        <f aca="false">COUNTIF(Working_Data!F2:F1001,"")</f>
        <v>551</v>
      </c>
      <c r="D4" s="3" t="s">
        <v>40</v>
      </c>
      <c r="E4" s="3" t="n">
        <f aca="false">COUNTIF(Working_Data!M2:M1001,D4)</f>
        <v>5</v>
      </c>
      <c r="G4" s="3" t="s">
        <v>1374</v>
      </c>
      <c r="H4" s="3" t="n">
        <f aca="false">COUNTIF(Working_Data!V2:V1001,G4)</f>
        <v>4</v>
      </c>
    </row>
    <row r="5" customFormat="false" ht="13.8" hidden="false" customHeight="false" outlineLevel="0" collapsed="false">
      <c r="A5" s="3" t="s">
        <v>21</v>
      </c>
      <c r="B5" s="3" t="n">
        <f aca="false">COUNTIF(Working_Data!F2:F1001,A5)</f>
        <v>353</v>
      </c>
      <c r="D5" s="3" t="s">
        <v>1374</v>
      </c>
      <c r="E5" s="3" t="n">
        <f aca="false">COUNTIF(Working_Data!M2:M1001,D5)</f>
        <v>4</v>
      </c>
      <c r="G5" s="3" t="s">
        <v>1732</v>
      </c>
      <c r="H5" s="3" t="n">
        <f aca="false">COUNTIF(Working_Data!V2:V1001,G5)</f>
        <v>2</v>
      </c>
    </row>
    <row r="6" customFormat="false" ht="13.8" hidden="false" customHeight="false" outlineLevel="0" collapsed="false">
      <c r="A6" s="3" t="s">
        <v>28</v>
      </c>
      <c r="B6" s="3" t="n">
        <f aca="false">COUNTIF(Working_Data!F2:F1001,A6)</f>
        <v>59</v>
      </c>
      <c r="D6" s="3" t="s">
        <v>1732</v>
      </c>
      <c r="E6" s="3" t="n">
        <f aca="false">COUNTIF(Working_Data!M2:M1001,D6)</f>
        <v>2</v>
      </c>
      <c r="G6" s="3" t="s">
        <v>2645</v>
      </c>
      <c r="H6" s="3" t="n">
        <f aca="false">COUNTIF(Working_Data!V2:V1001,G6)</f>
        <v>5</v>
      </c>
    </row>
    <row r="7" customFormat="false" ht="13.8" hidden="false" customHeight="false" outlineLevel="0" collapsed="false">
      <c r="A7" s="3" t="s">
        <v>95</v>
      </c>
      <c r="B7" s="3" t="n">
        <f aca="false">COUNTIF(Working_Data!F2:F1001,A7)</f>
        <v>24</v>
      </c>
      <c r="D7" s="3" t="s">
        <v>408</v>
      </c>
      <c r="E7" s="3" t="n">
        <f aca="false">COUNTIF(Working_Data!M2:M1001,D7)</f>
        <v>1</v>
      </c>
      <c r="G7" s="3" t="s">
        <v>408</v>
      </c>
      <c r="H7" s="3" t="n">
        <f aca="false">COUNTIF(Working_Data!V2:V1001,G7)</f>
        <v>1</v>
      </c>
    </row>
    <row r="8" customFormat="false" ht="13.8" hidden="false" customHeight="false" outlineLevel="0" collapsed="false">
      <c r="A8" s="3" t="s">
        <v>121</v>
      </c>
      <c r="B8" s="3" t="n">
        <f aca="false">COUNTIF(Working_Data!F2:F1001,A8)</f>
        <v>13</v>
      </c>
      <c r="D8" s="3" t="s">
        <v>1370</v>
      </c>
      <c r="E8" s="3" t="n">
        <f aca="false">COUNTIF(Working_Data!M2:M1001,D8)</f>
        <v>3</v>
      </c>
      <c r="G8" s="3" t="s">
        <v>1370</v>
      </c>
      <c r="H8" s="3" t="n">
        <f aca="false">COUNTIF(Working_Data!V2:V1001,G8)</f>
        <v>3</v>
      </c>
    </row>
    <row r="9" customFormat="false" ht="13.8" hidden="false" customHeight="false" outlineLevel="0" collapsed="false">
      <c r="D9" s="3" t="s">
        <v>485</v>
      </c>
      <c r="E9" s="3" t="n">
        <f aca="false">COUNTIF(Working_Data!M2:M1001,D9)</f>
        <v>51</v>
      </c>
      <c r="G9" s="3" t="s">
        <v>485</v>
      </c>
      <c r="H9" s="3" t="n">
        <f aca="false">COUNTIF(Working_Data!V2:V1001,G9)</f>
        <v>51</v>
      </c>
    </row>
    <row r="10" customFormat="false" ht="13.8" hidden="false" customHeight="false" outlineLevel="0" collapsed="false">
      <c r="D10" s="3" t="s">
        <v>154</v>
      </c>
      <c r="E10" s="3" t="n">
        <f aca="false">COUNTIF(Working_Data!M2:M1001,D10)</f>
        <v>100</v>
      </c>
      <c r="G10" s="3" t="s">
        <v>154</v>
      </c>
      <c r="H10" s="3" t="n">
        <f aca="false">COUNTIF(Working_Data!V2:V1001,G10)</f>
        <v>100</v>
      </c>
    </row>
    <row r="11" customFormat="false" ht="13.8" hidden="false" customHeight="false" outlineLevel="0" collapsed="false">
      <c r="D11" s="3" t="s">
        <v>127</v>
      </c>
      <c r="E11" s="3" t="n">
        <f aca="false">COUNTIF(Working_Data!M2:M1001,D11)</f>
        <v>332</v>
      </c>
      <c r="G11" s="3" t="s">
        <v>127</v>
      </c>
      <c r="H11" s="3" t="n">
        <f aca="false">COUNTIF(Working_Data!V2:V1001,G11)</f>
        <v>332</v>
      </c>
    </row>
    <row r="12" customFormat="false" ht="13.8" hidden="false" customHeight="false" outlineLevel="0" collapsed="false">
      <c r="A12" s="8" t="s">
        <v>2608</v>
      </c>
      <c r="B12" s="8" t="s">
        <v>2606</v>
      </c>
      <c r="D12" s="8" t="s">
        <v>2646</v>
      </c>
      <c r="E12" s="8" t="s">
        <v>2606</v>
      </c>
      <c r="G12" s="8" t="s">
        <v>2647</v>
      </c>
      <c r="H12" s="8" t="s">
        <v>2606</v>
      </c>
    </row>
    <row r="13" customFormat="false" ht="13.8" hidden="false" customHeight="false" outlineLevel="0" collapsed="false">
      <c r="A13" s="3" t="s">
        <v>2610</v>
      </c>
      <c r="B13" s="3" t="n">
        <f aca="false">COUNTIF(Working_Data!Y2:Y1001,A13)</f>
        <v>0</v>
      </c>
      <c r="D13" s="3" t="s">
        <v>2648</v>
      </c>
      <c r="E13" s="3" t="n">
        <f aca="false">COUNTIF(Working_Data!U2:U1001,D13)</f>
        <v>869</v>
      </c>
      <c r="G13" s="3" t="s">
        <v>2649</v>
      </c>
      <c r="H13" s="3" t="n">
        <f aca="false">COUNTIF(Working_Data!X2:X1001,G13)</f>
        <v>996</v>
      </c>
    </row>
    <row r="14" customFormat="false" ht="13.8" hidden="false" customHeight="false" outlineLevel="0" collapsed="false">
      <c r="A14" s="3" t="s">
        <v>2611</v>
      </c>
      <c r="B14" s="3" t="n">
        <f aca="false">COUNTIF(Working_Data!Y2:Y1001,A14)</f>
        <v>627</v>
      </c>
      <c r="D14" s="3" t="s">
        <v>2650</v>
      </c>
      <c r="E14" s="3" t="n">
        <f aca="false">COUNTIF(Working_Data!U2:U1001,D14)</f>
        <v>131</v>
      </c>
      <c r="G14" s="3" t="s">
        <v>2651</v>
      </c>
      <c r="H14" s="3" t="n">
        <f aca="false">COUNTIF(Working_Data!X2:X1001,G14)</f>
        <v>4</v>
      </c>
    </row>
    <row r="15" customFormat="false" ht="13.8" hidden="false" customHeight="false" outlineLevel="0" collapsed="false">
      <c r="A15" s="3" t="s">
        <v>2612</v>
      </c>
      <c r="B15" s="3" t="n">
        <f aca="false">COUNTIF(Working_Data!Y2:Y1001,A15)</f>
        <v>229</v>
      </c>
    </row>
    <row r="16" customFormat="false" ht="13.8" hidden="false" customHeight="false" outlineLevel="0" collapsed="false">
      <c r="A16" s="3" t="s">
        <v>2613</v>
      </c>
      <c r="B16" s="3" t="n">
        <f aca="false">COUNTIF(Working_Data!Y2:Y1001,A16)</f>
        <v>112</v>
      </c>
    </row>
    <row r="17" customFormat="false" ht="13.8" hidden="false" customHeight="false" outlineLevel="0" collapsed="false">
      <c r="A17" s="3" t="s">
        <v>2614</v>
      </c>
      <c r="B17" s="3" t="n">
        <f aca="false">COUNTIF(Working_Data!Y2:Y1001,A17)</f>
        <v>32</v>
      </c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5" hidden="false" customHeight="true" outlineLevel="0" collapsed="false">
      <c r="A20" s="12" t="s">
        <v>2652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</row>
  </sheetData>
  <mergeCells count="2">
    <mergeCell ref="A1:H1"/>
    <mergeCell ref="A20:H21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4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4"/>
  </cols>
  <sheetData>
    <row r="1" customFormat="false" ht="22.05" hidden="false" customHeight="false" outlineLevel="0" collapsed="false">
      <c r="A1" s="13" t="s">
        <v>2653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2654</v>
      </c>
      <c r="B3" s="8" t="s">
        <v>2655</v>
      </c>
      <c r="D3" s="8" t="s">
        <v>2656</v>
      </c>
      <c r="E3" s="8" t="s">
        <v>2606</v>
      </c>
    </row>
    <row r="4" customFormat="false" ht="13.8" hidden="false" customHeight="false" outlineLevel="0" collapsed="false">
      <c r="A4" s="3" t="s">
        <v>2657</v>
      </c>
      <c r="B4" s="3" t="n">
        <f aca="false">COUNTA(Working_Data!A2:A1001)</f>
        <v>1000</v>
      </c>
      <c r="D4" s="3" t="s">
        <v>2609</v>
      </c>
      <c r="E4" s="3" t="n">
        <f aca="false">PivotTables!B4</f>
        <v>551</v>
      </c>
    </row>
    <row r="5" customFormat="false" ht="13.8" hidden="false" customHeight="false" outlineLevel="0" collapsed="false">
      <c r="A5" s="3" t="s">
        <v>2658</v>
      </c>
      <c r="B5" s="3" t="n">
        <f aca="false">AVERAGE(Working_Data!B2:B1001)</f>
        <v>6.94015</v>
      </c>
      <c r="D5" s="3" t="s">
        <v>21</v>
      </c>
      <c r="E5" s="3" t="n">
        <f aca="false">PivotTables!B5</f>
        <v>353</v>
      </c>
    </row>
    <row r="6" customFormat="false" ht="13.8" hidden="false" customHeight="false" outlineLevel="0" collapsed="false">
      <c r="A6" s="3" t="s">
        <v>2659</v>
      </c>
      <c r="B6" s="3" t="n">
        <f aca="false">MAX(Working_Data!B2:B1001)</f>
        <v>9.1</v>
      </c>
      <c r="D6" s="3" t="s">
        <v>28</v>
      </c>
      <c r="E6" s="3" t="n">
        <f aca="false">PivotTables!B6</f>
        <v>59</v>
      </c>
    </row>
    <row r="7" customFormat="false" ht="13.8" hidden="false" customHeight="false" outlineLevel="0" collapsed="false">
      <c r="A7" s="3" t="s">
        <v>2660</v>
      </c>
      <c r="B7" s="3" t="n">
        <f aca="false">MIN(Working_Data!N2:N1001)</f>
        <v>2.7</v>
      </c>
      <c r="D7" s="3" t="s">
        <v>95</v>
      </c>
      <c r="E7" s="3" t="n">
        <f aca="false">PivotTables!B7</f>
        <v>24</v>
      </c>
    </row>
    <row r="8" customFormat="false" ht="13.8" hidden="false" customHeight="false" outlineLevel="0" collapsed="false">
      <c r="A8" s="3" t="s">
        <v>2661</v>
      </c>
      <c r="B8" s="3" t="n">
        <f aca="false">MAX(Working_Data!N2:N1001)</f>
        <v>670.81</v>
      </c>
      <c r="D8" s="3" t="s">
        <v>121</v>
      </c>
      <c r="E8" s="3" t="n">
        <f aca="false">PivotTables!B8</f>
        <v>13</v>
      </c>
    </row>
    <row r="9" customFormat="false" ht="13.8" hidden="false" customHeight="false" outlineLevel="0" collapsed="false">
      <c r="A9" s="3" t="s">
        <v>2662</v>
      </c>
      <c r="B9" s="9" t="n">
        <f aca="false">COUNTBLANK(Working_Data!F2:F1001)/1000</f>
        <v>0.551</v>
      </c>
    </row>
    <row r="10" customFormat="false" ht="13.8" hidden="false" customHeight="false" outlineLevel="0" collapsed="false">
      <c r="A10" s="3" t="s">
        <v>2663</v>
      </c>
      <c r="B10" s="9" t="n">
        <f aca="false">COUNTBLANK(Working_Data!R2:R1001)/1000</f>
        <v>0.716</v>
      </c>
    </row>
    <row r="11" customFormat="false" ht="13.8" hidden="false" customHeight="false" outlineLevel="0" collapsed="false">
      <c r="A11" s="3" t="s">
        <v>2664</v>
      </c>
      <c r="B11" s="9" t="n">
        <f aca="false">COUNTBLANK(Working_Data!S2:S1001)/1000</f>
        <v>0.349</v>
      </c>
    </row>
    <row r="12" customFormat="false" ht="13.8" hidden="false" customHeight="false" outlineLevel="0" collapsed="false">
      <c r="A12" s="3" t="s">
        <v>2665</v>
      </c>
      <c r="B12" s="9" t="n">
        <f aca="false">COUNTBLANK(Working_Data!Q2:Q1001)/1000</f>
        <v>0.006</v>
      </c>
      <c r="D12" s="8" t="s">
        <v>2608</v>
      </c>
      <c r="E12" s="8" t="s">
        <v>2606</v>
      </c>
    </row>
    <row r="13" customFormat="false" ht="13.8" hidden="false" customHeight="false" outlineLevel="0" collapsed="false">
      <c r="A13" s="3" t="s">
        <v>2666</v>
      </c>
      <c r="B13" s="3" t="n">
        <f aca="false">COUNTIF(Working_Data!X2:X1001,"Duplicate")</f>
        <v>4</v>
      </c>
      <c r="D13" s="3" t="s">
        <v>2610</v>
      </c>
      <c r="E13" s="3" t="n">
        <f aca="false">PivotTables!B13</f>
        <v>0</v>
      </c>
    </row>
    <row r="14" customFormat="false" ht="13.8" hidden="false" customHeight="false" outlineLevel="0" collapsed="false">
      <c r="D14" s="3" t="s">
        <v>2611</v>
      </c>
      <c r="E14" s="3" t="n">
        <f aca="false">PivotTables!B14</f>
        <v>627</v>
      </c>
    </row>
    <row r="15" customFormat="false" ht="13.8" hidden="false" customHeight="false" outlineLevel="0" collapsed="false">
      <c r="D15" s="3" t="s">
        <v>2612</v>
      </c>
      <c r="E15" s="3" t="n">
        <f aca="false">PivotTables!B15</f>
        <v>229</v>
      </c>
    </row>
    <row r="16" customFormat="false" ht="13.8" hidden="false" customHeight="true" outlineLevel="0" collapsed="false">
      <c r="A16" s="1" t="s">
        <v>2667</v>
      </c>
      <c r="B16" s="12" t="s">
        <v>2668</v>
      </c>
      <c r="C16" s="12"/>
      <c r="D16" s="12"/>
      <c r="E16" s="12"/>
      <c r="F16" s="12"/>
    </row>
    <row r="17" customFormat="false" ht="13.8" hidden="false" customHeight="false" outlineLevel="0" collapsed="false">
      <c r="B17" s="12"/>
      <c r="C17" s="12"/>
      <c r="D17" s="12"/>
      <c r="E17" s="12"/>
      <c r="F17" s="12"/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</sheetData>
  <mergeCells count="2">
    <mergeCell ref="A1:J1"/>
    <mergeCell ref="B16:F17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28"/>
  </cols>
  <sheetData>
    <row r="1" customFormat="false" ht="19.7" hidden="false" customHeight="false" outlineLevel="0" collapsed="false">
      <c r="A1" s="7" t="s">
        <v>2669</v>
      </c>
      <c r="B1" s="7"/>
      <c r="C1" s="7"/>
      <c r="D1" s="7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2617</v>
      </c>
      <c r="B3" s="8" t="s">
        <v>2618</v>
      </c>
      <c r="C3" s="8" t="s">
        <v>2670</v>
      </c>
      <c r="D3" s="8" t="s">
        <v>2671</v>
      </c>
    </row>
    <row r="4" customFormat="false" ht="13.8" hidden="false" customHeight="false" outlineLevel="0" collapsed="false">
      <c r="A4" s="3" t="s">
        <v>0</v>
      </c>
      <c r="B4" s="3" t="s">
        <v>2623</v>
      </c>
      <c r="C4" s="3" t="s">
        <v>2672</v>
      </c>
      <c r="D4" s="3" t="s">
        <v>2673</v>
      </c>
    </row>
    <row r="5" customFormat="false" ht="13.8" hidden="false" customHeight="false" outlineLevel="0" collapsed="false">
      <c r="A5" s="3" t="s">
        <v>1</v>
      </c>
      <c r="B5" s="3" t="s">
        <v>2625</v>
      </c>
      <c r="C5" s="3" t="s">
        <v>2674</v>
      </c>
      <c r="D5" s="3" t="s">
        <v>2675</v>
      </c>
    </row>
    <row r="6" customFormat="false" ht="13.8" hidden="false" customHeight="false" outlineLevel="0" collapsed="false">
      <c r="A6" s="3" t="s">
        <v>2</v>
      </c>
      <c r="B6" s="3" t="s">
        <v>2676</v>
      </c>
      <c r="C6" s="3" t="s">
        <v>2677</v>
      </c>
      <c r="D6" s="3" t="s">
        <v>2678</v>
      </c>
    </row>
    <row r="7" customFormat="false" ht="13.8" hidden="false" customHeight="false" outlineLevel="0" collapsed="false">
      <c r="A7" s="3" t="s">
        <v>3</v>
      </c>
      <c r="B7" s="3" t="s">
        <v>2625</v>
      </c>
      <c r="C7" s="3" t="s">
        <v>2679</v>
      </c>
      <c r="D7" s="3" t="s">
        <v>2680</v>
      </c>
    </row>
    <row r="8" customFormat="false" ht="13.8" hidden="false" customHeight="false" outlineLevel="0" collapsed="false">
      <c r="A8" s="3" t="s">
        <v>4</v>
      </c>
      <c r="B8" s="3" t="s">
        <v>2625</v>
      </c>
      <c r="C8" s="3" t="s">
        <v>2681</v>
      </c>
      <c r="D8" s="3" t="s">
        <v>2680</v>
      </c>
    </row>
    <row r="9" customFormat="false" ht="13.8" hidden="false" customHeight="false" outlineLevel="0" collapsed="false">
      <c r="A9" s="3" t="s">
        <v>5</v>
      </c>
      <c r="B9" s="3" t="s">
        <v>2626</v>
      </c>
      <c r="C9" s="3" t="s">
        <v>2682</v>
      </c>
      <c r="D9" s="3" t="s">
        <v>2683</v>
      </c>
    </row>
    <row r="10" customFormat="false" ht="13.8" hidden="false" customHeight="false" outlineLevel="0" collapsed="false">
      <c r="A10" s="3" t="s">
        <v>6</v>
      </c>
      <c r="B10" s="3" t="s">
        <v>2625</v>
      </c>
      <c r="C10" s="3" t="s">
        <v>2684</v>
      </c>
      <c r="D10" s="3" t="s">
        <v>2685</v>
      </c>
    </row>
    <row r="11" customFormat="false" ht="13.8" hidden="false" customHeight="false" outlineLevel="0" collapsed="false">
      <c r="A11" s="3" t="s">
        <v>7</v>
      </c>
      <c r="B11" s="3" t="s">
        <v>2625</v>
      </c>
      <c r="C11" s="3" t="s">
        <v>2686</v>
      </c>
      <c r="D11" s="3" t="s">
        <v>2687</v>
      </c>
    </row>
    <row r="12" customFormat="false" ht="13.8" hidden="false" customHeight="false" outlineLevel="0" collapsed="false">
      <c r="A12" s="3" t="s">
        <v>8</v>
      </c>
      <c r="B12" s="3" t="s">
        <v>2626</v>
      </c>
      <c r="C12" s="3" t="s">
        <v>2688</v>
      </c>
      <c r="D12" s="3" t="s">
        <v>2689</v>
      </c>
    </row>
    <row r="13" customFormat="false" ht="13.8" hidden="false" customHeight="false" outlineLevel="0" collapsed="false">
      <c r="A13" s="3" t="s">
        <v>9</v>
      </c>
      <c r="B13" s="3" t="s">
        <v>2625</v>
      </c>
      <c r="C13" s="3" t="s">
        <v>2690</v>
      </c>
      <c r="D13" s="3" t="s">
        <v>2687</v>
      </c>
    </row>
    <row r="14" customFormat="false" ht="13.8" hidden="false" customHeight="false" outlineLevel="0" collapsed="false">
      <c r="A14" s="3" t="s">
        <v>10</v>
      </c>
      <c r="B14" s="3" t="s">
        <v>2625</v>
      </c>
      <c r="C14" s="3" t="s">
        <v>2691</v>
      </c>
      <c r="D14" s="3" t="s">
        <v>2687</v>
      </c>
    </row>
    <row r="15" customFormat="false" ht="13.8" hidden="false" customHeight="false" outlineLevel="0" collapsed="false">
      <c r="A15" s="3" t="s">
        <v>11</v>
      </c>
      <c r="B15" s="3" t="s">
        <v>2625</v>
      </c>
      <c r="C15" s="3" t="s">
        <v>2692</v>
      </c>
      <c r="D15" s="3" t="s">
        <v>2687</v>
      </c>
    </row>
    <row r="16" customFormat="false" ht="13.8" hidden="false" customHeight="false" outlineLevel="0" collapsed="false">
      <c r="A16" s="3" t="s">
        <v>12</v>
      </c>
      <c r="B16" s="3" t="s">
        <v>2626</v>
      </c>
      <c r="C16" s="3" t="s">
        <v>2693</v>
      </c>
      <c r="D16" s="3" t="s">
        <v>2694</v>
      </c>
    </row>
    <row r="17" customFormat="false" ht="13.8" hidden="false" customHeight="false" outlineLevel="0" collapsed="false">
      <c r="A17" s="3" t="s">
        <v>13</v>
      </c>
      <c r="B17" s="3" t="s">
        <v>2625</v>
      </c>
      <c r="C17" s="3" t="s">
        <v>2695</v>
      </c>
      <c r="D17" s="3" t="s">
        <v>2687</v>
      </c>
    </row>
    <row r="18" customFormat="false" ht="13.8" hidden="false" customHeight="false" outlineLevel="0" collapsed="false">
      <c r="A18" s="3" t="s">
        <v>14</v>
      </c>
      <c r="B18" s="3" t="s">
        <v>2625</v>
      </c>
      <c r="C18" s="3" t="s">
        <v>2696</v>
      </c>
      <c r="D18" s="3" t="s">
        <v>2687</v>
      </c>
    </row>
    <row r="19" customFormat="false" ht="13.8" hidden="false" customHeight="false" outlineLevel="0" collapsed="false">
      <c r="A19" s="3" t="s">
        <v>15</v>
      </c>
      <c r="B19" s="3" t="s">
        <v>2625</v>
      </c>
      <c r="C19" s="3" t="s">
        <v>2697</v>
      </c>
      <c r="D19" s="3" t="s">
        <v>2687</v>
      </c>
    </row>
    <row r="20" customFormat="false" ht="13.8" hidden="false" customHeight="false" outlineLevel="0" collapsed="false">
      <c r="A20" s="3" t="s">
        <v>16</v>
      </c>
      <c r="B20" s="3" t="s">
        <v>2623</v>
      </c>
      <c r="C20" s="3" t="s">
        <v>2698</v>
      </c>
      <c r="D20" s="3" t="s">
        <v>2699</v>
      </c>
    </row>
    <row r="21" customFormat="false" ht="13.8" hidden="false" customHeight="false" outlineLevel="0" collapsed="false">
      <c r="A21" s="3" t="s">
        <v>17</v>
      </c>
      <c r="B21" s="3" t="s">
        <v>2626</v>
      </c>
      <c r="C21" s="3" t="s">
        <v>2700</v>
      </c>
      <c r="D21" s="3" t="s">
        <v>2701</v>
      </c>
    </row>
    <row r="22" customFormat="false" ht="13.8" hidden="false" customHeight="false" outlineLevel="0" collapsed="false">
      <c r="A22" s="3" t="s">
        <v>18</v>
      </c>
      <c r="B22" s="3" t="s">
        <v>2626</v>
      </c>
      <c r="C22" s="3" t="s">
        <v>2702</v>
      </c>
      <c r="D22" s="3" t="s">
        <v>2699</v>
      </c>
    </row>
  </sheetData>
  <mergeCells count="1">
    <mergeCell ref="A1:D1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55"/>
  </cols>
  <sheetData>
    <row r="1" customFormat="false" ht="19.7" hidden="false" customHeight="false" outlineLevel="0" collapsed="false">
      <c r="A1" s="7" t="s">
        <v>2703</v>
      </c>
      <c r="B1" s="7"/>
      <c r="C1" s="7"/>
      <c r="D1" s="7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2704</v>
      </c>
      <c r="B3" s="8" t="s">
        <v>2705</v>
      </c>
      <c r="C3" s="8" t="s">
        <v>2706</v>
      </c>
      <c r="D3" s="8" t="s">
        <v>2707</v>
      </c>
    </row>
    <row r="4" customFormat="false" ht="28.35" hidden="false" customHeight="false" outlineLevel="0" collapsed="false">
      <c r="A4" s="14" t="s">
        <v>2598</v>
      </c>
      <c r="B4" s="15" t="n">
        <f aca="false">COUNTBLANK(Working_Data!F2:F1001)/1000</f>
        <v>0.551</v>
      </c>
      <c r="C4" s="14" t="s">
        <v>2708</v>
      </c>
      <c r="D4" s="14" t="s">
        <v>2709</v>
      </c>
    </row>
    <row r="5" customFormat="false" ht="28.35" hidden="false" customHeight="false" outlineLevel="0" collapsed="false">
      <c r="A5" s="14" t="s">
        <v>2710</v>
      </c>
      <c r="B5" s="15" t="n">
        <f aca="false">COUNTBLANK(Working_Data!R2:R1001)/1000</f>
        <v>0.716</v>
      </c>
      <c r="C5" s="14" t="s">
        <v>2711</v>
      </c>
      <c r="D5" s="14" t="s">
        <v>2712</v>
      </c>
    </row>
    <row r="6" customFormat="false" ht="14.9" hidden="false" customHeight="false" outlineLevel="0" collapsed="false">
      <c r="A6" s="14" t="s">
        <v>2713</v>
      </c>
      <c r="B6" s="15" t="n">
        <f aca="false">COUNTBLANK(Working_Data!S2:S1001)/1000</f>
        <v>0.349</v>
      </c>
      <c r="C6" s="14" t="s">
        <v>2714</v>
      </c>
      <c r="D6" s="14" t="s">
        <v>2715</v>
      </c>
    </row>
    <row r="7" customFormat="false" ht="14.9" hidden="false" customHeight="false" outlineLevel="0" collapsed="false">
      <c r="A7" s="14" t="s">
        <v>2716</v>
      </c>
      <c r="B7" s="15" t="n">
        <f aca="false">COUNTBLANK(Working_Data!Q2:Q1001)/1000</f>
        <v>0.006</v>
      </c>
      <c r="C7" s="14" t="s">
        <v>2717</v>
      </c>
      <c r="D7" s="14" t="s">
        <v>2718</v>
      </c>
    </row>
    <row r="8" customFormat="false" ht="14.9" hidden="false" customHeight="false" outlineLevel="0" collapsed="false">
      <c r="A8" s="14" t="s">
        <v>2719</v>
      </c>
      <c r="B8" s="15" t="n">
        <f aca="false">ISNUMBER(Working_Data!C2)</f>
        <v>0</v>
      </c>
      <c r="C8" s="14" t="s">
        <v>2720</v>
      </c>
      <c r="D8" s="14" t="s">
        <v>2721</v>
      </c>
    </row>
    <row r="9" customFormat="false" ht="14.9" hidden="false" customHeight="false" outlineLevel="0" collapsed="false">
      <c r="A9" s="14" t="s">
        <v>2722</v>
      </c>
      <c r="B9" s="14" t="n">
        <f aca="false">COUNTA(Working_Data!M2:M1001)-COUNTA(Working_Data!V2:V1001)</f>
        <v>0</v>
      </c>
      <c r="C9" s="14" t="s">
        <v>2723</v>
      </c>
      <c r="D9" s="14" t="s">
        <v>2724</v>
      </c>
    </row>
    <row r="10" customFormat="false" ht="28.35" hidden="false" customHeight="false" outlineLevel="0" collapsed="false">
      <c r="A10" s="14" t="s">
        <v>2673</v>
      </c>
      <c r="B10" s="14" t="n">
        <f aca="false">COUNTIF(Working_Data!U2:U1001,"Named-region")</f>
        <v>131</v>
      </c>
      <c r="C10" s="14" t="s">
        <v>2725</v>
      </c>
      <c r="D10" s="14" t="s">
        <v>2726</v>
      </c>
    </row>
    <row r="11" customFormat="false" ht="28.35" hidden="false" customHeight="false" outlineLevel="0" collapsed="false">
      <c r="A11" s="14" t="s">
        <v>2727</v>
      </c>
      <c r="B11" s="14" t="n">
        <f aca="false">COUNTIF(Working_Data!X2:X1001,"Duplicate")</f>
        <v>4</v>
      </c>
      <c r="C11" s="14" t="s">
        <v>2728</v>
      </c>
      <c r="D11" s="14" t="s">
        <v>2729</v>
      </c>
    </row>
  </sheetData>
  <mergeCells count="1">
    <mergeCell ref="A1:D1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8"/>
    <col collapsed="false" customWidth="true" hidden="false" outlineLevel="0" max="3" min="3" style="1" width="60"/>
  </cols>
  <sheetData>
    <row r="1" customFormat="false" ht="19.7" hidden="false" customHeight="false" outlineLevel="0" collapsed="false">
      <c r="A1" s="7" t="s">
        <v>2730</v>
      </c>
      <c r="B1" s="7"/>
      <c r="C1" s="7"/>
    </row>
    <row r="2" customFormat="false" ht="13.8" hidden="false" customHeight="false" outlineLevel="0" collapsed="false"/>
    <row r="3" customFormat="false" ht="13.8" hidden="false" customHeight="false" outlineLevel="0" collapsed="false">
      <c r="A3" s="8" t="s">
        <v>2731</v>
      </c>
      <c r="B3" s="8" t="s">
        <v>2732</v>
      </c>
      <c r="C3" s="8" t="s">
        <v>2733</v>
      </c>
    </row>
    <row r="4" customFormat="false" ht="41.75" hidden="false" customHeight="false" outlineLevel="0" collapsed="false">
      <c r="A4" s="14" t="s">
        <v>2734</v>
      </c>
      <c r="B4" s="14" t="s">
        <v>2735</v>
      </c>
      <c r="C4" s="14" t="s">
        <v>2736</v>
      </c>
    </row>
    <row r="5" customFormat="false" ht="28.35" hidden="false" customHeight="false" outlineLevel="0" collapsed="false">
      <c r="A5" s="14" t="s">
        <v>2737</v>
      </c>
      <c r="B5" s="14" t="s">
        <v>2738</v>
      </c>
      <c r="C5" s="14" t="s">
        <v>2739</v>
      </c>
    </row>
    <row r="6" customFormat="false" ht="14.9" hidden="false" customHeight="false" outlineLevel="0" collapsed="false">
      <c r="A6" s="14" t="s">
        <v>2740</v>
      </c>
      <c r="B6" s="14" t="s">
        <v>2741</v>
      </c>
      <c r="C6" s="14" t="s">
        <v>2742</v>
      </c>
    </row>
    <row r="7" customFormat="false" ht="14.9" hidden="false" customHeight="false" outlineLevel="0" collapsed="false">
      <c r="A7" s="14" t="s">
        <v>2743</v>
      </c>
      <c r="B7" s="14" t="s">
        <v>2744</v>
      </c>
      <c r="C7" s="14" t="s">
        <v>2745</v>
      </c>
    </row>
    <row r="8" customFormat="false" ht="14.9" hidden="false" customHeight="false" outlineLevel="0" collapsed="false">
      <c r="A8" s="14" t="s">
        <v>2746</v>
      </c>
      <c r="B8" s="14" t="s">
        <v>2747</v>
      </c>
      <c r="C8" s="14" t="s">
        <v>2748</v>
      </c>
    </row>
    <row r="9" customFormat="false" ht="14.9" hidden="false" customHeight="false" outlineLevel="0" collapsed="false">
      <c r="A9" s="14" t="s">
        <v>2749</v>
      </c>
      <c r="B9" s="14" t="s">
        <v>2750</v>
      </c>
      <c r="C9" s="14" t="s">
        <v>2751</v>
      </c>
    </row>
    <row r="10" customFormat="false" ht="14.9" hidden="false" customHeight="false" outlineLevel="0" collapsed="false">
      <c r="A10" s="14" t="s">
        <v>2752</v>
      </c>
      <c r="B10" s="14" t="s">
        <v>2753</v>
      </c>
      <c r="C10" s="14" t="s">
        <v>2754</v>
      </c>
    </row>
    <row r="11" customFormat="false" ht="14.9" hidden="false" customHeight="false" outlineLevel="0" collapsed="false">
      <c r="A11" s="14" t="s">
        <v>2755</v>
      </c>
      <c r="B11" s="14" t="s">
        <v>2756</v>
      </c>
      <c r="C11" s="14" t="s">
        <v>2757</v>
      </c>
    </row>
    <row r="12" customFormat="false" ht="14.9" hidden="false" customHeight="false" outlineLevel="0" collapsed="false">
      <c r="A12" s="14" t="s">
        <v>2758</v>
      </c>
      <c r="B12" s="14" t="s">
        <v>2759</v>
      </c>
      <c r="C12" s="14" t="s">
        <v>2760</v>
      </c>
    </row>
    <row r="13" customFormat="false" ht="28.35" hidden="false" customHeight="false" outlineLevel="0" collapsed="false">
      <c r="A13" s="14" t="s">
        <v>2761</v>
      </c>
      <c r="B13" s="14" t="s">
        <v>2762</v>
      </c>
      <c r="C13" s="14" t="s">
        <v>2763</v>
      </c>
    </row>
  </sheetData>
  <mergeCells count="1">
    <mergeCell ref="A1:C1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5.54"/>
    <col collapsed="false" customWidth="true" hidden="false" outlineLevel="0" max="2" min="2" style="1" width="12.76"/>
  </cols>
  <sheetData>
    <row r="1" customFormat="false" ht="13.8" hidden="false" customHeight="false" outlineLevel="0" collapsed="false">
      <c r="A1" s="1" t="s">
        <v>2764</v>
      </c>
    </row>
    <row r="3" customFormat="false" ht="13.8" hidden="false" customHeight="false" outlineLevel="0" collapsed="false">
      <c r="A3" s="16" t="s">
        <v>2765</v>
      </c>
    </row>
    <row r="5" customFormat="false" ht="13.8" hidden="false" customHeight="false" outlineLevel="0" collapsed="false">
      <c r="A5" s="17" t="s">
        <v>5</v>
      </c>
      <c r="B5" s="18" t="s">
        <v>2766</v>
      </c>
    </row>
    <row r="6" customFormat="false" ht="13.8" hidden="false" customHeight="false" outlineLevel="0" collapsed="false">
      <c r="A6" s="19" t="s">
        <v>21</v>
      </c>
      <c r="B6" s="20" t="n">
        <v>353</v>
      </c>
    </row>
    <row r="7" customFormat="false" ht="13.8" hidden="false" customHeight="false" outlineLevel="0" collapsed="false">
      <c r="A7" s="21" t="s">
        <v>95</v>
      </c>
      <c r="B7" s="22" t="n">
        <v>24</v>
      </c>
    </row>
    <row r="8" customFormat="false" ht="13.8" hidden="false" customHeight="false" outlineLevel="0" collapsed="false">
      <c r="A8" s="21" t="s">
        <v>121</v>
      </c>
      <c r="B8" s="22" t="n">
        <v>13</v>
      </c>
    </row>
    <row r="9" customFormat="false" ht="13.8" hidden="false" customHeight="false" outlineLevel="0" collapsed="false">
      <c r="A9" s="21" t="s">
        <v>28</v>
      </c>
      <c r="B9" s="22" t="n">
        <v>59</v>
      </c>
    </row>
    <row r="10" customFormat="false" ht="13.8" hidden="false" customHeight="false" outlineLevel="0" collapsed="false">
      <c r="A10" s="21" t="s">
        <v>2767</v>
      </c>
      <c r="B10" s="23" t="n">
        <v>551</v>
      </c>
    </row>
    <row r="11" customFormat="false" ht="13.8" hidden="false" customHeight="false" outlineLevel="0" collapsed="false">
      <c r="A11" s="24" t="s">
        <v>2768</v>
      </c>
      <c r="B11" s="25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5.54"/>
    <col collapsed="false" customWidth="true" hidden="false" outlineLevel="0" max="2" min="2" style="1" width="12.76"/>
  </cols>
  <sheetData>
    <row r="1" customFormat="false" ht="13.8" hidden="false" customHeight="false" outlineLevel="0" collapsed="false">
      <c r="A1" s="1" t="s">
        <v>2769</v>
      </c>
    </row>
    <row r="3" customFormat="false" ht="13.8" hidden="false" customHeight="false" outlineLevel="0" collapsed="false">
      <c r="A3" s="16" t="s">
        <v>2765</v>
      </c>
    </row>
    <row r="5" customFormat="false" ht="13.8" hidden="false" customHeight="false" outlineLevel="0" collapsed="false">
      <c r="A5" s="17" t="s">
        <v>12</v>
      </c>
      <c r="B5" s="18" t="s">
        <v>2766</v>
      </c>
    </row>
    <row r="6" customFormat="false" ht="13.8" hidden="false" customHeight="false" outlineLevel="0" collapsed="false">
      <c r="A6" s="19" t="s">
        <v>1374</v>
      </c>
      <c r="B6" s="20" t="n">
        <v>4</v>
      </c>
    </row>
    <row r="7" customFormat="false" ht="13.8" hidden="false" customHeight="false" outlineLevel="0" collapsed="false">
      <c r="A7" s="21" t="s">
        <v>1732</v>
      </c>
      <c r="B7" s="22" t="n">
        <v>2</v>
      </c>
    </row>
    <row r="8" customFormat="false" ht="13.8" hidden="false" customHeight="false" outlineLevel="0" collapsed="false">
      <c r="A8" s="21" t="s">
        <v>40</v>
      </c>
      <c r="B8" s="22" t="n">
        <v>5</v>
      </c>
    </row>
    <row r="9" customFormat="false" ht="13.8" hidden="false" customHeight="false" outlineLevel="0" collapsed="false">
      <c r="A9" s="21" t="s">
        <v>408</v>
      </c>
      <c r="B9" s="22" t="n">
        <v>1</v>
      </c>
    </row>
    <row r="10" customFormat="false" ht="13.8" hidden="false" customHeight="false" outlineLevel="0" collapsed="false">
      <c r="A10" s="21" t="s">
        <v>1370</v>
      </c>
      <c r="B10" s="22" t="n">
        <v>3</v>
      </c>
    </row>
    <row r="11" customFormat="false" ht="13.8" hidden="false" customHeight="false" outlineLevel="0" collapsed="false">
      <c r="A11" s="21" t="s">
        <v>485</v>
      </c>
      <c r="B11" s="22" t="n">
        <v>51</v>
      </c>
    </row>
    <row r="12" customFormat="false" ht="13.8" hidden="false" customHeight="false" outlineLevel="0" collapsed="false">
      <c r="A12" s="21" t="s">
        <v>154</v>
      </c>
      <c r="B12" s="22" t="n">
        <v>100</v>
      </c>
    </row>
    <row r="13" customFormat="false" ht="13.8" hidden="false" customHeight="false" outlineLevel="0" collapsed="false">
      <c r="A13" s="21" t="s">
        <v>127</v>
      </c>
      <c r="B13" s="22" t="n">
        <v>332</v>
      </c>
    </row>
    <row r="14" customFormat="false" ht="13.8" hidden="false" customHeight="false" outlineLevel="0" collapsed="false">
      <c r="A14" s="21" t="s">
        <v>23</v>
      </c>
      <c r="B14" s="23" t="n">
        <v>502</v>
      </c>
    </row>
    <row r="15" customFormat="false" ht="13.8" hidden="false" customHeight="false" outlineLevel="0" collapsed="false">
      <c r="A15" s="24" t="s">
        <v>2768</v>
      </c>
      <c r="B15" s="25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5.54"/>
    <col collapsed="false" customWidth="true" hidden="false" outlineLevel="0" max="2" min="2" style="1" width="12.76"/>
  </cols>
  <sheetData>
    <row r="1" customFormat="false" ht="13.8" hidden="false" customHeight="false" outlineLevel="0" collapsed="false">
      <c r="A1" s="1" t="s">
        <v>2770</v>
      </c>
    </row>
    <row r="3" customFormat="false" ht="13.8" hidden="false" customHeight="false" outlineLevel="0" collapsed="false">
      <c r="A3" s="16" t="s">
        <v>2765</v>
      </c>
    </row>
    <row r="5" customFormat="false" ht="13.8" hidden="false" customHeight="false" outlineLevel="0" collapsed="false">
      <c r="A5" s="17" t="s">
        <v>2577</v>
      </c>
      <c r="B5" s="18" t="s">
        <v>2766</v>
      </c>
    </row>
    <row r="6" customFormat="false" ht="13.8" hidden="false" customHeight="false" outlineLevel="0" collapsed="false">
      <c r="A6" s="19" t="s">
        <v>2648</v>
      </c>
      <c r="B6" s="20" t="n">
        <v>869</v>
      </c>
    </row>
    <row r="7" customFormat="false" ht="13.8" hidden="false" customHeight="false" outlineLevel="0" collapsed="false">
      <c r="A7" s="21" t="s">
        <v>2650</v>
      </c>
      <c r="B7" s="23" t="n">
        <v>131</v>
      </c>
    </row>
    <row r="8" customFormat="false" ht="13.8" hidden="false" customHeight="false" outlineLevel="0" collapsed="false">
      <c r="A8" s="24" t="s">
        <v>2768</v>
      </c>
      <c r="B8" s="25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2026-09-07T16:49:15Z</dcterms:created>
  <dc:creator>openpyxl</dc:creator>
  <dc:description/>
  <dc:language>en-US</dc:language>
  <cp:lastModifiedBy/>
  <dcterms:modified xsi:type="dcterms:W3CDTF">2026-09-07T16:53:22Z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